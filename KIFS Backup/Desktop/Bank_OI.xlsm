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Administrator\Desktop\"/>
    </mc:Choice>
  </mc:AlternateContent>
  <bookViews>
    <workbookView xWindow="0" yWindow="0" windowWidth="19200" windowHeight="11595" firstSheet="1" activeTab="2"/>
  </bookViews>
  <sheets>
    <sheet name="Data BankNifty" sheetId="2" state="hidden" r:id="rId1"/>
    <sheet name="MAIN OI BankNifty" sheetId="3" r:id="rId2"/>
    <sheet name="Dashbord" sheetId="29" r:id="rId3"/>
    <sheet name="BankNifty_2" sheetId="20" r:id="rId4"/>
    <sheet name="PCR" sheetId="30" r:id="rId5"/>
    <sheet name="Call_Bank" sheetId="26" r:id="rId6"/>
    <sheet name="IV" sheetId="31" r:id="rId7"/>
    <sheet name="Put_bank" sheetId="27" r:id="rId8"/>
    <sheet name="Sheet1" sheetId="13" state="hidden" r:id="rId9"/>
  </sheets>
  <definedNames>
    <definedName name="_xlnm._FilterDatabase" localSheetId="1" hidden="1">'MAIN OI BankNifty'!#REF!</definedName>
    <definedName name="optionKeys.jsp?symbolCode__10006_symbol_NIFTY_symbol_NIFTY_instrument___date___segmentLink_17_symbolCount_2_segmentLink_17" localSheetId="0">'Data BankNifty'!$C$1:$Y$98</definedName>
    <definedName name="Slicer_strike">#N/A</definedName>
  </definedNames>
  <calcPr calcId="152511"/>
  <pivotCaches>
    <pivotCache cacheId="316"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Lst>
</workbook>
</file>

<file path=xl/calcChain.xml><?xml version="1.0" encoding="utf-8"?>
<calcChain xmlns="http://schemas.openxmlformats.org/spreadsheetml/2006/main">
  <c r="A2677" i="20" l="1"/>
  <c r="A2676" i="20"/>
  <c r="A2675" i="20"/>
  <c r="A2674" i="20"/>
  <c r="A2673" i="20"/>
  <c r="A2672" i="20"/>
  <c r="A2671" i="20"/>
  <c r="A2670" i="20"/>
  <c r="A2669" i="20"/>
  <c r="A2668" i="20"/>
  <c r="A2667" i="20"/>
  <c r="A2666" i="20"/>
  <c r="A2665" i="20"/>
  <c r="A2664" i="20"/>
  <c r="A2663" i="20"/>
  <c r="A2662" i="20"/>
  <c r="A2661" i="20"/>
  <c r="A2660" i="20"/>
  <c r="A2659" i="20"/>
  <c r="A2658" i="20"/>
  <c r="A2657" i="20"/>
  <c r="A2656" i="20"/>
  <c r="A2655" i="20"/>
  <c r="A2654" i="20"/>
  <c r="A2653" i="20"/>
  <c r="A2652" i="20"/>
  <c r="A2651" i="20"/>
  <c r="A2650" i="20"/>
  <c r="A2649" i="20"/>
  <c r="A2648" i="20"/>
  <c r="A2647" i="20"/>
  <c r="A2646" i="20"/>
  <c r="A2645" i="20"/>
  <c r="A2644" i="20"/>
  <c r="A2643" i="20"/>
  <c r="A2642" i="20"/>
  <c r="A2641" i="20"/>
  <c r="A2640" i="20"/>
  <c r="A2639" i="20"/>
  <c r="A2638" i="20"/>
  <c r="A2637" i="20"/>
  <c r="A2636" i="20"/>
  <c r="A2635" i="20"/>
  <c r="A2634" i="20"/>
  <c r="A2633" i="20"/>
  <c r="A2632" i="20"/>
  <c r="A2631" i="20"/>
  <c r="A2630" i="20"/>
  <c r="A2629" i="20"/>
  <c r="A2628" i="20"/>
  <c r="A2627" i="20"/>
  <c r="A2626" i="20"/>
  <c r="A2625" i="20"/>
  <c r="A2624" i="20"/>
  <c r="A2623" i="20"/>
  <c r="A2622" i="20"/>
  <c r="A2621" i="20"/>
  <c r="A2620" i="20"/>
  <c r="A2619" i="20"/>
  <c r="A2618" i="20"/>
  <c r="A2617" i="20"/>
  <c r="A2616" i="20"/>
  <c r="A2615" i="20"/>
  <c r="A2614" i="20"/>
  <c r="A2613" i="20"/>
  <c r="A2612" i="20"/>
  <c r="A2611" i="20"/>
  <c r="A2610" i="20"/>
  <c r="A2609" i="20"/>
  <c r="A2608" i="20"/>
  <c r="A2607" i="20"/>
  <c r="A2606" i="20"/>
  <c r="A2605" i="20"/>
  <c r="A2604" i="20"/>
  <c r="A2603" i="20"/>
  <c r="A2602" i="20"/>
  <c r="A2601" i="20"/>
  <c r="A2600" i="20"/>
  <c r="A2599" i="20"/>
  <c r="A2598" i="20"/>
  <c r="A2597" i="20"/>
  <c r="A2596" i="20"/>
  <c r="A2595" i="20"/>
  <c r="A2594" i="20"/>
  <c r="A2593" i="20"/>
  <c r="A2592" i="20"/>
  <c r="A2591" i="20"/>
  <c r="A2590" i="20"/>
  <c r="A2589" i="20"/>
  <c r="A2588" i="20"/>
  <c r="A2587" i="20"/>
  <c r="A2586" i="20"/>
  <c r="A2585" i="20"/>
  <c r="A2584" i="20"/>
  <c r="A2583" i="20"/>
  <c r="A2582" i="20"/>
  <c r="A2581" i="20"/>
  <c r="A2580" i="20"/>
  <c r="A2579" i="20"/>
  <c r="A2578" i="20"/>
  <c r="A2577" i="20"/>
  <c r="A2576" i="20"/>
  <c r="A2575" i="20"/>
  <c r="A2574" i="20"/>
  <c r="A2573" i="20"/>
  <c r="A2572" i="20"/>
  <c r="A2571" i="20"/>
  <c r="A2570" i="20"/>
  <c r="A2569" i="20"/>
  <c r="A2568" i="20"/>
  <c r="A2567" i="20"/>
  <c r="A2566" i="20"/>
  <c r="A2565" i="20"/>
  <c r="A2564" i="20"/>
  <c r="A2563" i="20"/>
  <c r="A2562" i="20"/>
  <c r="A2561" i="20"/>
  <c r="A2560" i="20"/>
  <c r="A2559" i="20"/>
  <c r="A2558" i="20"/>
  <c r="A2557" i="20"/>
  <c r="A2556" i="20"/>
  <c r="A2555" i="20"/>
  <c r="A2554" i="20"/>
  <c r="A2553" i="20"/>
  <c r="A2552" i="20"/>
  <c r="A2551" i="20"/>
  <c r="A2550" i="20"/>
  <c r="A2549" i="20"/>
  <c r="A2548" i="20"/>
  <c r="A2547" i="20"/>
  <c r="A2546" i="20"/>
  <c r="A2545" i="20"/>
  <c r="A2544" i="20"/>
  <c r="A2543" i="20"/>
  <c r="A2542" i="20"/>
  <c r="A2541" i="20"/>
  <c r="A2540" i="20"/>
  <c r="A2539" i="20"/>
  <c r="A2538" i="20"/>
  <c r="A2537" i="20"/>
  <c r="A2536" i="20"/>
  <c r="A2535" i="20"/>
  <c r="A2534" i="20"/>
  <c r="A2533" i="20"/>
  <c r="A2532" i="20"/>
  <c r="A2531" i="20"/>
  <c r="A2530" i="20"/>
  <c r="A2529" i="20"/>
  <c r="A2528" i="20"/>
  <c r="A2527" i="20"/>
  <c r="A2526" i="20"/>
  <c r="A2525" i="20"/>
  <c r="A2524" i="20"/>
  <c r="A2523" i="20"/>
  <c r="A2522" i="20"/>
  <c r="A2521" i="20"/>
  <c r="A2520" i="20"/>
  <c r="A2519" i="20"/>
  <c r="A2518" i="20"/>
  <c r="A2517" i="20"/>
  <c r="A2516" i="20"/>
  <c r="A2515" i="20"/>
  <c r="A2514" i="20"/>
  <c r="A2513" i="20"/>
  <c r="A2512" i="20"/>
  <c r="A2511" i="20"/>
  <c r="A2510" i="20"/>
  <c r="A2509" i="20"/>
  <c r="A2508" i="20"/>
  <c r="A2507" i="20"/>
  <c r="A2506" i="20"/>
  <c r="A2505" i="20"/>
  <c r="A2504" i="20"/>
  <c r="A2503" i="20"/>
  <c r="A2502" i="20"/>
  <c r="A2501" i="20"/>
  <c r="A2500" i="20"/>
  <c r="A2499" i="20"/>
  <c r="A2498" i="20"/>
  <c r="A2497" i="20"/>
  <c r="A2496" i="20"/>
  <c r="A2495" i="20"/>
  <c r="A2494" i="20"/>
  <c r="A2493" i="20"/>
  <c r="A2492" i="20"/>
  <c r="A2491" i="20"/>
  <c r="A2490" i="20"/>
  <c r="A2489" i="20"/>
  <c r="A2488" i="20"/>
  <c r="A2487" i="20"/>
  <c r="A2486" i="20"/>
  <c r="A2485" i="20"/>
  <c r="A2484" i="20"/>
  <c r="A2483" i="20"/>
  <c r="A2482" i="20"/>
  <c r="A2481" i="20"/>
  <c r="A2480" i="20"/>
  <c r="A2479" i="20"/>
  <c r="A2478" i="20"/>
  <c r="A2477" i="20"/>
  <c r="A2476" i="20"/>
  <c r="A2475" i="20"/>
  <c r="A2474" i="20"/>
  <c r="A2473" i="20"/>
  <c r="A2472" i="20"/>
  <c r="A2471" i="20"/>
  <c r="A2470" i="20"/>
  <c r="A2469" i="20"/>
  <c r="A2468" i="20"/>
  <c r="A2467" i="20"/>
  <c r="A2466" i="20"/>
  <c r="A2465" i="20"/>
  <c r="A2464" i="20"/>
  <c r="A2463" i="20"/>
  <c r="A2462" i="20"/>
  <c r="A2461" i="20"/>
  <c r="A2460" i="20"/>
  <c r="A2459" i="20"/>
  <c r="A2458" i="20"/>
  <c r="A2457" i="20"/>
  <c r="A2456" i="20"/>
  <c r="A2455" i="20"/>
  <c r="A2454" i="20"/>
  <c r="A2453" i="20"/>
  <c r="A2452" i="20"/>
  <c r="A2451" i="20"/>
  <c r="A2450" i="20"/>
  <c r="A2449" i="20"/>
  <c r="A2448" i="20"/>
  <c r="A2447" i="20"/>
  <c r="A2446" i="20"/>
  <c r="A2445" i="20"/>
  <c r="A2444" i="20"/>
  <c r="A2443" i="20"/>
  <c r="A2442" i="20"/>
  <c r="A2441" i="20"/>
  <c r="A2440" i="20"/>
  <c r="A2439" i="20"/>
  <c r="A2438" i="20"/>
  <c r="A2437" i="20"/>
  <c r="A2436" i="20"/>
  <c r="A2435" i="20"/>
  <c r="A2434" i="20"/>
  <c r="A2433" i="20"/>
  <c r="A2432" i="20"/>
  <c r="A2431" i="20"/>
  <c r="A2430" i="20"/>
  <c r="A2429" i="20"/>
  <c r="A2428" i="20"/>
  <c r="A2427" i="20"/>
  <c r="A2426" i="20"/>
  <c r="A2425" i="20"/>
  <c r="A2424" i="20"/>
  <c r="A2423" i="20"/>
  <c r="A2422" i="20"/>
  <c r="A2421" i="20"/>
  <c r="A2420" i="20"/>
  <c r="A2419" i="20"/>
  <c r="A2418" i="20"/>
  <c r="A2417" i="20"/>
  <c r="A2416" i="20"/>
  <c r="A2415" i="20"/>
  <c r="A2414" i="20"/>
  <c r="A2413" i="20"/>
  <c r="A2412" i="20"/>
  <c r="A2411" i="20"/>
  <c r="A2410" i="20"/>
  <c r="A2409" i="20"/>
  <c r="A2408" i="20"/>
  <c r="A2407" i="20"/>
  <c r="A2406" i="20"/>
  <c r="A2405" i="20"/>
  <c r="A2404" i="20"/>
  <c r="A2403" i="20"/>
  <c r="A2402" i="20"/>
  <c r="A2401" i="20"/>
  <c r="A2400" i="20"/>
  <c r="A2399" i="20"/>
  <c r="A2398" i="20"/>
  <c r="A2397" i="20"/>
  <c r="A2396" i="20"/>
  <c r="A2395" i="20"/>
  <c r="A2394" i="20"/>
  <c r="A2393" i="20"/>
  <c r="A2392" i="20"/>
  <c r="A2391" i="20"/>
  <c r="A2390" i="20"/>
  <c r="A2389" i="20"/>
  <c r="A2388" i="20"/>
  <c r="A2387" i="20"/>
  <c r="A2386" i="20"/>
  <c r="A2385" i="20"/>
  <c r="A2384" i="20"/>
  <c r="A2383" i="20"/>
  <c r="A2382" i="20"/>
  <c r="A2381" i="20"/>
  <c r="A2380" i="20"/>
  <c r="A2379" i="20"/>
  <c r="A2378" i="20"/>
  <c r="A2377" i="20"/>
  <c r="A2376" i="20"/>
  <c r="A2375" i="20"/>
  <c r="A2374" i="20"/>
  <c r="A2373" i="20"/>
  <c r="A2372" i="20"/>
  <c r="A2371" i="20"/>
  <c r="A2370" i="20"/>
  <c r="A2369" i="20"/>
  <c r="A2368" i="20"/>
  <c r="A2367" i="20"/>
  <c r="A2366" i="20"/>
  <c r="A2365" i="20"/>
  <c r="A2364" i="20"/>
  <c r="A2363" i="20"/>
  <c r="A2362" i="20"/>
  <c r="A2361" i="20"/>
  <c r="A2360" i="20"/>
  <c r="A2359" i="20"/>
  <c r="A2358" i="20"/>
  <c r="A2357" i="20"/>
  <c r="A2356" i="20"/>
  <c r="A2355" i="20"/>
  <c r="A2354" i="20"/>
  <c r="A2353" i="20"/>
  <c r="A2352" i="20"/>
  <c r="A2351" i="20"/>
  <c r="A2350" i="20"/>
  <c r="A2349" i="20"/>
  <c r="A2348" i="20"/>
  <c r="A2347" i="20"/>
  <c r="A2346" i="20"/>
  <c r="A2345" i="20"/>
  <c r="A2344" i="20"/>
  <c r="A2343" i="20"/>
  <c r="A2342" i="20"/>
  <c r="A2341" i="20"/>
  <c r="A2340" i="20"/>
  <c r="A2339" i="20"/>
  <c r="A2338" i="20"/>
  <c r="A2337" i="20"/>
  <c r="A2336" i="20"/>
  <c r="A2335" i="20"/>
  <c r="A2334" i="20"/>
  <c r="A2333" i="20"/>
  <c r="A2332" i="20"/>
  <c r="A2331" i="20"/>
  <c r="A2330" i="20"/>
  <c r="A2329" i="20"/>
  <c r="A2328" i="20"/>
  <c r="A2327" i="20"/>
  <c r="A2326" i="20"/>
  <c r="A2325" i="20"/>
  <c r="A2324" i="20"/>
  <c r="A2323" i="20"/>
  <c r="A2322" i="20"/>
  <c r="A2321" i="20"/>
  <c r="A2320" i="20"/>
  <c r="A2319" i="20"/>
  <c r="A2318" i="20"/>
  <c r="A2317" i="20"/>
  <c r="A2316" i="20"/>
  <c r="A2315" i="20"/>
  <c r="A2314" i="20"/>
  <c r="A2313" i="20"/>
  <c r="A2312" i="20"/>
  <c r="A2311" i="20"/>
  <c r="A2310" i="20"/>
  <c r="A2309" i="20"/>
  <c r="A2308" i="20"/>
  <c r="A2307" i="20"/>
  <c r="A2306" i="20"/>
  <c r="A2305" i="20"/>
  <c r="A2304" i="20"/>
  <c r="A2303" i="20"/>
  <c r="A2302" i="20"/>
  <c r="A2301" i="20"/>
  <c r="A2300" i="20"/>
  <c r="A2299" i="20"/>
  <c r="A2298" i="20"/>
  <c r="A2297" i="20"/>
  <c r="A2296" i="20"/>
  <c r="A2295" i="20"/>
  <c r="A2294" i="20"/>
  <c r="A2293" i="20"/>
  <c r="A2292" i="20"/>
  <c r="A2291" i="20"/>
  <c r="A2290" i="20"/>
  <c r="A2289" i="20"/>
  <c r="A2288" i="20"/>
  <c r="A2287" i="20"/>
  <c r="A2286" i="20"/>
  <c r="A2285" i="20"/>
  <c r="A2284" i="20"/>
  <c r="A2283" i="20"/>
  <c r="A2282" i="20"/>
  <c r="A2281" i="20"/>
  <c r="A2280" i="20"/>
  <c r="A2279" i="20"/>
  <c r="A2278" i="20"/>
  <c r="A2277" i="20"/>
  <c r="A2276" i="20"/>
  <c r="A2275" i="20"/>
  <c r="A2274" i="20"/>
  <c r="A2273" i="20"/>
  <c r="A2272" i="20"/>
  <c r="A2271" i="20"/>
  <c r="A2270" i="20"/>
  <c r="A2269" i="20"/>
  <c r="A2268" i="20"/>
  <c r="A2267" i="20"/>
  <c r="A2266" i="20"/>
  <c r="A2265" i="20"/>
  <c r="A2264" i="20"/>
  <c r="A2263" i="20"/>
  <c r="A2262" i="20"/>
  <c r="A2261" i="20"/>
  <c r="A2260" i="20"/>
  <c r="A2259" i="20"/>
  <c r="A2258" i="20"/>
  <c r="A2257" i="20"/>
  <c r="A2256" i="20"/>
  <c r="A2255" i="20"/>
  <c r="A2254" i="20"/>
  <c r="A2253" i="20"/>
  <c r="A2252" i="20"/>
  <c r="A2251" i="20"/>
  <c r="A2250" i="20"/>
  <c r="A2249" i="20"/>
  <c r="A2248" i="20"/>
  <c r="A2247" i="20"/>
  <c r="A2246" i="20"/>
  <c r="A2245" i="20"/>
  <c r="A2244" i="20"/>
  <c r="A2243" i="20"/>
  <c r="A2242" i="20"/>
  <c r="A2241" i="20"/>
  <c r="A2240" i="20"/>
  <c r="A2239" i="20"/>
  <c r="A2238" i="20"/>
  <c r="A2237" i="20"/>
  <c r="A2236" i="20"/>
  <c r="A2235" i="20"/>
  <c r="A2234" i="20"/>
  <c r="A2233" i="20"/>
  <c r="A2232" i="20"/>
  <c r="A2231" i="20"/>
  <c r="A2230" i="20"/>
  <c r="A2229" i="20"/>
  <c r="A2228" i="20"/>
  <c r="A2227" i="20"/>
  <c r="A2226" i="20"/>
  <c r="A2225" i="20"/>
  <c r="A2224" i="20"/>
  <c r="A2223" i="20"/>
  <c r="A2222" i="20"/>
  <c r="A2221" i="20"/>
  <c r="A2220" i="20"/>
  <c r="A2219" i="20"/>
  <c r="A2218" i="20"/>
  <c r="A2217" i="20"/>
  <c r="A2216" i="20"/>
  <c r="A2215" i="20"/>
  <c r="A2214" i="20"/>
  <c r="A2213" i="20"/>
  <c r="A2212" i="20"/>
  <c r="A2211" i="20"/>
  <c r="A2210" i="20"/>
  <c r="A2209" i="20"/>
  <c r="A2208" i="20"/>
  <c r="A2207" i="20"/>
  <c r="A2206" i="20"/>
  <c r="A2205" i="20"/>
  <c r="A2204" i="20"/>
  <c r="A2203" i="20"/>
  <c r="A2202" i="20"/>
  <c r="A2201" i="20"/>
  <c r="A2200" i="20"/>
  <c r="A2199" i="20"/>
  <c r="A2198" i="20"/>
  <c r="A2197" i="20"/>
  <c r="A2196" i="20"/>
  <c r="A2195" i="20"/>
  <c r="A2194" i="20"/>
  <c r="A2193" i="20"/>
  <c r="A2192" i="20"/>
  <c r="A2191" i="20"/>
  <c r="A2190" i="20"/>
  <c r="A2189" i="20"/>
  <c r="A2188" i="20"/>
  <c r="A2187" i="20"/>
  <c r="A2186" i="20"/>
  <c r="A2185" i="20"/>
  <c r="A2184" i="20"/>
  <c r="A2183" i="20"/>
  <c r="A2182" i="20"/>
  <c r="A2181" i="20"/>
  <c r="A2180" i="20"/>
  <c r="A2179" i="20"/>
  <c r="A2178" i="20"/>
  <c r="A2177" i="20"/>
  <c r="A2176" i="20"/>
  <c r="A2175" i="20"/>
  <c r="A2174" i="20"/>
  <c r="A2173" i="20"/>
  <c r="A2172" i="20"/>
  <c r="A2171" i="20"/>
  <c r="A2170" i="20"/>
  <c r="A2169" i="20"/>
  <c r="A2168" i="20"/>
  <c r="A2167" i="20"/>
  <c r="A2166" i="20"/>
  <c r="A2165" i="20"/>
  <c r="A2164" i="20"/>
  <c r="A2163" i="20"/>
  <c r="A2162" i="20"/>
  <c r="A2161" i="20"/>
  <c r="A2160" i="20"/>
  <c r="A2159" i="20"/>
  <c r="A2158" i="20"/>
  <c r="A2157" i="20"/>
  <c r="A2156" i="20"/>
  <c r="A2155" i="20"/>
  <c r="A2154" i="20"/>
  <c r="A2153" i="20"/>
  <c r="A2152" i="20"/>
  <c r="A2151" i="20"/>
  <c r="A2150" i="20"/>
  <c r="A2149" i="20"/>
  <c r="A2148" i="20"/>
  <c r="A2147" i="20"/>
  <c r="A2146" i="20"/>
  <c r="A2145" i="20"/>
  <c r="A2144" i="20"/>
  <c r="A2143" i="20"/>
  <c r="A2142" i="20"/>
  <c r="A2141" i="20"/>
  <c r="A2140" i="20"/>
  <c r="A2139" i="20"/>
  <c r="A2138" i="20"/>
  <c r="A2137" i="20"/>
  <c r="A2136" i="20"/>
  <c r="A2135" i="20"/>
  <c r="A2134" i="20"/>
  <c r="A2133" i="20"/>
  <c r="A2132" i="20"/>
  <c r="A2131" i="20"/>
  <c r="A2130" i="20"/>
  <c r="A2129" i="20"/>
  <c r="A2128" i="20"/>
  <c r="A2127" i="20"/>
  <c r="A2126" i="20"/>
  <c r="A2125" i="20"/>
  <c r="A2124" i="20"/>
  <c r="A2123" i="20"/>
  <c r="A2122" i="20"/>
  <c r="A2121" i="20"/>
  <c r="A2120" i="20"/>
  <c r="A2119" i="20"/>
  <c r="A2118" i="20"/>
  <c r="A2117" i="20"/>
  <c r="A2116" i="20"/>
  <c r="A2115" i="20"/>
  <c r="A2114" i="20"/>
  <c r="A2113" i="20"/>
  <c r="A2112" i="20"/>
  <c r="A2111" i="20"/>
  <c r="A2110" i="20"/>
  <c r="A2109" i="20"/>
  <c r="A2108" i="20"/>
  <c r="A2107" i="20"/>
  <c r="A2106" i="20"/>
  <c r="A2105" i="20"/>
  <c r="A2104" i="20"/>
  <c r="A2103" i="20"/>
  <c r="A2102" i="20"/>
  <c r="A2101" i="20"/>
  <c r="A2100" i="20"/>
  <c r="A2099" i="20"/>
  <c r="A2098" i="20"/>
  <c r="A2097" i="20"/>
  <c r="A2096" i="20"/>
  <c r="A2095" i="20"/>
  <c r="A2094" i="20"/>
  <c r="A2093" i="20"/>
  <c r="A2092" i="20"/>
  <c r="A2091" i="20"/>
  <c r="A2090" i="20"/>
  <c r="A2089" i="20"/>
  <c r="A2088" i="20"/>
  <c r="A2087" i="20"/>
  <c r="A2086" i="20"/>
  <c r="A2085" i="20"/>
  <c r="A2084" i="20"/>
  <c r="A2083" i="20"/>
  <c r="A2082" i="20"/>
  <c r="A2081" i="20"/>
  <c r="A2080" i="20"/>
  <c r="A2079" i="20"/>
  <c r="A2078" i="20"/>
  <c r="A2077" i="20"/>
  <c r="A2076" i="20"/>
  <c r="A2075" i="20"/>
  <c r="A2074" i="20"/>
  <c r="A2073" i="20"/>
  <c r="A2072" i="20"/>
  <c r="A2071" i="20"/>
  <c r="A2070" i="20"/>
  <c r="A2069" i="20"/>
  <c r="A2068" i="20"/>
  <c r="A2067" i="20"/>
  <c r="A2066" i="20"/>
  <c r="A2065" i="20"/>
  <c r="A2064" i="20"/>
  <c r="A2063" i="20"/>
  <c r="A2062" i="20"/>
  <c r="A2061" i="20"/>
  <c r="A2060" i="20"/>
  <c r="A2059" i="20"/>
  <c r="A2058" i="20"/>
  <c r="A2057" i="20"/>
  <c r="A2056" i="20"/>
  <c r="A2055" i="20"/>
  <c r="A2054" i="20"/>
  <c r="A2053" i="20"/>
  <c r="A2052" i="20"/>
  <c r="A2051" i="20"/>
  <c r="A2050" i="20"/>
  <c r="A2049" i="20"/>
  <c r="A2048" i="20"/>
  <c r="A2047" i="20"/>
  <c r="A2046" i="20"/>
  <c r="A2045" i="20"/>
  <c r="A2044" i="20"/>
  <c r="A2043" i="20"/>
  <c r="A2042" i="20"/>
  <c r="A2041" i="20"/>
  <c r="A2040" i="20"/>
  <c r="A2039" i="20"/>
  <c r="A2038" i="20"/>
  <c r="A2037" i="20"/>
  <c r="A2036" i="20"/>
  <c r="A2035" i="20"/>
  <c r="A2034" i="20"/>
  <c r="A2033" i="20"/>
  <c r="A2032" i="20"/>
  <c r="A2031" i="20"/>
  <c r="A2030" i="20"/>
  <c r="A2029" i="20"/>
  <c r="A2028" i="20"/>
  <c r="A2027" i="20"/>
  <c r="A2026" i="20"/>
  <c r="A2025" i="20"/>
  <c r="A2024" i="20"/>
  <c r="A2023" i="20"/>
  <c r="A2022" i="20"/>
  <c r="A2021" i="20"/>
  <c r="A2020" i="20"/>
  <c r="A2019" i="20"/>
  <c r="A2018" i="20"/>
  <c r="A2017" i="20"/>
  <c r="A2016" i="20"/>
  <c r="A2015" i="20"/>
  <c r="A2014" i="20"/>
  <c r="A2013" i="20"/>
  <c r="A2012" i="20"/>
  <c r="A2011" i="20"/>
  <c r="A2010" i="20"/>
  <c r="A2009" i="20"/>
  <c r="A2008" i="20"/>
  <c r="A2007" i="20"/>
  <c r="A2006" i="20"/>
  <c r="A2005" i="20"/>
  <c r="A2004" i="20"/>
  <c r="A2003" i="20"/>
  <c r="A2002" i="20"/>
  <c r="A2001" i="20"/>
  <c r="A2000" i="20"/>
  <c r="A1999" i="20"/>
  <c r="A1998" i="20"/>
  <c r="A1997" i="20"/>
  <c r="A1996" i="20"/>
  <c r="A1995" i="20"/>
  <c r="A1994" i="20"/>
  <c r="A1993" i="20"/>
  <c r="A1992" i="20"/>
  <c r="A1991" i="20"/>
  <c r="A1990" i="20"/>
  <c r="A1989" i="20"/>
  <c r="A1988" i="20"/>
  <c r="A1987" i="20"/>
  <c r="A1986" i="20"/>
  <c r="A1985" i="20"/>
  <c r="A1984" i="20"/>
  <c r="A1983" i="20"/>
  <c r="A1982" i="20"/>
  <c r="A1981" i="20"/>
  <c r="A1980" i="20"/>
  <c r="A1979" i="20"/>
  <c r="A1978" i="20"/>
  <c r="A1977" i="20"/>
  <c r="A1976" i="20"/>
  <c r="A1975" i="20"/>
  <c r="A1974" i="20"/>
  <c r="A1973" i="20"/>
  <c r="A1972" i="20"/>
  <c r="A1971" i="20"/>
  <c r="A1970" i="20"/>
  <c r="A1969" i="20"/>
  <c r="A1968" i="20"/>
  <c r="A1967" i="20"/>
  <c r="A1966" i="20"/>
  <c r="A1965" i="20"/>
  <c r="A1964" i="20"/>
  <c r="A1963" i="20"/>
  <c r="A1962" i="20"/>
  <c r="A1961" i="20"/>
  <c r="A1960" i="20"/>
  <c r="A1959" i="20"/>
  <c r="A1958" i="20"/>
  <c r="A1957" i="20"/>
  <c r="A1956" i="20"/>
  <c r="A1955" i="20"/>
  <c r="A1954" i="20"/>
  <c r="A1953" i="20"/>
  <c r="A1952" i="20"/>
  <c r="A1951" i="20"/>
  <c r="A1950" i="20"/>
  <c r="A1949" i="20"/>
  <c r="A1948" i="20"/>
  <c r="A1947" i="20"/>
  <c r="A1946" i="20"/>
  <c r="A1945" i="20"/>
  <c r="A1944" i="20"/>
  <c r="A1943" i="20"/>
  <c r="A1942" i="20"/>
  <c r="A1941" i="20"/>
  <c r="A1940" i="20"/>
  <c r="A1939" i="20"/>
  <c r="A1938" i="20"/>
  <c r="A1937" i="20"/>
  <c r="A1936" i="20"/>
  <c r="A1935" i="20"/>
  <c r="A1934" i="20"/>
  <c r="A1933" i="20"/>
  <c r="A1932" i="20"/>
  <c r="A1931" i="20"/>
  <c r="A1930" i="20"/>
  <c r="A1929" i="20"/>
  <c r="A1928" i="20"/>
  <c r="A1927" i="20"/>
  <c r="A1926" i="20"/>
  <c r="A1925" i="20"/>
  <c r="A1924" i="20"/>
  <c r="A1923" i="20"/>
  <c r="A1922" i="20"/>
  <c r="A1921" i="20"/>
  <c r="A1920" i="20"/>
  <c r="A1919" i="20"/>
  <c r="A1918" i="20"/>
  <c r="A1917" i="20"/>
  <c r="A1916" i="20"/>
  <c r="A1915" i="20"/>
  <c r="A1914" i="20"/>
  <c r="A1913" i="20"/>
  <c r="A1912" i="20"/>
  <c r="A1911" i="20"/>
  <c r="A1910" i="20"/>
  <c r="A1909" i="20"/>
  <c r="A1908" i="20"/>
  <c r="A1907" i="20"/>
  <c r="A1906" i="20"/>
  <c r="A1905" i="20"/>
  <c r="A1904" i="20"/>
  <c r="A1903" i="20"/>
  <c r="A1902" i="20"/>
  <c r="A1901" i="20"/>
  <c r="A1900" i="20"/>
  <c r="A1899" i="20"/>
  <c r="A1898" i="20"/>
  <c r="A1897" i="20"/>
  <c r="A1896" i="20"/>
  <c r="A1895" i="20"/>
  <c r="A1894" i="20"/>
  <c r="A1893" i="20"/>
  <c r="A1892" i="20"/>
  <c r="A1891" i="20"/>
  <c r="A1890" i="20"/>
  <c r="A1889" i="20"/>
  <c r="A1888" i="20"/>
  <c r="A1887" i="20"/>
  <c r="A1886" i="20"/>
  <c r="A1885" i="20"/>
  <c r="A1884" i="20"/>
  <c r="A1883" i="20"/>
  <c r="A1882" i="20"/>
  <c r="A1881" i="20"/>
  <c r="A1880" i="20"/>
  <c r="A1879" i="20"/>
  <c r="A1878" i="20"/>
  <c r="A1877" i="20"/>
  <c r="A1876" i="20"/>
  <c r="A1875" i="20"/>
  <c r="A1874" i="20"/>
  <c r="A1873" i="20"/>
  <c r="A1872" i="20"/>
  <c r="A1871" i="20"/>
  <c r="A1870" i="20"/>
  <c r="A1869" i="20"/>
  <c r="A1868" i="20"/>
  <c r="A1867" i="20"/>
  <c r="A1866" i="20"/>
  <c r="A1865" i="20"/>
  <c r="A1864" i="20"/>
  <c r="A1863" i="20"/>
  <c r="A1862" i="20"/>
  <c r="A1861" i="20"/>
  <c r="A1860" i="20"/>
  <c r="A1859" i="20"/>
  <c r="A1858" i="20"/>
  <c r="A1857" i="20"/>
  <c r="A1856" i="20"/>
  <c r="A1855" i="20"/>
  <c r="A1854" i="20"/>
  <c r="A1853" i="20"/>
  <c r="A1852" i="20"/>
  <c r="A1851" i="20"/>
  <c r="A1850" i="20"/>
  <c r="A1849" i="20"/>
  <c r="A1848" i="20"/>
  <c r="A1847" i="20"/>
  <c r="A1846" i="20"/>
  <c r="A1845" i="20"/>
  <c r="A1844" i="20"/>
  <c r="A1843" i="20"/>
  <c r="A1842" i="20"/>
  <c r="A1841" i="20"/>
  <c r="A1840" i="20"/>
  <c r="A1839" i="20"/>
  <c r="A1838" i="20"/>
  <c r="A1837" i="20"/>
  <c r="A1836" i="20"/>
  <c r="A1835" i="20"/>
  <c r="A1834" i="20"/>
  <c r="A1833" i="20"/>
  <c r="A1832" i="20"/>
  <c r="A1831" i="20"/>
  <c r="A1830" i="20"/>
  <c r="A1829" i="20"/>
  <c r="A1828" i="20"/>
  <c r="A1827" i="20"/>
  <c r="A1826" i="20"/>
  <c r="A1825" i="20"/>
  <c r="A1824" i="20"/>
  <c r="A1823" i="20"/>
  <c r="A1822" i="20"/>
  <c r="A1821" i="20"/>
  <c r="A1820" i="20"/>
  <c r="A1819" i="20"/>
  <c r="A1818" i="20"/>
  <c r="A1817" i="20"/>
  <c r="A1816" i="20"/>
  <c r="A1815" i="20"/>
  <c r="A1814" i="20"/>
  <c r="A1813" i="20"/>
  <c r="A1812" i="20"/>
  <c r="A1811" i="20"/>
  <c r="A1810" i="20"/>
  <c r="A1809" i="20"/>
  <c r="A1808" i="20"/>
  <c r="A1807" i="20"/>
  <c r="A1806" i="20"/>
  <c r="A1805" i="20"/>
  <c r="A1804" i="20"/>
  <c r="A1803" i="20"/>
  <c r="A1802" i="20"/>
  <c r="A1801" i="20"/>
  <c r="A1800" i="20"/>
  <c r="A1799" i="20"/>
  <c r="A1798" i="20"/>
  <c r="A1797" i="20"/>
  <c r="A1796" i="20"/>
  <c r="A1795" i="20"/>
  <c r="A1794" i="20"/>
  <c r="A1793" i="20"/>
  <c r="A1792" i="20"/>
  <c r="A1791" i="20"/>
  <c r="A1790" i="20"/>
  <c r="A1789" i="20"/>
  <c r="A1788" i="20"/>
  <c r="A1787" i="20"/>
  <c r="A1786" i="20"/>
  <c r="A1785" i="20"/>
  <c r="A1784" i="20"/>
  <c r="A1783" i="20"/>
  <c r="A1782" i="20"/>
  <c r="A1781" i="20"/>
  <c r="A1780" i="20"/>
  <c r="A1779" i="20"/>
  <c r="A1778" i="20"/>
  <c r="A1777" i="20"/>
  <c r="A1776" i="20"/>
  <c r="A1775" i="20"/>
  <c r="A1774" i="20"/>
  <c r="A1773" i="20"/>
  <c r="A1772" i="20"/>
  <c r="A1771" i="20"/>
  <c r="A1770" i="20"/>
  <c r="A1769" i="20"/>
  <c r="A1768" i="20"/>
  <c r="A1767" i="20"/>
  <c r="A1766" i="20"/>
  <c r="A1765" i="20"/>
  <c r="A1764" i="20"/>
  <c r="A1763" i="20"/>
  <c r="A1762" i="20"/>
  <c r="A1761" i="20"/>
  <c r="A1760" i="20"/>
  <c r="A1759" i="20"/>
  <c r="A1758" i="20"/>
  <c r="A1757" i="20"/>
  <c r="A1756" i="20"/>
  <c r="A1755" i="20"/>
  <c r="A1754" i="20"/>
  <c r="A1753" i="20"/>
  <c r="A1752" i="20"/>
  <c r="A1751" i="20"/>
  <c r="A1750" i="20"/>
  <c r="A1749" i="20"/>
  <c r="A1748" i="20"/>
  <c r="A1747" i="20"/>
  <c r="A1746" i="20"/>
  <c r="A1745" i="20"/>
  <c r="A1744" i="20"/>
  <c r="A1743" i="20"/>
  <c r="A1742" i="20"/>
  <c r="A1741" i="20"/>
  <c r="A1740" i="20"/>
  <c r="A1739" i="20"/>
  <c r="A1738" i="20"/>
  <c r="A1737" i="20"/>
  <c r="A1736" i="20"/>
  <c r="A1735" i="20"/>
  <c r="A1734" i="20"/>
  <c r="A1733" i="20"/>
  <c r="A1732" i="20"/>
  <c r="A1731" i="20"/>
  <c r="A1730" i="20"/>
  <c r="A1729" i="20"/>
  <c r="A1728" i="20"/>
  <c r="A1727" i="20"/>
  <c r="A1726" i="20"/>
  <c r="A1725" i="20"/>
  <c r="A1724" i="20"/>
  <c r="A1723" i="20"/>
  <c r="A1722" i="20"/>
  <c r="A1721" i="20"/>
  <c r="A1720" i="20"/>
  <c r="A1719" i="20"/>
  <c r="A1718" i="20"/>
  <c r="A1717" i="20"/>
  <c r="A1716" i="20"/>
  <c r="A1715" i="20"/>
  <c r="A1714" i="20"/>
  <c r="A1713" i="20"/>
  <c r="A1712" i="20"/>
  <c r="A1711" i="20"/>
  <c r="A1710" i="20"/>
  <c r="A1709" i="20"/>
  <c r="A1708" i="20"/>
  <c r="A1707" i="20"/>
  <c r="A1706" i="20"/>
  <c r="A1705" i="20"/>
  <c r="A1704" i="20"/>
  <c r="A1703" i="20"/>
  <c r="A1702" i="20"/>
  <c r="A1701" i="20"/>
  <c r="A1700" i="20"/>
  <c r="A1699" i="20"/>
  <c r="A1698" i="20"/>
  <c r="A1697" i="20"/>
  <c r="A1696" i="20"/>
  <c r="A1695" i="20"/>
  <c r="A1694" i="20"/>
  <c r="A1693" i="20"/>
  <c r="A1692" i="20"/>
  <c r="A1691" i="20"/>
  <c r="A1690" i="20"/>
  <c r="A1689" i="20"/>
  <c r="A1688" i="20"/>
  <c r="A1687" i="20"/>
  <c r="A1686" i="20"/>
  <c r="A1685" i="20"/>
  <c r="A1684" i="20"/>
  <c r="A1683" i="20"/>
  <c r="A1682" i="20"/>
  <c r="A1681" i="20"/>
  <c r="A1680" i="20"/>
  <c r="A1679" i="20"/>
  <c r="A1678" i="20"/>
  <c r="A1677" i="20"/>
  <c r="A1676" i="20"/>
  <c r="A1675" i="20"/>
  <c r="A1674" i="20"/>
  <c r="A1673" i="20"/>
  <c r="A1672" i="20"/>
  <c r="A1671" i="20"/>
  <c r="A1670" i="20"/>
  <c r="A1669" i="20"/>
  <c r="A1668" i="20"/>
  <c r="A1667" i="20"/>
  <c r="A1666" i="20"/>
  <c r="A1665" i="20"/>
  <c r="A1664" i="20"/>
  <c r="A1663" i="20"/>
  <c r="A1662" i="20"/>
  <c r="A1661" i="20"/>
  <c r="A1660" i="20"/>
  <c r="A1659" i="20"/>
  <c r="A1658" i="20"/>
  <c r="A1657" i="20"/>
  <c r="A1656" i="20"/>
  <c r="A1655" i="20"/>
  <c r="A1654" i="20"/>
  <c r="A1653" i="20"/>
  <c r="A1652" i="20"/>
  <c r="A1651" i="20"/>
  <c r="A1650" i="20"/>
  <c r="A1649" i="20"/>
  <c r="A1648" i="20"/>
  <c r="A1647" i="20"/>
  <c r="A1646" i="20"/>
  <c r="A1645" i="20"/>
  <c r="A1644" i="20"/>
  <c r="A1643" i="20"/>
  <c r="A1642" i="20"/>
  <c r="A1641" i="20"/>
  <c r="A1640" i="20"/>
  <c r="A1639" i="20"/>
  <c r="A1638" i="20"/>
  <c r="A1637" i="20"/>
  <c r="A1636" i="20"/>
  <c r="A1635" i="20"/>
  <c r="A1634" i="20"/>
  <c r="A1633" i="20"/>
  <c r="A1632" i="20"/>
  <c r="A1631" i="20"/>
  <c r="A1630" i="20"/>
  <c r="A1629" i="20"/>
  <c r="A1628" i="20"/>
  <c r="A1627" i="20"/>
  <c r="A1626" i="20"/>
  <c r="A1625" i="20"/>
  <c r="A1624" i="20"/>
  <c r="A1623" i="20"/>
  <c r="A1622" i="20"/>
  <c r="A1621" i="20"/>
  <c r="A1620" i="20"/>
  <c r="A1619" i="20"/>
  <c r="A1618" i="20"/>
  <c r="A1617" i="20"/>
  <c r="A1616" i="20"/>
  <c r="A1615" i="20"/>
  <c r="A1614" i="20"/>
  <c r="A1613" i="20"/>
  <c r="A1612" i="20"/>
  <c r="A1611" i="20"/>
  <c r="A1610" i="20"/>
  <c r="A1609" i="20"/>
  <c r="A1608" i="20"/>
  <c r="A1607" i="20"/>
  <c r="A1606" i="20"/>
  <c r="A1605" i="20"/>
  <c r="A1604" i="20"/>
  <c r="A1603" i="20"/>
  <c r="A1602" i="20"/>
  <c r="A1601" i="20"/>
  <c r="A1600" i="20"/>
  <c r="A1599" i="20"/>
  <c r="A1598" i="20"/>
  <c r="A1597" i="20"/>
  <c r="A1596" i="20"/>
  <c r="A1595" i="20"/>
  <c r="A1594" i="20"/>
  <c r="A1593" i="20"/>
  <c r="A1592" i="20"/>
  <c r="A1591" i="20"/>
  <c r="A1590" i="20"/>
  <c r="A1589" i="20"/>
  <c r="A1588" i="20"/>
  <c r="A1587" i="20"/>
  <c r="A1586" i="20"/>
  <c r="A1585" i="20"/>
  <c r="A1584" i="20"/>
  <c r="A1583" i="20"/>
  <c r="A1582" i="20"/>
  <c r="A1581" i="20"/>
  <c r="A1580" i="20"/>
  <c r="A1579" i="20"/>
  <c r="A1578" i="20"/>
  <c r="A1577" i="20"/>
  <c r="A1576" i="20"/>
  <c r="A1575" i="20"/>
  <c r="A1574" i="20"/>
  <c r="A1573" i="20"/>
  <c r="A1572" i="20"/>
  <c r="A1571" i="20"/>
  <c r="A1570" i="20"/>
  <c r="A1569" i="20"/>
  <c r="A1568" i="20"/>
  <c r="A1567" i="20"/>
  <c r="A1566" i="20"/>
  <c r="A1565" i="20"/>
  <c r="A1564" i="20"/>
  <c r="A1563" i="20"/>
  <c r="A1562" i="20"/>
  <c r="A1561" i="20"/>
  <c r="A1560" i="20"/>
  <c r="A1559" i="20"/>
  <c r="A1558" i="20"/>
  <c r="A1557" i="20"/>
  <c r="A1556" i="20"/>
  <c r="A1555" i="20"/>
  <c r="A1554" i="20"/>
  <c r="A1553" i="20"/>
  <c r="A1552" i="20"/>
  <c r="A1551" i="20"/>
  <c r="A1550" i="20"/>
  <c r="A1549" i="20"/>
  <c r="A1548" i="20"/>
  <c r="A1547" i="20"/>
  <c r="A1546" i="20"/>
  <c r="A1545" i="20"/>
  <c r="A1544" i="20"/>
  <c r="A1543" i="20"/>
  <c r="A1542" i="20"/>
  <c r="A1541" i="20"/>
  <c r="A1540" i="20"/>
  <c r="A1539" i="20"/>
  <c r="A1538" i="20"/>
  <c r="A1537" i="20"/>
  <c r="A1536" i="20"/>
  <c r="A1535" i="20"/>
  <c r="A1534" i="20"/>
  <c r="A1533" i="20"/>
  <c r="A1532" i="20"/>
  <c r="A1531" i="20"/>
  <c r="A1530" i="20"/>
  <c r="A1529" i="20"/>
  <c r="A1528" i="20"/>
  <c r="A1527" i="20"/>
  <c r="A1526" i="20"/>
  <c r="A1525" i="20"/>
  <c r="A1524" i="20"/>
  <c r="A1523" i="20"/>
  <c r="A1522" i="20"/>
  <c r="A1521" i="20"/>
  <c r="A1520" i="20"/>
  <c r="A1519" i="20"/>
  <c r="A1518" i="20"/>
  <c r="A1517" i="20"/>
  <c r="A1516" i="20"/>
  <c r="A1515" i="20"/>
  <c r="A1514" i="20"/>
  <c r="A1513" i="20"/>
  <c r="A1512" i="20"/>
  <c r="A1511" i="20"/>
  <c r="A1510" i="20"/>
  <c r="A1509" i="20"/>
  <c r="A1508" i="20"/>
  <c r="A1507" i="20"/>
  <c r="A1506" i="20"/>
  <c r="A1505" i="20"/>
  <c r="A1504" i="20"/>
  <c r="A1503" i="20"/>
  <c r="A1502" i="20"/>
  <c r="A1501" i="20"/>
  <c r="A1500" i="20"/>
  <c r="A1499" i="20"/>
  <c r="A1498" i="20"/>
  <c r="A1497" i="20"/>
  <c r="A1496" i="20"/>
  <c r="A1495" i="20"/>
  <c r="A1494" i="20"/>
  <c r="A1493" i="20"/>
  <c r="A1492" i="20"/>
  <c r="A1491" i="20"/>
  <c r="A1490" i="20"/>
  <c r="A1489" i="20"/>
  <c r="A1488" i="20"/>
  <c r="A1487" i="20"/>
  <c r="A1486" i="20"/>
  <c r="A1485" i="20"/>
  <c r="A1484" i="20"/>
  <c r="A1483" i="20"/>
  <c r="A1482" i="20"/>
  <c r="A1481" i="20"/>
  <c r="A1480" i="20"/>
  <c r="A1479" i="20"/>
  <c r="A1478" i="20"/>
  <c r="A1477" i="20"/>
  <c r="A1476" i="20"/>
  <c r="A1475" i="20"/>
  <c r="A1474" i="20"/>
  <c r="A1473" i="20"/>
  <c r="A1472" i="20"/>
  <c r="A1471" i="20"/>
  <c r="A1470" i="20"/>
  <c r="A1469" i="20"/>
  <c r="A1468" i="20"/>
  <c r="A1467" i="20"/>
  <c r="A1466" i="20"/>
  <c r="A1465" i="20"/>
  <c r="A1464" i="20"/>
  <c r="A1463" i="20"/>
  <c r="A1462" i="20"/>
  <c r="A1461" i="20"/>
  <c r="A1460" i="20"/>
  <c r="A1459" i="20"/>
  <c r="A1458" i="20"/>
  <c r="A1457" i="20"/>
  <c r="A1456" i="20"/>
  <c r="A1455" i="20"/>
  <c r="A1454" i="20"/>
  <c r="A1453" i="20"/>
  <c r="A1452" i="20"/>
  <c r="A1451" i="20"/>
  <c r="A1450" i="20"/>
  <c r="A1449" i="20"/>
  <c r="A1448" i="20"/>
  <c r="A1447" i="20"/>
  <c r="A1446" i="20"/>
  <c r="A1445" i="20"/>
  <c r="A1444" i="20"/>
  <c r="A1443" i="20"/>
  <c r="A1442" i="20"/>
  <c r="A1441" i="20"/>
  <c r="A1440" i="20"/>
  <c r="A1439" i="20"/>
  <c r="A1438" i="20"/>
  <c r="A1437" i="20"/>
  <c r="A1436" i="20"/>
  <c r="A1435" i="20"/>
  <c r="A1434" i="20"/>
  <c r="A1433" i="20"/>
  <c r="A1432" i="20"/>
  <c r="A1431" i="20"/>
  <c r="A1430" i="20"/>
  <c r="A1429" i="20"/>
  <c r="A1428" i="20"/>
  <c r="A1427" i="20"/>
  <c r="A1426" i="20"/>
  <c r="A1425" i="20"/>
  <c r="A1424" i="20"/>
  <c r="A1423" i="20"/>
  <c r="A1422" i="20"/>
  <c r="A1421" i="20"/>
  <c r="A1420" i="20"/>
  <c r="A1419" i="20"/>
  <c r="A1418" i="20"/>
  <c r="A1417" i="20"/>
  <c r="A1416" i="20"/>
  <c r="A1415" i="20"/>
  <c r="A1414" i="20"/>
  <c r="A1413" i="20"/>
  <c r="A1412" i="20"/>
  <c r="A1411" i="20"/>
  <c r="A1410" i="20"/>
  <c r="A1409" i="20"/>
  <c r="A1408" i="20"/>
  <c r="A1407" i="20"/>
  <c r="A1406" i="20"/>
  <c r="A1405" i="20"/>
  <c r="A1404" i="20"/>
  <c r="A1403" i="20"/>
  <c r="A1402" i="20"/>
  <c r="A1401" i="20"/>
  <c r="A1400" i="20"/>
  <c r="A1399" i="20"/>
  <c r="A1398" i="20"/>
  <c r="A1397" i="20"/>
  <c r="A1396" i="20"/>
  <c r="A1395" i="20"/>
  <c r="A1394" i="20"/>
  <c r="A1393" i="20"/>
  <c r="A1392" i="20"/>
  <c r="A1391" i="20"/>
  <c r="A1390" i="20"/>
  <c r="A1389" i="20"/>
  <c r="A1388" i="20"/>
  <c r="A1387" i="20"/>
  <c r="A1386" i="20"/>
  <c r="A1385" i="20"/>
  <c r="A1384" i="20"/>
  <c r="A1383" i="20"/>
  <c r="A1382" i="20"/>
  <c r="A1381" i="20"/>
  <c r="A1380" i="20"/>
  <c r="A1379" i="20"/>
  <c r="A1378" i="20"/>
  <c r="A1377" i="20"/>
  <c r="A1376" i="20"/>
  <c r="A1375" i="20"/>
  <c r="A1374" i="20"/>
  <c r="A1373" i="20"/>
  <c r="A1372" i="20"/>
  <c r="A1371" i="20"/>
  <c r="A1370" i="20"/>
  <c r="A1369" i="20"/>
  <c r="A1368" i="20"/>
  <c r="A1367" i="20"/>
  <c r="A1366" i="20"/>
  <c r="A1365" i="20"/>
  <c r="A1364" i="20"/>
  <c r="A1363" i="20"/>
  <c r="A1362" i="20"/>
  <c r="A1361" i="20"/>
  <c r="A1360" i="20"/>
  <c r="A1359" i="20"/>
  <c r="A1358" i="20"/>
  <c r="A1357" i="20"/>
  <c r="A1356" i="20"/>
  <c r="A1355" i="20"/>
  <c r="A1354" i="20"/>
  <c r="A1353" i="20"/>
  <c r="A1352" i="20"/>
  <c r="A1351" i="20"/>
  <c r="A1350" i="20"/>
  <c r="A1349" i="20"/>
  <c r="A1348" i="20"/>
  <c r="A1347" i="20"/>
  <c r="A1346" i="20"/>
  <c r="A1345" i="20"/>
  <c r="A1344" i="20"/>
  <c r="A1343" i="20"/>
  <c r="A1342" i="20"/>
  <c r="A1341" i="20"/>
  <c r="A1340" i="20"/>
  <c r="A1339" i="20"/>
  <c r="A1338" i="20"/>
  <c r="A1337" i="20"/>
  <c r="A1336" i="20"/>
  <c r="A1335" i="20"/>
  <c r="A1334" i="20"/>
  <c r="A1333" i="20"/>
  <c r="A1332" i="20"/>
  <c r="A1331" i="20"/>
  <c r="A1330" i="20"/>
  <c r="A1329" i="20"/>
  <c r="A1328" i="20"/>
  <c r="A1327" i="20"/>
  <c r="A1326" i="20"/>
  <c r="A1325" i="20"/>
  <c r="A1324" i="20"/>
  <c r="A1323" i="20"/>
  <c r="A1322" i="20"/>
  <c r="A1321" i="20"/>
  <c r="A1320" i="20"/>
  <c r="A1319" i="20"/>
  <c r="A1318" i="20"/>
  <c r="A1317" i="20"/>
  <c r="A1316" i="20"/>
  <c r="A1315" i="20"/>
  <c r="A1314" i="20"/>
  <c r="A1313" i="20"/>
  <c r="A1312" i="20"/>
  <c r="A1311" i="20"/>
  <c r="A1310" i="20"/>
  <c r="A1309" i="20"/>
  <c r="A1308" i="20"/>
  <c r="A1307" i="20"/>
  <c r="A1306" i="20"/>
  <c r="A1305" i="20"/>
  <c r="A1304" i="20"/>
  <c r="A1303" i="20"/>
  <c r="A1302" i="20"/>
  <c r="A1301" i="20"/>
  <c r="A1300" i="20"/>
  <c r="A1299" i="20"/>
  <c r="A1298" i="20"/>
  <c r="A1297" i="20"/>
  <c r="A1296" i="20"/>
  <c r="A1295" i="20"/>
  <c r="A1294" i="20"/>
  <c r="A1293" i="20"/>
  <c r="A1292" i="20"/>
  <c r="A1291" i="20"/>
  <c r="A1290" i="20"/>
  <c r="A1289" i="20"/>
  <c r="A1288" i="20"/>
  <c r="A1287" i="20"/>
  <c r="A1286" i="20"/>
  <c r="A1285" i="20"/>
  <c r="A1284" i="20"/>
  <c r="A1283" i="20"/>
  <c r="A1282" i="20"/>
  <c r="A1281" i="20"/>
  <c r="A1280" i="20"/>
  <c r="A1279" i="20"/>
  <c r="A1278" i="20"/>
  <c r="A1277" i="20"/>
  <c r="A1276" i="20"/>
  <c r="A1275" i="20"/>
  <c r="A1274" i="20"/>
  <c r="A1273" i="20"/>
  <c r="A1272" i="20"/>
  <c r="A1271" i="20"/>
  <c r="A1270" i="20"/>
  <c r="A1269" i="20"/>
  <c r="A1268" i="20"/>
  <c r="A1267" i="20"/>
  <c r="A1266" i="20"/>
  <c r="A1265" i="20"/>
  <c r="A1264" i="20"/>
  <c r="A1263" i="20"/>
  <c r="A1262" i="20"/>
  <c r="A1261" i="20"/>
  <c r="A1260" i="20"/>
  <c r="A1259" i="20"/>
  <c r="A1258" i="20"/>
  <c r="A1257" i="20"/>
  <c r="A1256" i="20"/>
  <c r="A1255" i="20"/>
  <c r="A1254" i="20"/>
  <c r="A1253" i="20"/>
  <c r="A1252" i="20"/>
  <c r="A1251" i="20"/>
  <c r="A1250" i="20"/>
  <c r="A1249" i="20"/>
  <c r="A1248" i="20"/>
  <c r="A1247" i="20"/>
  <c r="A1246" i="20"/>
  <c r="A1245" i="20"/>
  <c r="A1244" i="20"/>
  <c r="A1243" i="20"/>
  <c r="A1242" i="20"/>
  <c r="A1241" i="20"/>
  <c r="A1240" i="20"/>
  <c r="A1239" i="20"/>
  <c r="A1238" i="20"/>
  <c r="A1237" i="20"/>
  <c r="A1236" i="20"/>
  <c r="A1235" i="20"/>
  <c r="A1234" i="20"/>
  <c r="A1233" i="20"/>
  <c r="A1232" i="20"/>
  <c r="A1231" i="20"/>
  <c r="A1230" i="20"/>
  <c r="A1229" i="20"/>
  <c r="A1228" i="20"/>
  <c r="A1227" i="20"/>
  <c r="A1226" i="20"/>
  <c r="A1225" i="20"/>
  <c r="A1224" i="20"/>
  <c r="A1223" i="20"/>
  <c r="A1222" i="20"/>
  <c r="A1221" i="20"/>
  <c r="A1220" i="20"/>
  <c r="A1219" i="20"/>
  <c r="A1218" i="20"/>
  <c r="A1217" i="20"/>
  <c r="A1216" i="20"/>
  <c r="A1215" i="20"/>
  <c r="A1214" i="20"/>
  <c r="A1213" i="20"/>
  <c r="A1212" i="20"/>
  <c r="A1211" i="20"/>
  <c r="A1210" i="20"/>
  <c r="A1209" i="20"/>
  <c r="A1208" i="20"/>
  <c r="A1207" i="20"/>
  <c r="A1206" i="20"/>
  <c r="A1205" i="20"/>
  <c r="A1204" i="20"/>
  <c r="A1203" i="20"/>
  <c r="A1202" i="20"/>
  <c r="A1201" i="20"/>
  <c r="A1200" i="20"/>
  <c r="A1199" i="20"/>
  <c r="A1198" i="20"/>
  <c r="A1197" i="20"/>
  <c r="A1196" i="20"/>
  <c r="A1195" i="20"/>
  <c r="A1194" i="20"/>
  <c r="A1193" i="20"/>
  <c r="A1192" i="20"/>
  <c r="A1191" i="20"/>
  <c r="A1190" i="20"/>
  <c r="A1189" i="20"/>
  <c r="A1188" i="20"/>
  <c r="A1187" i="20"/>
  <c r="A1186" i="20"/>
  <c r="A1185" i="20"/>
  <c r="A1184" i="20"/>
  <c r="A1183" i="20"/>
  <c r="A1182" i="20"/>
  <c r="A1181" i="20"/>
  <c r="A1180" i="20"/>
  <c r="A1179" i="20"/>
  <c r="A1178" i="20"/>
  <c r="A1177" i="20"/>
  <c r="A1176" i="20"/>
  <c r="A1175" i="20"/>
  <c r="A1174" i="20"/>
  <c r="A1173" i="20"/>
  <c r="A1172" i="20"/>
  <c r="A1171" i="20"/>
  <c r="A1170" i="20"/>
  <c r="A1169" i="20"/>
  <c r="A1168" i="20"/>
  <c r="A1167" i="20"/>
  <c r="A1166" i="20"/>
  <c r="A1165" i="20"/>
  <c r="A1164" i="20"/>
  <c r="A1163" i="20"/>
  <c r="A1162" i="20"/>
  <c r="A1161" i="20"/>
  <c r="A1160" i="20"/>
  <c r="A1159" i="20"/>
  <c r="A1158" i="20"/>
  <c r="A1157" i="20"/>
  <c r="A1156" i="20"/>
  <c r="A1155" i="20"/>
  <c r="A1154" i="20"/>
  <c r="A1153" i="20"/>
  <c r="A1152" i="20"/>
  <c r="A1151" i="20"/>
  <c r="A1150" i="20"/>
  <c r="A1149" i="20"/>
  <c r="A1148" i="20"/>
  <c r="A1147" i="20"/>
  <c r="A1146" i="20"/>
  <c r="A1145" i="20"/>
  <c r="A1144" i="20"/>
  <c r="A1143" i="20"/>
  <c r="A1142" i="20"/>
  <c r="A1141" i="20"/>
  <c r="A1140" i="20"/>
  <c r="A1139" i="20"/>
  <c r="A1138" i="20"/>
  <c r="A1137" i="20"/>
  <c r="A1136" i="20"/>
  <c r="A1135" i="20"/>
  <c r="A1134" i="20"/>
  <c r="A1133" i="20"/>
  <c r="A1132" i="20"/>
  <c r="A1131" i="20"/>
  <c r="A1130" i="20"/>
  <c r="A1129" i="20"/>
  <c r="A1128" i="20"/>
  <c r="A1127" i="20"/>
  <c r="A1126" i="20"/>
  <c r="A1125" i="20"/>
  <c r="A1124" i="20"/>
  <c r="A1123" i="20"/>
  <c r="A1122" i="20"/>
  <c r="A1121" i="20"/>
  <c r="A1120" i="20"/>
  <c r="A1119" i="20"/>
  <c r="A1118" i="20"/>
  <c r="A1117" i="20"/>
  <c r="A1116" i="20"/>
  <c r="A1115" i="20"/>
  <c r="A1114" i="20"/>
  <c r="A1113" i="20"/>
  <c r="A1112" i="20"/>
  <c r="A1111" i="20"/>
  <c r="A1110" i="20"/>
  <c r="A1109" i="20"/>
  <c r="A1108" i="20"/>
  <c r="A1107" i="20"/>
  <c r="A1106" i="20"/>
  <c r="A1105" i="20"/>
  <c r="A1104" i="20"/>
  <c r="A1103" i="20"/>
  <c r="A1102" i="20"/>
  <c r="A1101" i="20"/>
  <c r="A1100" i="20"/>
  <c r="A1099" i="20"/>
  <c r="A1098" i="20"/>
  <c r="A1097" i="20"/>
  <c r="A1096" i="20"/>
  <c r="A1095" i="20"/>
  <c r="A1094" i="20"/>
  <c r="A1093" i="20"/>
  <c r="A1092" i="20"/>
  <c r="A1091" i="20"/>
  <c r="A1090" i="20"/>
  <c r="A1089" i="20"/>
  <c r="A1088" i="20"/>
  <c r="A1087" i="20"/>
  <c r="A1086" i="20"/>
  <c r="A1085" i="20"/>
  <c r="A1084" i="20"/>
  <c r="A1083" i="20"/>
  <c r="A1082" i="20"/>
  <c r="A1081" i="20"/>
  <c r="A1080" i="20"/>
  <c r="A1079" i="20"/>
  <c r="A1078" i="20"/>
  <c r="A1077" i="20"/>
  <c r="A1076" i="20"/>
  <c r="A1075" i="20"/>
  <c r="A1074" i="20"/>
  <c r="A1073" i="20"/>
  <c r="A1072" i="20"/>
  <c r="A1071" i="20"/>
  <c r="A1070" i="20"/>
  <c r="A1069" i="20"/>
  <c r="A1068" i="20"/>
  <c r="A1067" i="20"/>
  <c r="A1066" i="20"/>
  <c r="A1065" i="20"/>
  <c r="A1064" i="20"/>
  <c r="A1063" i="20"/>
  <c r="A1062" i="20"/>
  <c r="A1061" i="20"/>
  <c r="A1060" i="20"/>
  <c r="A1059" i="20"/>
  <c r="A1058" i="20"/>
  <c r="A1057" i="20"/>
  <c r="A1056" i="20"/>
  <c r="A1055" i="20"/>
  <c r="A1054" i="20"/>
  <c r="A1053" i="20"/>
  <c r="A1052" i="20"/>
  <c r="A1051" i="20"/>
  <c r="A1050" i="20"/>
  <c r="A1049" i="20"/>
  <c r="A1048" i="20"/>
  <c r="A1047" i="20"/>
  <c r="A1046" i="20"/>
  <c r="A1045" i="20"/>
  <c r="A1044" i="20"/>
  <c r="A1043" i="20"/>
  <c r="A1042" i="20"/>
  <c r="A1041" i="20"/>
  <c r="A1040" i="20"/>
  <c r="A1039" i="20"/>
  <c r="A1038" i="20"/>
  <c r="A1037" i="20"/>
  <c r="A1036" i="20"/>
  <c r="A1035" i="20"/>
  <c r="A1034" i="20"/>
  <c r="A1033" i="20"/>
  <c r="A1032" i="20"/>
  <c r="A1031" i="20"/>
  <c r="A1030" i="20"/>
  <c r="A1029" i="20"/>
  <c r="A1028" i="20"/>
  <c r="A1027" i="20"/>
  <c r="A1026" i="20"/>
  <c r="A1025" i="20"/>
  <c r="A1024" i="20"/>
  <c r="A1023" i="20"/>
  <c r="A1022" i="20"/>
  <c r="A1021" i="20"/>
  <c r="A1020" i="20"/>
  <c r="A1019" i="20"/>
  <c r="A1018" i="20"/>
  <c r="A1017" i="20"/>
  <c r="A1016" i="20"/>
  <c r="A1015" i="20"/>
  <c r="A1014" i="20"/>
  <c r="A1013" i="20"/>
  <c r="A1012" i="20"/>
  <c r="A1011" i="20"/>
  <c r="A1010" i="20"/>
  <c r="A1009" i="20"/>
  <c r="A1008" i="20"/>
  <c r="A1007" i="20"/>
  <c r="A1006" i="20"/>
  <c r="A1005" i="20"/>
  <c r="A1004" i="20"/>
  <c r="A1003" i="20"/>
  <c r="A1002" i="20"/>
  <c r="A1001" i="20"/>
  <c r="A1000" i="20"/>
  <c r="A999" i="20"/>
  <c r="A998" i="20"/>
  <c r="A997" i="20"/>
  <c r="A996" i="20"/>
  <c r="A995" i="20"/>
  <c r="A994" i="20"/>
  <c r="A993" i="20"/>
  <c r="A992" i="20"/>
  <c r="A991" i="20"/>
  <c r="A990" i="20"/>
  <c r="A989" i="20"/>
  <c r="A988" i="20"/>
  <c r="A987" i="20"/>
  <c r="A986" i="20"/>
  <c r="A985" i="20"/>
  <c r="A984" i="20"/>
  <c r="A983" i="20"/>
  <c r="A982" i="20"/>
  <c r="A981" i="20"/>
  <c r="A980" i="20"/>
  <c r="A979" i="20"/>
  <c r="A978" i="20"/>
  <c r="A977" i="20"/>
  <c r="A976" i="20"/>
  <c r="A975" i="20"/>
  <c r="A974" i="20"/>
  <c r="A973" i="20"/>
  <c r="A972" i="20"/>
  <c r="A971" i="20"/>
  <c r="A970" i="20"/>
  <c r="A969" i="20"/>
  <c r="A968" i="20"/>
  <c r="A967" i="20"/>
  <c r="A966" i="20"/>
  <c r="A965" i="20"/>
  <c r="A964" i="20"/>
  <c r="A963" i="20"/>
  <c r="A962" i="20"/>
  <c r="A961" i="20"/>
  <c r="A960" i="20"/>
  <c r="A959" i="20"/>
  <c r="A958" i="20"/>
  <c r="A957" i="20"/>
  <c r="A956" i="20"/>
  <c r="A955" i="20"/>
  <c r="A954" i="20"/>
  <c r="A953" i="20"/>
  <c r="A952" i="20"/>
  <c r="A951" i="20"/>
  <c r="A950" i="20"/>
  <c r="A949" i="20"/>
  <c r="A948" i="20"/>
  <c r="A947" i="20"/>
  <c r="A946" i="20"/>
  <c r="A945" i="20"/>
  <c r="A944" i="20"/>
  <c r="A943" i="20"/>
  <c r="A942" i="20"/>
  <c r="A941" i="20"/>
  <c r="A940" i="20"/>
  <c r="A939" i="20"/>
  <c r="A938" i="20"/>
  <c r="A937" i="20"/>
  <c r="A936" i="20"/>
  <c r="A935" i="20"/>
  <c r="A934" i="20"/>
  <c r="A933" i="20"/>
  <c r="A932" i="20"/>
  <c r="A931" i="20"/>
  <c r="A930" i="20"/>
  <c r="A929" i="20"/>
  <c r="A928" i="20"/>
  <c r="A927" i="20"/>
  <c r="A926" i="20"/>
  <c r="A925" i="20"/>
  <c r="A924" i="20"/>
  <c r="A923" i="20"/>
  <c r="A922" i="20"/>
  <c r="A921" i="20"/>
  <c r="A920" i="20"/>
  <c r="A919" i="20"/>
  <c r="A918" i="20"/>
  <c r="A917" i="20"/>
  <c r="A916" i="20"/>
  <c r="A915" i="20"/>
  <c r="A914" i="20"/>
  <c r="A913" i="20"/>
  <c r="A912" i="20"/>
  <c r="A911" i="20"/>
  <c r="A910" i="20"/>
  <c r="A909" i="20"/>
  <c r="A908" i="20"/>
  <c r="A907" i="20"/>
  <c r="A906" i="20"/>
  <c r="A905" i="20"/>
  <c r="A904" i="20"/>
  <c r="A903" i="20"/>
  <c r="A902" i="20"/>
  <c r="A901" i="20"/>
  <c r="A900" i="20"/>
  <c r="A899" i="20"/>
  <c r="A898" i="20"/>
  <c r="A897" i="20"/>
  <c r="A896" i="20"/>
  <c r="A895" i="20"/>
  <c r="A894" i="20"/>
  <c r="A893" i="20"/>
  <c r="A892" i="20"/>
  <c r="A891" i="20"/>
  <c r="A890" i="20"/>
  <c r="A889" i="20"/>
  <c r="A888" i="20"/>
  <c r="A887" i="20"/>
  <c r="A886" i="20"/>
  <c r="A885" i="20"/>
  <c r="A884" i="20"/>
  <c r="A883" i="20"/>
  <c r="A882" i="20"/>
  <c r="A881" i="20"/>
  <c r="A880" i="20"/>
  <c r="A879" i="20"/>
  <c r="A878" i="20"/>
  <c r="A877" i="20"/>
  <c r="A876" i="20"/>
  <c r="A875" i="20"/>
  <c r="A874" i="20"/>
  <c r="A873" i="20"/>
  <c r="A872" i="20"/>
  <c r="A871" i="20"/>
  <c r="A870" i="20"/>
  <c r="A869" i="20"/>
  <c r="A868" i="20"/>
  <c r="A867" i="20"/>
  <c r="A866" i="20"/>
  <c r="A865" i="20"/>
  <c r="A864" i="20"/>
  <c r="A863" i="20"/>
  <c r="A862" i="20"/>
  <c r="A861" i="20"/>
  <c r="A860" i="20"/>
  <c r="A859" i="20"/>
  <c r="A858" i="20"/>
  <c r="A857" i="20"/>
  <c r="A856" i="20"/>
  <c r="A855" i="20"/>
  <c r="A854" i="20"/>
  <c r="A853" i="20"/>
  <c r="A852" i="20"/>
  <c r="A851" i="20"/>
  <c r="A850" i="20"/>
  <c r="A849" i="20"/>
  <c r="A848" i="20"/>
  <c r="A847" i="20"/>
  <c r="A846" i="20"/>
  <c r="A845" i="20"/>
  <c r="A844" i="20"/>
  <c r="A843" i="20"/>
  <c r="A842" i="20"/>
  <c r="A841" i="20"/>
  <c r="A840" i="20"/>
  <c r="A839" i="20"/>
  <c r="A838" i="20"/>
  <c r="A837" i="20"/>
  <c r="A836" i="20"/>
  <c r="A835" i="20"/>
  <c r="A834" i="20"/>
  <c r="A833" i="20"/>
  <c r="A832" i="20"/>
  <c r="A831" i="20"/>
  <c r="A830" i="20"/>
  <c r="A829" i="20"/>
  <c r="A828" i="20"/>
  <c r="A827" i="20"/>
  <c r="A826" i="20"/>
  <c r="A825" i="20"/>
  <c r="A824" i="20"/>
  <c r="A823" i="20"/>
  <c r="A822" i="20"/>
  <c r="A821" i="20"/>
  <c r="A820" i="20"/>
  <c r="A819" i="20"/>
  <c r="A818" i="20"/>
  <c r="A817" i="20"/>
  <c r="A816" i="20"/>
  <c r="A815" i="20"/>
  <c r="A814" i="20"/>
  <c r="A813" i="20"/>
  <c r="A812" i="20"/>
  <c r="A811" i="20"/>
  <c r="A810" i="20"/>
  <c r="A809" i="20"/>
  <c r="A808" i="20"/>
  <c r="A807" i="20"/>
  <c r="A806" i="20"/>
  <c r="A805" i="20"/>
  <c r="A804" i="20"/>
  <c r="A803" i="20"/>
  <c r="A802" i="20"/>
  <c r="A801" i="20"/>
  <c r="A800" i="20"/>
  <c r="A799" i="20"/>
  <c r="A798" i="20"/>
  <c r="A797" i="20"/>
  <c r="A796" i="20"/>
  <c r="A795" i="20"/>
  <c r="A794" i="20"/>
  <c r="A793" i="20"/>
  <c r="A792" i="20"/>
  <c r="A791" i="20"/>
  <c r="A790" i="20"/>
  <c r="A789" i="20"/>
  <c r="A788" i="20"/>
  <c r="A787" i="20"/>
  <c r="A786" i="20"/>
  <c r="A785" i="20"/>
  <c r="A784" i="20"/>
  <c r="A783" i="20"/>
  <c r="A782" i="20"/>
  <c r="A781" i="20"/>
  <c r="A780" i="20"/>
  <c r="A779" i="20"/>
  <c r="A778" i="20"/>
  <c r="A777" i="20"/>
  <c r="A776" i="20"/>
  <c r="A775" i="20"/>
  <c r="A774" i="20"/>
  <c r="A773" i="20"/>
  <c r="A772" i="20"/>
  <c r="A771" i="20"/>
  <c r="A770" i="20"/>
  <c r="A769" i="20"/>
  <c r="A768" i="20"/>
  <c r="A767" i="20"/>
  <c r="A766" i="20"/>
  <c r="A765" i="20"/>
  <c r="A764" i="20"/>
  <c r="A763" i="20"/>
  <c r="A762" i="20"/>
  <c r="A761" i="20"/>
  <c r="A760" i="20"/>
  <c r="A759" i="20"/>
  <c r="A758" i="20"/>
  <c r="A757" i="20"/>
  <c r="A756" i="20"/>
  <c r="A755" i="20"/>
  <c r="A754" i="20"/>
  <c r="A753" i="20"/>
  <c r="A752" i="20"/>
  <c r="A751" i="20"/>
  <c r="A750" i="20"/>
  <c r="A749" i="20"/>
  <c r="A748" i="20"/>
  <c r="A747" i="20"/>
  <c r="A746" i="20"/>
  <c r="A745" i="20"/>
  <c r="A744" i="20"/>
  <c r="A743" i="20"/>
  <c r="A742" i="20"/>
  <c r="A741" i="20"/>
  <c r="A740" i="20"/>
  <c r="A739" i="20"/>
  <c r="A738" i="20"/>
  <c r="A737" i="20"/>
  <c r="A736" i="20"/>
  <c r="A735" i="20"/>
  <c r="A734" i="20"/>
  <c r="A733" i="20"/>
  <c r="A732" i="20"/>
  <c r="A731" i="20"/>
  <c r="A730" i="20"/>
  <c r="A729" i="20"/>
  <c r="A728" i="20"/>
  <c r="A727" i="20"/>
  <c r="A726" i="20"/>
  <c r="A725" i="20"/>
  <c r="A724" i="20"/>
  <c r="A723" i="20"/>
  <c r="A722" i="20"/>
  <c r="A721" i="20"/>
  <c r="A720" i="20"/>
  <c r="A719" i="20"/>
  <c r="A718" i="20"/>
  <c r="A717" i="20"/>
  <c r="A716" i="20"/>
  <c r="A715" i="20"/>
  <c r="A714" i="20"/>
  <c r="A713" i="20"/>
  <c r="A712" i="20"/>
  <c r="A711" i="20"/>
  <c r="A710" i="20"/>
  <c r="A709" i="20"/>
  <c r="A708" i="20"/>
  <c r="A707" i="20"/>
  <c r="A706" i="20"/>
  <c r="A705" i="20"/>
  <c r="A704" i="20"/>
  <c r="A703" i="20"/>
  <c r="A702" i="20"/>
  <c r="A701" i="20"/>
  <c r="A700" i="20"/>
  <c r="A699" i="20"/>
  <c r="A698" i="20"/>
  <c r="A697" i="20"/>
  <c r="A696" i="20"/>
  <c r="A695" i="20"/>
  <c r="A694" i="20"/>
  <c r="A693" i="20"/>
  <c r="A692" i="20"/>
  <c r="A691" i="20"/>
  <c r="A690" i="20"/>
  <c r="A689" i="20"/>
  <c r="A688" i="20"/>
  <c r="A687" i="20"/>
  <c r="A686" i="20"/>
  <c r="A685" i="20"/>
  <c r="A684" i="20"/>
  <c r="A683" i="20"/>
  <c r="A682" i="20"/>
  <c r="A681" i="20"/>
  <c r="A680" i="20"/>
  <c r="A679" i="20"/>
  <c r="A678" i="20"/>
  <c r="A677" i="20"/>
  <c r="A676" i="20"/>
  <c r="A675" i="20"/>
  <c r="A674" i="20"/>
  <c r="A673" i="20"/>
  <c r="A672" i="20"/>
  <c r="A671" i="20"/>
  <c r="A670" i="20"/>
  <c r="A669" i="20"/>
  <c r="A668" i="20"/>
  <c r="A667" i="20"/>
  <c r="A666" i="20"/>
  <c r="A665" i="20"/>
  <c r="A664" i="20"/>
  <c r="A663" i="20"/>
  <c r="A662" i="20"/>
  <c r="A661" i="20"/>
  <c r="A660" i="20"/>
  <c r="A659" i="20"/>
  <c r="A658" i="20"/>
  <c r="A657" i="20"/>
  <c r="A656" i="20"/>
  <c r="A655" i="20"/>
  <c r="A654" i="20"/>
  <c r="A653" i="20"/>
  <c r="A652" i="20"/>
  <c r="A651" i="20"/>
  <c r="A650" i="20"/>
  <c r="A649" i="20"/>
  <c r="A648" i="20"/>
  <c r="A647" i="20"/>
  <c r="A646" i="20"/>
  <c r="A645" i="20"/>
  <c r="A644" i="20"/>
  <c r="A643" i="20"/>
  <c r="A642" i="20"/>
  <c r="A641" i="20"/>
  <c r="A640" i="20"/>
  <c r="A639" i="20"/>
  <c r="A638" i="20"/>
  <c r="A637" i="20"/>
  <c r="A636" i="20"/>
  <c r="A635" i="20"/>
  <c r="A634" i="20"/>
  <c r="A633" i="20"/>
  <c r="A632" i="20"/>
  <c r="A631" i="20"/>
  <c r="A630" i="20"/>
  <c r="A629" i="20"/>
  <c r="A628" i="20"/>
  <c r="A627" i="20"/>
  <c r="A626" i="20"/>
  <c r="A625" i="20"/>
  <c r="A624" i="20"/>
  <c r="A623" i="20"/>
  <c r="A622" i="20"/>
  <c r="A621" i="20"/>
  <c r="A620" i="20"/>
  <c r="A619" i="20"/>
  <c r="A618" i="20"/>
  <c r="A617" i="20"/>
  <c r="A616" i="20"/>
  <c r="A615" i="20"/>
  <c r="A614" i="20"/>
  <c r="A613" i="20"/>
  <c r="A612" i="20"/>
  <c r="A611" i="20"/>
  <c r="A610" i="20"/>
  <c r="A609" i="20"/>
  <c r="A608" i="20"/>
  <c r="A607" i="20"/>
  <c r="A606" i="20"/>
  <c r="A605" i="20"/>
  <c r="A604" i="20"/>
  <c r="A603" i="20"/>
  <c r="A602" i="20"/>
  <c r="A601" i="20"/>
  <c r="A600" i="20"/>
  <c r="A599" i="20"/>
  <c r="A598" i="20"/>
  <c r="A597" i="20"/>
  <c r="A596" i="20"/>
  <c r="A595" i="20"/>
  <c r="A594" i="20"/>
  <c r="A593" i="20"/>
  <c r="A592" i="20"/>
  <c r="A591" i="20"/>
  <c r="A590" i="20"/>
  <c r="A589" i="20"/>
  <c r="A588" i="20"/>
  <c r="A587" i="20"/>
  <c r="A586" i="20"/>
  <c r="A585" i="20"/>
  <c r="A584" i="20"/>
  <c r="A583" i="20"/>
  <c r="A582" i="20"/>
  <c r="A581" i="20"/>
  <c r="A580" i="20"/>
  <c r="A579" i="20"/>
  <c r="A578" i="20"/>
  <c r="A577" i="20"/>
  <c r="A576" i="20"/>
  <c r="A575" i="20"/>
  <c r="A574" i="20"/>
  <c r="A573" i="20"/>
  <c r="A572" i="20"/>
  <c r="A571" i="20"/>
  <c r="A570" i="20"/>
  <c r="A569" i="20"/>
  <c r="A568" i="20"/>
  <c r="A567" i="20"/>
  <c r="A566" i="20"/>
  <c r="A565" i="20"/>
  <c r="A564" i="20"/>
  <c r="A563" i="20"/>
  <c r="A562" i="20"/>
  <c r="A561" i="20"/>
  <c r="A560" i="20"/>
  <c r="A559" i="20"/>
  <c r="A558" i="20"/>
  <c r="A557" i="20"/>
  <c r="A556" i="20"/>
  <c r="A555" i="20"/>
  <c r="A554" i="20"/>
  <c r="A553" i="20"/>
  <c r="A552" i="20"/>
  <c r="A551" i="20"/>
  <c r="A550" i="20"/>
  <c r="A549" i="20"/>
  <c r="A548" i="20"/>
  <c r="A547" i="20"/>
  <c r="A546" i="20"/>
  <c r="A545" i="20"/>
  <c r="A544" i="20"/>
  <c r="A543" i="20"/>
  <c r="A542" i="20"/>
  <c r="A541" i="20"/>
  <c r="A540" i="20"/>
  <c r="A539" i="20"/>
  <c r="A538" i="20"/>
  <c r="A537" i="20"/>
  <c r="A536" i="20"/>
  <c r="A535" i="20"/>
  <c r="A534" i="20"/>
  <c r="A533" i="20"/>
  <c r="A532" i="20"/>
  <c r="A531" i="20"/>
  <c r="A530" i="20"/>
  <c r="A529" i="20"/>
  <c r="A528" i="20"/>
  <c r="A527" i="20"/>
  <c r="A526" i="20"/>
  <c r="A525" i="20"/>
  <c r="A524" i="20"/>
  <c r="A523" i="20"/>
  <c r="A522" i="20"/>
  <c r="A521" i="20"/>
  <c r="A520" i="20"/>
  <c r="A519" i="20"/>
  <c r="A518" i="20"/>
  <c r="A517" i="20"/>
  <c r="A516" i="20"/>
  <c r="A515" i="20"/>
  <c r="A514" i="20"/>
  <c r="A513" i="20"/>
  <c r="A512" i="20"/>
  <c r="A511" i="20"/>
  <c r="A510" i="20"/>
  <c r="A509" i="20"/>
  <c r="A508" i="20"/>
  <c r="A507" i="20"/>
  <c r="A506" i="20"/>
  <c r="A505" i="20"/>
  <c r="A504" i="20"/>
  <c r="A503" i="20"/>
  <c r="A502" i="20"/>
  <c r="A501" i="20"/>
  <c r="A500" i="20"/>
  <c r="A499" i="20"/>
  <c r="A498" i="20"/>
  <c r="A497" i="20"/>
  <c r="A496" i="20"/>
  <c r="A495" i="20"/>
  <c r="A494" i="20"/>
  <c r="A493" i="20"/>
  <c r="A492" i="20"/>
  <c r="A491" i="20"/>
  <c r="A490" i="20"/>
  <c r="A489" i="20"/>
  <c r="A488" i="20"/>
  <c r="A487" i="20"/>
  <c r="A486" i="20"/>
  <c r="A485" i="20"/>
  <c r="A484" i="20"/>
  <c r="A483" i="20"/>
  <c r="A482" i="20"/>
  <c r="A481" i="20"/>
  <c r="A480" i="20"/>
  <c r="A479" i="20"/>
  <c r="A478" i="20"/>
  <c r="A477" i="20"/>
  <c r="A476" i="20"/>
  <c r="A475" i="20"/>
  <c r="A474" i="20"/>
  <c r="A473" i="20"/>
  <c r="A472" i="20"/>
  <c r="A471" i="20"/>
  <c r="A470" i="20"/>
  <c r="A469" i="20"/>
  <c r="A468" i="20"/>
  <c r="A467" i="20"/>
  <c r="A466" i="20"/>
  <c r="A465" i="20"/>
  <c r="A464" i="20"/>
  <c r="A463" i="20"/>
  <c r="A462" i="20"/>
  <c r="A461" i="20"/>
  <c r="A460" i="20"/>
  <c r="A459" i="20"/>
  <c r="A458" i="20"/>
  <c r="A457" i="20"/>
  <c r="A456" i="20"/>
  <c r="A455" i="20"/>
  <c r="A454" i="20"/>
  <c r="A453" i="20"/>
  <c r="A452" i="20"/>
  <c r="A451" i="20"/>
  <c r="A450" i="20"/>
  <c r="A449" i="20"/>
  <c r="A448" i="20"/>
  <c r="A447" i="20"/>
  <c r="A446" i="20"/>
  <c r="A445" i="20"/>
  <c r="A444" i="20"/>
  <c r="A443" i="20"/>
  <c r="A442" i="20"/>
  <c r="A441" i="20"/>
  <c r="A440" i="20"/>
  <c r="A439" i="20"/>
  <c r="A438" i="20"/>
  <c r="A437" i="20"/>
  <c r="A436" i="20"/>
  <c r="A435" i="20"/>
  <c r="A434" i="20"/>
  <c r="A433" i="20"/>
  <c r="A432" i="20"/>
  <c r="A431" i="20"/>
  <c r="A430" i="20"/>
  <c r="A429" i="20"/>
  <c r="A428" i="20"/>
  <c r="A427" i="20"/>
  <c r="A426" i="20"/>
  <c r="A425" i="20"/>
  <c r="A424" i="20"/>
  <c r="A423" i="20"/>
  <c r="A422" i="20"/>
  <c r="A421" i="20"/>
  <c r="A420" i="20"/>
  <c r="A419" i="20"/>
  <c r="A418" i="20"/>
  <c r="A417" i="20"/>
  <c r="A416" i="20"/>
  <c r="A415" i="20"/>
  <c r="A414" i="20"/>
  <c r="A413" i="20"/>
  <c r="A412" i="20"/>
  <c r="A411" i="20"/>
  <c r="A410" i="20"/>
  <c r="A409" i="20"/>
  <c r="A408" i="20"/>
  <c r="A407" i="20"/>
  <c r="A406" i="20"/>
  <c r="A405" i="20"/>
  <c r="A404" i="20"/>
  <c r="A403" i="20"/>
  <c r="A402" i="20"/>
  <c r="A401" i="20"/>
  <c r="A400" i="20"/>
  <c r="A399" i="20"/>
  <c r="A398" i="20"/>
  <c r="A397" i="20"/>
  <c r="A396" i="20"/>
  <c r="A395" i="20"/>
  <c r="A394" i="20"/>
  <c r="A393" i="20"/>
  <c r="A392" i="20"/>
  <c r="A391" i="20"/>
  <c r="A390" i="20"/>
  <c r="A389" i="20"/>
  <c r="A388" i="20"/>
  <c r="A387" i="20"/>
  <c r="A386" i="20"/>
  <c r="A385" i="20"/>
  <c r="A384" i="20"/>
  <c r="A383" i="20"/>
  <c r="A382" i="20"/>
  <c r="A381" i="20"/>
  <c r="A380" i="20"/>
  <c r="A379" i="20"/>
  <c r="A378" i="20"/>
  <c r="A377" i="20"/>
  <c r="A376" i="20"/>
  <c r="A375" i="20"/>
  <c r="A374" i="20"/>
  <c r="A373" i="20"/>
  <c r="A372" i="20"/>
  <c r="A371" i="20"/>
  <c r="A370" i="20"/>
  <c r="A369" i="20"/>
  <c r="A368" i="20"/>
  <c r="A367" i="20"/>
  <c r="A366" i="20"/>
  <c r="A365" i="20"/>
  <c r="A364" i="20"/>
  <c r="A363" i="20"/>
  <c r="A362" i="20"/>
  <c r="A361" i="20"/>
  <c r="A360" i="20"/>
  <c r="A359" i="20"/>
  <c r="A358" i="20"/>
  <c r="A357" i="20"/>
  <c r="A356" i="20"/>
  <c r="A355" i="20"/>
  <c r="A354" i="20"/>
  <c r="A353" i="20"/>
  <c r="A352" i="20"/>
  <c r="A351" i="20"/>
  <c r="A350" i="20"/>
  <c r="A349" i="20"/>
  <c r="A348" i="20"/>
  <c r="A347" i="20"/>
  <c r="A346" i="20"/>
  <c r="A345" i="20"/>
  <c r="A344" i="20"/>
  <c r="A343" i="20"/>
  <c r="A342" i="20"/>
  <c r="A341" i="20"/>
  <c r="A340" i="20"/>
  <c r="A339" i="20"/>
  <c r="A338" i="20"/>
  <c r="A337" i="20"/>
  <c r="A336" i="20"/>
  <c r="A335" i="20"/>
  <c r="A334" i="20"/>
  <c r="A333" i="20"/>
  <c r="A332" i="20"/>
  <c r="A331" i="20"/>
  <c r="A330" i="20"/>
  <c r="A329" i="20"/>
  <c r="A328" i="20"/>
  <c r="A327" i="20"/>
  <c r="A326" i="20"/>
  <c r="A325" i="20"/>
  <c r="A324" i="20"/>
  <c r="A323" i="20"/>
  <c r="A322" i="20"/>
  <c r="A321" i="20"/>
  <c r="A320" i="20"/>
  <c r="A319" i="20"/>
  <c r="A318" i="20"/>
  <c r="A317" i="20"/>
  <c r="A316" i="20"/>
  <c r="A315" i="20"/>
  <c r="A314" i="20"/>
  <c r="A313" i="20"/>
  <c r="A312" i="20"/>
  <c r="A311" i="20"/>
  <c r="A310" i="20"/>
  <c r="A309" i="20"/>
  <c r="A308" i="20"/>
  <c r="A307" i="20"/>
  <c r="A306" i="20"/>
  <c r="A305" i="20"/>
  <c r="A304" i="20"/>
  <c r="A303" i="20"/>
  <c r="A302" i="20"/>
  <c r="A301" i="20"/>
  <c r="A300" i="20"/>
  <c r="A299" i="20"/>
  <c r="A298" i="20"/>
  <c r="A297" i="20"/>
  <c r="A296" i="20"/>
  <c r="A295" i="20"/>
  <c r="A294" i="20"/>
  <c r="A293" i="20"/>
  <c r="A292" i="20"/>
  <c r="A291" i="20"/>
  <c r="A290" i="20"/>
  <c r="A289" i="20"/>
  <c r="A288" i="20"/>
  <c r="A287" i="20"/>
  <c r="A286" i="20"/>
  <c r="A285" i="20"/>
  <c r="A284" i="20"/>
  <c r="A283" i="20"/>
  <c r="A282" i="20"/>
  <c r="A281" i="20"/>
  <c r="A280" i="20"/>
  <c r="A279" i="20"/>
  <c r="A278" i="20"/>
  <c r="A277" i="20"/>
  <c r="A276" i="20"/>
  <c r="A275" i="20"/>
  <c r="A274" i="20"/>
  <c r="A273" i="20"/>
  <c r="A272" i="20"/>
  <c r="A271" i="20"/>
  <c r="A270" i="20"/>
  <c r="A269" i="20"/>
  <c r="A268" i="20"/>
  <c r="A267" i="20"/>
  <c r="A266" i="20"/>
  <c r="A265" i="20"/>
  <c r="A264" i="20"/>
  <c r="A263" i="20"/>
  <c r="A262" i="20"/>
  <c r="A261" i="20"/>
  <c r="A260" i="20"/>
  <c r="A259" i="20"/>
  <c r="A258" i="20"/>
  <c r="A257" i="20"/>
  <c r="A256" i="20"/>
  <c r="A255" i="20"/>
  <c r="A254" i="20"/>
  <c r="A253" i="20"/>
  <c r="A252" i="20"/>
  <c r="A251" i="20"/>
  <c r="A250" i="20"/>
  <c r="A249" i="20"/>
  <c r="A248" i="20"/>
  <c r="A247" i="20"/>
  <c r="A246" i="20"/>
  <c r="A245" i="20"/>
  <c r="A244" i="20"/>
  <c r="A243" i="20"/>
  <c r="A242" i="20"/>
  <c r="A241" i="20"/>
  <c r="A240" i="20"/>
  <c r="A239" i="20"/>
  <c r="A238" i="20"/>
  <c r="A237" i="20"/>
  <c r="A236" i="20"/>
  <c r="A235" i="20"/>
  <c r="A234" i="20"/>
  <c r="A233" i="20"/>
  <c r="A232" i="20"/>
  <c r="A231" i="20"/>
  <c r="A230" i="20"/>
  <c r="A229" i="20"/>
  <c r="A228" i="20"/>
  <c r="A227" i="20"/>
  <c r="A226" i="20"/>
  <c r="A225" i="20"/>
  <c r="A224" i="20"/>
  <c r="A223" i="20"/>
  <c r="A222" i="20"/>
  <c r="A221" i="20"/>
  <c r="A220" i="20"/>
  <c r="A219" i="20"/>
  <c r="A218" i="20"/>
  <c r="A217" i="20"/>
  <c r="A216" i="20"/>
  <c r="A215" i="20"/>
  <c r="A214" i="20"/>
  <c r="A213" i="20"/>
  <c r="A212" i="20"/>
  <c r="A211" i="20"/>
  <c r="A210" i="20"/>
  <c r="A209" i="20"/>
  <c r="A208" i="20"/>
  <c r="A207" i="20"/>
  <c r="A206" i="20"/>
  <c r="A205" i="20"/>
  <c r="A204" i="20"/>
  <c r="A203" i="20"/>
  <c r="A202" i="20"/>
  <c r="A201" i="20"/>
  <c r="A200" i="20"/>
  <c r="A199" i="20"/>
  <c r="A198" i="20"/>
  <c r="A197" i="20"/>
  <c r="A196" i="20"/>
  <c r="A195" i="20"/>
  <c r="A194" i="20"/>
  <c r="A193" i="20"/>
  <c r="A192" i="20"/>
  <c r="A191" i="20"/>
  <c r="A190" i="20"/>
  <c r="A189" i="20"/>
  <c r="A188" i="20"/>
  <c r="A187" i="20"/>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Y14" i="20"/>
  <c r="A14" i="20"/>
  <c r="A13" i="20"/>
  <c r="A12" i="20"/>
  <c r="A11" i="20"/>
  <c r="A10" i="20"/>
  <c r="A9" i="20"/>
  <c r="A8" i="20"/>
  <c r="A7" i="20"/>
  <c r="A6" i="20"/>
  <c r="A5" i="20"/>
  <c r="A4" i="20"/>
  <c r="A3" i="20"/>
  <c r="A2" i="20"/>
  <c r="R1" i="20"/>
  <c r="S6" i="3"/>
  <c r="M5" i="3"/>
  <c r="D5" i="3"/>
  <c r="R3" i="3"/>
  <c r="B137" i="2"/>
  <c r="A137" i="2"/>
  <c r="B136" i="2"/>
  <c r="A136" i="2"/>
  <c r="B135" i="2"/>
  <c r="A135" i="2"/>
  <c r="B134" i="2"/>
  <c r="A134" i="2"/>
  <c r="B133" i="2"/>
  <c r="A133" i="2"/>
  <c r="B132" i="2"/>
  <c r="A132" i="2"/>
  <c r="B131" i="2"/>
  <c r="A131" i="2"/>
  <c r="B130" i="2"/>
  <c r="A130" i="2"/>
  <c r="B129" i="2"/>
  <c r="A129" i="2"/>
  <c r="B128" i="2"/>
  <c r="A128" i="2"/>
  <c r="AA127" i="2"/>
  <c r="B127" i="2"/>
  <c r="A127" i="2"/>
  <c r="AA126" i="2"/>
  <c r="B126" i="2"/>
  <c r="A126" i="2"/>
  <c r="AA125" i="2"/>
  <c r="B125" i="2"/>
  <c r="A125" i="2"/>
  <c r="AA124" i="2"/>
  <c r="B124" i="2"/>
  <c r="A124" i="2"/>
  <c r="AA123" i="2"/>
  <c r="B123" i="2"/>
  <c r="A123" i="2"/>
  <c r="AA122" i="2"/>
  <c r="B122" i="2"/>
  <c r="A122" i="2"/>
  <c r="AA121" i="2"/>
  <c r="B121" i="2"/>
  <c r="A121" i="2"/>
  <c r="AA120" i="2"/>
  <c r="B120" i="2"/>
  <c r="A120" i="2"/>
  <c r="AA119" i="2"/>
  <c r="B119" i="2"/>
  <c r="A119" i="2"/>
  <c r="AA118" i="2"/>
  <c r="B118" i="2"/>
  <c r="A118" i="2"/>
  <c r="AA117" i="2"/>
  <c r="B117" i="2"/>
  <c r="A117" i="2"/>
  <c r="AA116" i="2"/>
  <c r="B116" i="2"/>
  <c r="A116" i="2"/>
  <c r="AA115" i="2"/>
  <c r="B115" i="2"/>
  <c r="A115" i="2"/>
  <c r="AA114" i="2"/>
  <c r="B114" i="2"/>
  <c r="A114" i="2"/>
  <c r="AA113" i="2"/>
  <c r="B113" i="2"/>
  <c r="A113" i="2"/>
  <c r="AA112" i="2"/>
  <c r="B112" i="2"/>
  <c r="A112" i="2"/>
  <c r="AA111" i="2"/>
  <c r="B111" i="2"/>
  <c r="A111" i="2"/>
  <c r="AA110" i="2"/>
  <c r="B110" i="2"/>
  <c r="A110" i="2"/>
  <c r="AA109" i="2"/>
  <c r="B109" i="2"/>
  <c r="A109" i="2"/>
  <c r="AA108" i="2"/>
  <c r="B108" i="2"/>
  <c r="A108" i="2"/>
  <c r="AA107" i="2"/>
  <c r="B107" i="2"/>
  <c r="A107" i="2"/>
  <c r="AA106" i="2"/>
  <c r="B106" i="2"/>
  <c r="A106" i="2"/>
  <c r="AA105" i="2"/>
  <c r="B105" i="2"/>
  <c r="A105" i="2"/>
  <c r="AA104" i="2"/>
  <c r="B104" i="2"/>
  <c r="A104" i="2"/>
  <c r="AA103" i="2"/>
  <c r="B103" i="2"/>
  <c r="A103" i="2"/>
  <c r="AA102" i="2"/>
  <c r="B102" i="2"/>
  <c r="A102" i="2"/>
  <c r="AA101" i="2"/>
  <c r="B101" i="2"/>
  <c r="A101" i="2"/>
  <c r="AA100" i="2"/>
  <c r="B100" i="2"/>
  <c r="A100" i="2"/>
  <c r="AA99" i="2"/>
  <c r="B99" i="2"/>
  <c r="A99" i="2"/>
  <c r="AA98" i="2"/>
  <c r="B98" i="2"/>
  <c r="A98" i="2"/>
  <c r="AA97" i="2"/>
  <c r="B97" i="2"/>
  <c r="A97" i="2"/>
  <c r="AA96" i="2"/>
  <c r="B96" i="2"/>
  <c r="A96" i="2"/>
  <c r="AA95" i="2"/>
  <c r="B95" i="2"/>
  <c r="A95" i="2"/>
  <c r="AA94" i="2"/>
  <c r="B94" i="2"/>
  <c r="A94" i="2"/>
  <c r="AA93" i="2"/>
  <c r="B93" i="2"/>
  <c r="A93" i="2"/>
  <c r="AA92" i="2"/>
  <c r="B92" i="2"/>
  <c r="A92" i="2"/>
  <c r="AA91" i="2"/>
  <c r="B91" i="2"/>
  <c r="A91" i="2"/>
  <c r="AA90" i="2"/>
  <c r="B90" i="2"/>
  <c r="A90" i="2"/>
  <c r="AA89" i="2"/>
  <c r="B89" i="2"/>
  <c r="A89" i="2"/>
  <c r="AA88" i="2"/>
  <c r="B88" i="2"/>
  <c r="A88" i="2"/>
  <c r="AA87" i="2"/>
  <c r="B87" i="2"/>
  <c r="A87" i="2"/>
  <c r="AA86" i="2"/>
  <c r="B86" i="2"/>
  <c r="A86" i="2"/>
  <c r="AA85" i="2"/>
  <c r="B85" i="2"/>
  <c r="A85" i="2"/>
  <c r="AA84" i="2"/>
  <c r="B84" i="2"/>
  <c r="A84" i="2"/>
  <c r="AA83" i="2"/>
  <c r="B83" i="2"/>
  <c r="A83" i="2"/>
  <c r="AA82" i="2"/>
  <c r="B82" i="2"/>
  <c r="A82" i="2"/>
  <c r="AA81" i="2"/>
  <c r="B81" i="2"/>
  <c r="A81" i="2"/>
  <c r="AA80" i="2"/>
  <c r="B80" i="2"/>
  <c r="A80" i="2"/>
  <c r="AA79" i="2"/>
  <c r="B79" i="2"/>
  <c r="A79" i="2"/>
  <c r="AA78" i="2"/>
  <c r="B78" i="2"/>
  <c r="A78" i="2"/>
  <c r="AA77" i="2"/>
  <c r="B77" i="2"/>
  <c r="A77" i="2"/>
  <c r="AA76" i="2"/>
  <c r="B76" i="2"/>
  <c r="A76" i="2"/>
  <c r="AA75" i="2"/>
  <c r="B75" i="2"/>
  <c r="A75" i="2"/>
  <c r="AA74" i="2"/>
  <c r="B74" i="2"/>
  <c r="A74" i="2"/>
  <c r="AA73" i="2"/>
  <c r="B73" i="2"/>
  <c r="A73" i="2"/>
  <c r="AA72" i="2"/>
  <c r="B72" i="2"/>
  <c r="A72" i="2"/>
  <c r="AA71" i="2"/>
  <c r="B71" i="2"/>
  <c r="A71" i="2"/>
  <c r="AA70" i="2"/>
  <c r="B70" i="2"/>
  <c r="A70" i="2"/>
  <c r="AA69" i="2"/>
  <c r="B69" i="2"/>
  <c r="A69" i="2"/>
  <c r="AA68" i="2"/>
  <c r="B68" i="2"/>
  <c r="A68" i="2"/>
  <c r="AA67" i="2"/>
  <c r="B67" i="2"/>
  <c r="A67" i="2"/>
  <c r="AA66" i="2"/>
  <c r="B66" i="2"/>
  <c r="A66" i="2"/>
  <c r="AA65" i="2"/>
  <c r="B65" i="2"/>
  <c r="A65" i="2"/>
  <c r="AA64" i="2"/>
  <c r="B64" i="2"/>
  <c r="A64" i="2"/>
  <c r="AA63" i="2"/>
  <c r="B63" i="2"/>
  <c r="A63" i="2"/>
  <c r="AA62" i="2"/>
  <c r="B62" i="2"/>
  <c r="A62" i="2"/>
  <c r="AA61" i="2"/>
  <c r="B61" i="2"/>
  <c r="A61" i="2"/>
  <c r="AA60" i="2"/>
  <c r="B60" i="2"/>
  <c r="A60" i="2"/>
  <c r="AA59" i="2"/>
  <c r="B59" i="2"/>
  <c r="A59" i="2"/>
  <c r="AA58" i="2"/>
  <c r="B58" i="2"/>
  <c r="A58" i="2"/>
  <c r="AA57" i="2"/>
  <c r="B57" i="2"/>
  <c r="A57" i="2"/>
  <c r="AA56" i="2"/>
  <c r="B56" i="2"/>
  <c r="A56" i="2"/>
  <c r="AA55" i="2"/>
  <c r="B55" i="2"/>
  <c r="A55" i="2"/>
  <c r="AA54" i="2"/>
  <c r="B54" i="2"/>
  <c r="A54" i="2"/>
  <c r="AA53" i="2"/>
  <c r="B53" i="2"/>
  <c r="A53" i="2"/>
  <c r="AA52" i="2"/>
  <c r="B52" i="2"/>
  <c r="A52" i="2"/>
  <c r="AA51" i="2"/>
  <c r="B51" i="2"/>
  <c r="A51" i="2"/>
  <c r="AA50" i="2"/>
  <c r="B50" i="2"/>
  <c r="A50" i="2"/>
  <c r="AA49" i="2"/>
  <c r="B49" i="2"/>
  <c r="A49" i="2"/>
  <c r="AA48" i="2"/>
  <c r="B48" i="2"/>
  <c r="A48" i="2"/>
  <c r="AA47" i="2"/>
  <c r="B47" i="2"/>
  <c r="A47" i="2"/>
  <c r="AA46" i="2"/>
  <c r="B46" i="2"/>
  <c r="A46" i="2"/>
  <c r="AA45" i="2"/>
  <c r="B45" i="2"/>
  <c r="A45" i="2"/>
  <c r="AA44" i="2"/>
  <c r="B44" i="2"/>
  <c r="A44" i="2"/>
  <c r="AA43" i="2"/>
  <c r="B43" i="2"/>
  <c r="A43" i="2"/>
  <c r="AA42" i="2"/>
  <c r="B42" i="2"/>
  <c r="A42" i="2"/>
  <c r="AA41" i="2"/>
  <c r="B41" i="2"/>
  <c r="A41" i="2"/>
  <c r="AA40" i="2"/>
  <c r="B40" i="2"/>
  <c r="A40" i="2"/>
  <c r="AA39" i="2"/>
  <c r="B39" i="2"/>
  <c r="A39" i="2"/>
  <c r="AA38" i="2"/>
  <c r="B38" i="2"/>
  <c r="A38" i="2"/>
  <c r="AA37" i="2"/>
  <c r="B37" i="2"/>
  <c r="A37" i="2"/>
  <c r="AA36" i="2"/>
  <c r="B36" i="2"/>
  <c r="A36" i="2"/>
  <c r="AA35" i="2"/>
  <c r="B35" i="2"/>
  <c r="A35" i="2"/>
  <c r="AA34" i="2"/>
  <c r="B34" i="2"/>
  <c r="A34" i="2"/>
  <c r="AA33" i="2"/>
  <c r="B33" i="2"/>
  <c r="A33" i="2"/>
  <c r="AA32" i="2"/>
  <c r="B32" i="2"/>
  <c r="A32" i="2"/>
  <c r="AA31" i="2"/>
  <c r="B31" i="2"/>
  <c r="A31" i="2"/>
  <c r="AA30" i="2"/>
  <c r="B30" i="2"/>
  <c r="A30" i="2"/>
  <c r="AA29" i="2"/>
  <c r="B29" i="2"/>
  <c r="A29" i="2"/>
  <c r="AA28" i="2"/>
  <c r="B28" i="2"/>
  <c r="A28" i="2"/>
  <c r="AA27" i="2"/>
  <c r="B27" i="2"/>
  <c r="A27" i="2"/>
  <c r="AA26" i="2"/>
  <c r="B26" i="2"/>
  <c r="A26" i="2"/>
  <c r="AA25" i="2"/>
  <c r="B25" i="2"/>
  <c r="A25" i="2"/>
  <c r="AA24" i="2"/>
  <c r="B24" i="2"/>
  <c r="A24" i="2"/>
  <c r="AA23" i="2"/>
  <c r="B23" i="2"/>
  <c r="A23" i="2"/>
  <c r="AA22" i="2"/>
  <c r="B22" i="2"/>
  <c r="A22" i="2"/>
  <c r="AA21" i="2"/>
  <c r="B21" i="2"/>
  <c r="A21" i="2"/>
  <c r="AA20" i="2"/>
  <c r="B20" i="2"/>
  <c r="A20" i="2"/>
  <c r="AA19" i="2"/>
  <c r="B19" i="2"/>
  <c r="A19" i="2"/>
  <c r="AA18" i="2"/>
  <c r="B18" i="2"/>
  <c r="A18" i="2"/>
  <c r="AA17" i="2"/>
  <c r="B17" i="2"/>
  <c r="A17" i="2"/>
  <c r="AA16" i="2"/>
  <c r="B16" i="2"/>
  <c r="A16" i="2"/>
  <c r="AA15" i="2"/>
  <c r="B15" i="2"/>
  <c r="A15" i="2"/>
  <c r="AA14" i="2"/>
  <c r="B14" i="2"/>
  <c r="A14" i="2"/>
  <c r="AA13" i="2"/>
  <c r="B13" i="2"/>
  <c r="A13" i="2"/>
  <c r="AA12" i="2"/>
  <c r="B12" i="2"/>
  <c r="A12" i="2"/>
  <c r="AA11" i="2"/>
  <c r="B11" i="2"/>
  <c r="A11" i="2"/>
  <c r="AA10" i="2"/>
  <c r="B10" i="2"/>
  <c r="A10" i="2"/>
  <c r="AA9" i="2"/>
  <c r="B9" i="2"/>
  <c r="A9" i="2"/>
  <c r="AA8" i="2"/>
  <c r="B8" i="2"/>
  <c r="A8" i="2"/>
  <c r="AA7" i="2"/>
  <c r="B7" i="2"/>
  <c r="A7" i="2"/>
  <c r="AA6" i="2"/>
  <c r="B6" i="2"/>
  <c r="A6" i="2"/>
  <c r="AB5" i="2"/>
  <c r="AB6" i="2" s="1"/>
  <c r="A4" i="2"/>
  <c r="J3" i="3" s="1"/>
  <c r="A3" i="2"/>
  <c r="A2" i="2"/>
  <c r="L3" i="3" s="1"/>
  <c r="A1" i="2"/>
  <c r="P3" i="3" s="1"/>
  <c r="U20" i="3" l="1"/>
  <c r="U16" i="3"/>
  <c r="U12" i="3"/>
  <c r="U8" i="3"/>
  <c r="U19" i="3"/>
  <c r="U15" i="3"/>
  <c r="U11" i="3"/>
  <c r="U7" i="3"/>
  <c r="U22" i="3"/>
  <c r="U18" i="3"/>
  <c r="U14" i="3"/>
  <c r="U10" i="3"/>
  <c r="U21" i="3"/>
  <c r="U17" i="3"/>
  <c r="U13" i="3"/>
  <c r="U9" i="3"/>
  <c r="C22" i="3"/>
  <c r="C18" i="3"/>
  <c r="C14" i="3"/>
  <c r="C10" i="3"/>
  <c r="C23" i="3"/>
  <c r="C21" i="3"/>
  <c r="C17" i="3"/>
  <c r="C13" i="3"/>
  <c r="C9" i="3"/>
  <c r="C20" i="3"/>
  <c r="C16" i="3"/>
  <c r="C12" i="3"/>
  <c r="C8" i="3"/>
  <c r="C19" i="3"/>
  <c r="C15" i="3"/>
  <c r="C11" i="3"/>
  <c r="C7" i="3"/>
  <c r="A5" i="2"/>
  <c r="L15" i="3" s="1"/>
  <c r="B15" i="3" l="1"/>
  <c r="L16" i="3"/>
  <c r="A15" i="3"/>
  <c r="L14" i="3"/>
  <c r="L13" i="3" l="1"/>
  <c r="B14" i="3"/>
  <c r="A14" i="3"/>
  <c r="J15" i="3"/>
  <c r="F15" i="3"/>
  <c r="I15" i="3"/>
  <c r="H15" i="3"/>
  <c r="E15" i="3" s="1"/>
  <c r="K15" i="3"/>
  <c r="G15" i="3"/>
  <c r="L17" i="3"/>
  <c r="A16" i="3"/>
  <c r="B16" i="3"/>
  <c r="R15" i="3"/>
  <c r="N15" i="3"/>
  <c r="Q15" i="3"/>
  <c r="M15" i="3"/>
  <c r="P15" i="3"/>
  <c r="S15" i="3" s="1"/>
  <c r="O15" i="3"/>
  <c r="D15" i="3" l="1"/>
  <c r="Q16" i="3"/>
  <c r="M16" i="3"/>
  <c r="P16" i="3"/>
  <c r="S16" i="3" s="1"/>
  <c r="O16" i="3"/>
  <c r="R16" i="3"/>
  <c r="N16" i="3"/>
  <c r="I16" i="3"/>
  <c r="H16" i="3"/>
  <c r="E16" i="3" s="1"/>
  <c r="K16" i="3"/>
  <c r="G16" i="3"/>
  <c r="J16" i="3"/>
  <c r="F16" i="3"/>
  <c r="K14" i="3"/>
  <c r="G14" i="3"/>
  <c r="J14" i="3"/>
  <c r="F14" i="3"/>
  <c r="I14" i="3"/>
  <c r="H14" i="3"/>
  <c r="E14" i="3" s="1"/>
  <c r="T15" i="3"/>
  <c r="B17" i="3"/>
  <c r="L18" i="3"/>
  <c r="A17" i="3"/>
  <c r="O14" i="3"/>
  <c r="R14" i="3"/>
  <c r="N14" i="3"/>
  <c r="Q14" i="3"/>
  <c r="M14" i="3"/>
  <c r="P14" i="3"/>
  <c r="S14" i="3" s="1"/>
  <c r="L12" i="3"/>
  <c r="B13" i="3"/>
  <c r="A13" i="3"/>
  <c r="T16" i="3" l="1"/>
  <c r="D16" i="3"/>
  <c r="H13" i="3"/>
  <c r="E13" i="3" s="1"/>
  <c r="K13" i="3"/>
  <c r="G13" i="3"/>
  <c r="J13" i="3"/>
  <c r="F13" i="3"/>
  <c r="I13" i="3"/>
  <c r="P17" i="3"/>
  <c r="S17" i="3" s="1"/>
  <c r="O17" i="3"/>
  <c r="R17" i="3"/>
  <c r="N17" i="3"/>
  <c r="Q17" i="3"/>
  <c r="M17" i="3"/>
  <c r="D14" i="3"/>
  <c r="P13" i="3"/>
  <c r="S13" i="3" s="1"/>
  <c r="O13" i="3"/>
  <c r="R13" i="3"/>
  <c r="N13" i="3"/>
  <c r="Q13" i="3"/>
  <c r="M13" i="3"/>
  <c r="H17" i="3"/>
  <c r="E17" i="3" s="1"/>
  <c r="K17" i="3"/>
  <c r="G17" i="3"/>
  <c r="J17" i="3"/>
  <c r="F17" i="3"/>
  <c r="I17" i="3"/>
  <c r="A12" i="3"/>
  <c r="L11" i="3"/>
  <c r="B12" i="3"/>
  <c r="T14" i="3"/>
  <c r="B18" i="3"/>
  <c r="L19" i="3"/>
  <c r="A18" i="3"/>
  <c r="T17" i="3" l="1"/>
  <c r="D17" i="3"/>
  <c r="D13" i="3"/>
  <c r="B11" i="3"/>
  <c r="A11" i="3"/>
  <c r="L10" i="3"/>
  <c r="K18" i="3"/>
  <c r="G18" i="3"/>
  <c r="J18" i="3"/>
  <c r="F18" i="3"/>
  <c r="I18" i="3"/>
  <c r="H18" i="3"/>
  <c r="E18" i="3" s="1"/>
  <c r="Q12" i="3"/>
  <c r="M12" i="3"/>
  <c r="P12" i="3"/>
  <c r="S12" i="3" s="1"/>
  <c r="O12" i="3"/>
  <c r="R12" i="3"/>
  <c r="N12" i="3"/>
  <c r="B19" i="3"/>
  <c r="L20" i="3"/>
  <c r="A19" i="3"/>
  <c r="I12" i="3"/>
  <c r="H12" i="3"/>
  <c r="E12" i="3" s="1"/>
  <c r="K12" i="3"/>
  <c r="G12" i="3"/>
  <c r="J12" i="3"/>
  <c r="F12" i="3"/>
  <c r="O18" i="3"/>
  <c r="R18" i="3"/>
  <c r="N18" i="3"/>
  <c r="Q18" i="3"/>
  <c r="M18" i="3"/>
  <c r="P18" i="3"/>
  <c r="S18" i="3" s="1"/>
  <c r="T13" i="3"/>
  <c r="D12" i="3" l="1"/>
  <c r="T18" i="3"/>
  <c r="T12" i="3"/>
  <c r="D18" i="3"/>
  <c r="R19" i="3"/>
  <c r="N19" i="3"/>
  <c r="Q19" i="3"/>
  <c r="M19" i="3"/>
  <c r="P19" i="3"/>
  <c r="S19" i="3" s="1"/>
  <c r="O19" i="3"/>
  <c r="L9" i="3"/>
  <c r="B10" i="3"/>
  <c r="A10" i="3"/>
  <c r="J19" i="3"/>
  <c r="F19" i="3"/>
  <c r="I19" i="3"/>
  <c r="H19" i="3"/>
  <c r="E19" i="3" s="1"/>
  <c r="K19" i="3"/>
  <c r="G19" i="3"/>
  <c r="J11" i="3"/>
  <c r="F11" i="3"/>
  <c r="I11" i="3"/>
  <c r="H11" i="3"/>
  <c r="E11" i="3" s="1"/>
  <c r="K11" i="3"/>
  <c r="G11" i="3"/>
  <c r="L21" i="3"/>
  <c r="A20" i="3"/>
  <c r="B20" i="3"/>
  <c r="R11" i="3"/>
  <c r="N11" i="3"/>
  <c r="Q11" i="3"/>
  <c r="M11" i="3"/>
  <c r="P11" i="3"/>
  <c r="S11" i="3" s="1"/>
  <c r="O11" i="3"/>
  <c r="T11" i="3" l="1"/>
  <c r="D19" i="3"/>
  <c r="T19" i="3"/>
  <c r="Q20" i="3"/>
  <c r="M20" i="3"/>
  <c r="P20" i="3"/>
  <c r="S20" i="3" s="1"/>
  <c r="O20" i="3"/>
  <c r="R20" i="3"/>
  <c r="N20" i="3"/>
  <c r="D11" i="3"/>
  <c r="O10" i="3"/>
  <c r="R10" i="3"/>
  <c r="N10" i="3"/>
  <c r="Q10" i="3"/>
  <c r="M10" i="3"/>
  <c r="P10" i="3"/>
  <c r="S10" i="3" s="1"/>
  <c r="I20" i="3"/>
  <c r="H20" i="3"/>
  <c r="E20" i="3" s="1"/>
  <c r="K20" i="3"/>
  <c r="G20" i="3"/>
  <c r="J20" i="3"/>
  <c r="F20" i="3"/>
  <c r="L8" i="3"/>
  <c r="B9" i="3"/>
  <c r="A9" i="3"/>
  <c r="B21" i="3"/>
  <c r="L22" i="3"/>
  <c r="A21" i="3"/>
  <c r="K10" i="3"/>
  <c r="G10" i="3"/>
  <c r="J10" i="3"/>
  <c r="F10" i="3"/>
  <c r="I10" i="3"/>
  <c r="H10" i="3"/>
  <c r="E10" i="3" s="1"/>
  <c r="D20" i="3" l="1"/>
  <c r="T20" i="3"/>
  <c r="T10" i="3"/>
  <c r="D10" i="3"/>
  <c r="B22" i="3"/>
  <c r="A22" i="3"/>
  <c r="A8" i="3"/>
  <c r="B8" i="3"/>
  <c r="L7" i="3"/>
  <c r="P21" i="3"/>
  <c r="S21" i="3" s="1"/>
  <c r="O21" i="3"/>
  <c r="R21" i="3"/>
  <c r="N21" i="3"/>
  <c r="Q21" i="3"/>
  <c r="M21" i="3"/>
  <c r="H9" i="3"/>
  <c r="E9" i="3" s="1"/>
  <c r="K9" i="3"/>
  <c r="G9" i="3"/>
  <c r="J9" i="3"/>
  <c r="F9" i="3"/>
  <c r="I9" i="3"/>
  <c r="H21" i="3"/>
  <c r="E21" i="3" s="1"/>
  <c r="K21" i="3"/>
  <c r="G21" i="3"/>
  <c r="J21" i="3"/>
  <c r="F21" i="3"/>
  <c r="I21" i="3"/>
  <c r="P9" i="3"/>
  <c r="S9" i="3" s="1"/>
  <c r="O9" i="3"/>
  <c r="R9" i="3"/>
  <c r="N9" i="3"/>
  <c r="Q9" i="3"/>
  <c r="M9" i="3"/>
  <c r="T9" i="3" l="1"/>
  <c r="D9" i="3"/>
  <c r="T21" i="3"/>
  <c r="D21" i="3"/>
  <c r="I8" i="3"/>
  <c r="H8" i="3"/>
  <c r="E8" i="3" s="1"/>
  <c r="K8" i="3"/>
  <c r="G8" i="3"/>
  <c r="J8" i="3"/>
  <c r="F8" i="3"/>
  <c r="K22" i="3"/>
  <c r="G22" i="3"/>
  <c r="J22" i="3"/>
  <c r="F22" i="3"/>
  <c r="I22" i="3"/>
  <c r="H22" i="3"/>
  <c r="E22" i="3" s="1"/>
  <c r="B7" i="3"/>
  <c r="A7" i="3"/>
  <c r="O22" i="3"/>
  <c r="R22" i="3"/>
  <c r="N22" i="3"/>
  <c r="Q22" i="3"/>
  <c r="M22" i="3"/>
  <c r="P22" i="3"/>
  <c r="S22" i="3" s="1"/>
  <c r="Q8" i="3"/>
  <c r="M8" i="3"/>
  <c r="P8" i="3"/>
  <c r="S8" i="3" s="1"/>
  <c r="O8" i="3"/>
  <c r="R8" i="3"/>
  <c r="N8" i="3"/>
  <c r="T8" i="3" l="1"/>
  <c r="D22" i="3"/>
  <c r="D8" i="3"/>
  <c r="J7" i="3"/>
  <c r="F7" i="3"/>
  <c r="I7" i="3"/>
  <c r="K7" i="3"/>
  <c r="G7" i="3"/>
  <c r="G23" i="3" s="1"/>
  <c r="H7" i="3"/>
  <c r="E7" i="3" s="1"/>
  <c r="T22" i="3"/>
  <c r="R7" i="3"/>
  <c r="N7" i="3"/>
  <c r="Q7" i="3"/>
  <c r="Q23" i="3" s="1"/>
  <c r="M7" i="3"/>
  <c r="O7" i="3"/>
  <c r="P7" i="3"/>
  <c r="S7" i="3" s="1"/>
  <c r="D23" i="3" l="1"/>
  <c r="T7" i="3"/>
</calcChain>
</file>

<file path=xl/connections.xml><?xml version="1.0" encoding="utf-8"?>
<connections xmlns="http://schemas.openxmlformats.org/spreadsheetml/2006/main">
  <connection id="1" interval="3" name="Connection" type="4" refreshedVersion="5" background="1" refreshOnLoad="1" saveData="1">
    <webPr sourceData="1" parsePre="1" consecutive="1" xl2000="1" url="https://www.nseindia.com/live_market/dynaContent/live_watch/option_chain/optionKeys.jsp?symbolCode=-9999&amp;symbol=BANKNIFTY&amp;symbol=BANKNIFTY&amp;instrument=OPTIDX&amp;date=-&amp;segmentLink=17&amp;segmentLink=17"/>
  </connection>
</connections>
</file>

<file path=xl/sharedStrings.xml><?xml version="1.0" encoding="utf-8"?>
<sst xmlns="http://schemas.openxmlformats.org/spreadsheetml/2006/main" count="3935" uniqueCount="92">
  <si>
    <t>CALLS</t>
  </si>
  <si>
    <t>PUTS</t>
  </si>
  <si>
    <t>Chart</t>
  </si>
  <si>
    <t>OI</t>
  </si>
  <si>
    <t>Chng in OI</t>
  </si>
  <si>
    <t>Volume</t>
  </si>
  <si>
    <t>IV</t>
  </si>
  <si>
    <t>LTP</t>
  </si>
  <si>
    <t>Net Chng</t>
  </si>
  <si>
    <t>Bid</t>
  </si>
  <si>
    <t>Qty</t>
  </si>
  <si>
    <t>Price</t>
  </si>
  <si>
    <t>Ask</t>
  </si>
  <si>
    <t>Strike Price</t>
  </si>
  <si>
    <t>-</t>
  </si>
  <si>
    <t>Option Chain (Equity Derivatives)</t>
  </si>
  <si>
    <t>Interpretation</t>
  </si>
  <si>
    <t>OI change</t>
  </si>
  <si>
    <t>strike</t>
  </si>
  <si>
    <t>Total</t>
  </si>
  <si>
    <t>Call Volume</t>
  </si>
  <si>
    <t>Put Volume</t>
  </si>
  <si>
    <t>Put Price Change</t>
  </si>
  <si>
    <t>Put LTP</t>
  </si>
  <si>
    <t>Put Change in OI</t>
  </si>
  <si>
    <t>Put Net OI</t>
  </si>
  <si>
    <t>Call LTP</t>
  </si>
  <si>
    <t>Call change in OI</t>
  </si>
  <si>
    <t>Call Net OI</t>
  </si>
  <si>
    <t>Call Price change</t>
  </si>
  <si>
    <t>Todays Date</t>
  </si>
  <si>
    <t>Change in OI</t>
  </si>
  <si>
    <t xml:space="preserve">Strike PCR </t>
  </si>
  <si>
    <t>Call</t>
  </si>
  <si>
    <t>Put</t>
  </si>
  <si>
    <t>Signal</t>
  </si>
  <si>
    <t>&lt;0</t>
  </si>
  <si>
    <t>Long Liquidation</t>
  </si>
  <si>
    <t>&gt;0</t>
  </si>
  <si>
    <t>Short Buildup</t>
  </si>
  <si>
    <t>Long Buildup</t>
  </si>
  <si>
    <t>Short Covering</t>
  </si>
  <si>
    <t>Price Change</t>
  </si>
  <si>
    <t>Options Open Interest Analysis Simplified</t>
  </si>
  <si>
    <t>Graph</t>
  </si>
  <si>
    <t xml:space="preserve">View Options Contracts for: </t>
  </si>
  <si>
    <t xml:space="preserve">OR </t>
  </si>
  <si>
    <t>Filter by: Expiry Date</t>
  </si>
  <si>
    <t>Futures contracts</t>
  </si>
  <si>
    <t>Top</t>
  </si>
  <si>
    <t>highlighted Highlighted options are in-the-money.</t>
  </si>
  <si>
    <t>Note :</t>
  </si>
  <si>
    <t>10% interest rate is applied while computing implied volatility.</t>
  </si>
  <si>
    <t>Open Interest values in the option chain are refreshed at the end of the day after bhavcopy file has been made available on the website.</t>
  </si>
  <si>
    <t>BankNifty</t>
  </si>
  <si>
    <t xml:space="preserve">  Longs are covering their position, also called long unwinding</t>
  </si>
  <si>
    <t>Time</t>
  </si>
  <si>
    <t>PCR</t>
  </si>
  <si>
    <t>(blank)</t>
  </si>
  <si>
    <t>Grand Total</t>
  </si>
  <si>
    <t>Row Labels</t>
  </si>
  <si>
    <t>OI change_up or down</t>
  </si>
  <si>
    <t>Call_LTP</t>
  </si>
  <si>
    <t>Call_change in OI</t>
  </si>
  <si>
    <t>Put_Change in OI</t>
  </si>
  <si>
    <t>Put_LTP</t>
  </si>
  <si>
    <t>Call IV</t>
  </si>
  <si>
    <t>Put IV</t>
  </si>
  <si>
    <t>(All)</t>
  </si>
  <si>
    <t>Call_ IV</t>
  </si>
  <si>
    <t>Put_IV</t>
  </si>
  <si>
    <t>x</t>
  </si>
  <si>
    <t xml:space="preserve"> </t>
  </si>
  <si>
    <r>
      <rPr>
        <sz val="18"/>
        <color theme="0"/>
        <rFont val="Calibri"/>
        <family val="2"/>
        <scheme val="minor"/>
      </rPr>
      <t xml:space="preserve">                                                                                    </t>
    </r>
    <r>
      <rPr>
        <b/>
        <sz val="18"/>
        <color theme="0"/>
        <rFont val="Calibri"/>
        <family val="2"/>
        <scheme val="minor"/>
      </rPr>
      <t>Options Scalping</t>
    </r>
    <r>
      <rPr>
        <sz val="18"/>
        <color theme="0"/>
        <rFont val="Calibri"/>
        <family val="2"/>
        <scheme val="minor"/>
      </rPr>
      <t xml:space="preserve">                          </t>
    </r>
    <r>
      <rPr>
        <sz val="14"/>
        <color theme="0"/>
        <rFont val="Calibri"/>
        <family val="2"/>
        <scheme val="minor"/>
      </rPr>
      <t>Telegram: - t.me/OptionsScalping</t>
    </r>
  </si>
  <si>
    <t>n</t>
  </si>
  <si>
    <t xml:space="preserve"> 13:14</t>
  </si>
  <si>
    <t>UP</t>
  </si>
  <si>
    <t>DOWN</t>
  </si>
  <si>
    <t xml:space="preserve"> 13:17</t>
  </si>
  <si>
    <t xml:space="preserve"> 13:19</t>
  </si>
  <si>
    <t xml:space="preserve"> 13:23</t>
  </si>
  <si>
    <t xml:space="preserve"> 13:24</t>
  </si>
  <si>
    <t xml:space="preserve"> 13:28</t>
  </si>
  <si>
    <t xml:space="preserve"> 13:32</t>
  </si>
  <si>
    <t xml:space="preserve"> 13:33</t>
  </si>
  <si>
    <t xml:space="preserve"> 13:36</t>
  </si>
  <si>
    <t xml:space="preserve"> 13:39</t>
  </si>
  <si>
    <t xml:space="preserve"> 13:42</t>
  </si>
  <si>
    <t xml:space="preserve"> 13:44</t>
  </si>
  <si>
    <t xml:space="preserve"> 13:47</t>
  </si>
  <si>
    <t xml:space="preserve">Underlying Index: BANKNIFTY 30966.15  As on Jan 28, 2020 13:51:38 IST </t>
  </si>
  <si>
    <t xml:space="preserve"> 13:51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</si>
</sst>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14" x14ac:knownFonts="1">
    <font>
      <sz val="11"/>
      <color theme="1"/>
      <name val="Calibri"/>
      <family val="2"/>
      <scheme val="minor"/>
    </font>
    <font>
      <sz val="11"/>
      <color theme="1"/>
      <name val="Calibri"/>
      <family val="2"/>
      <scheme val="minor"/>
    </font>
    <font>
      <b/>
      <sz val="11"/>
      <color theme="1"/>
      <name val="Calibri"/>
      <family val="2"/>
      <scheme val="minor"/>
    </font>
    <font>
      <b/>
      <sz val="12"/>
      <color rgb="FF0070C0"/>
      <name val="Calibri"/>
      <family val="2"/>
      <scheme val="minor"/>
    </font>
    <font>
      <sz val="10"/>
      <name val="Arial"/>
      <family val="2"/>
    </font>
    <font>
      <b/>
      <sz val="11"/>
      <color theme="0"/>
      <name val="Calibri"/>
      <family val="2"/>
      <scheme val="minor"/>
    </font>
    <font>
      <sz val="24"/>
      <color theme="0"/>
      <name val="Calibri"/>
      <family val="2"/>
      <scheme val="minor"/>
    </font>
    <font>
      <sz val="11"/>
      <color theme="0"/>
      <name val="Calibri"/>
      <family val="2"/>
      <scheme val="minor"/>
    </font>
    <font>
      <sz val="11"/>
      <name val="Calibri"/>
      <family val="2"/>
      <scheme val="minor"/>
    </font>
    <font>
      <sz val="18"/>
      <color theme="0"/>
      <name val="Calibri"/>
      <family val="2"/>
      <scheme val="minor"/>
    </font>
    <font>
      <sz val="14"/>
      <color theme="0"/>
      <name val="Calibri"/>
      <family val="2"/>
      <scheme val="minor"/>
    </font>
    <font>
      <b/>
      <sz val="18"/>
      <color theme="0"/>
      <name val="Calibri"/>
      <family val="2"/>
      <scheme val="minor"/>
    </font>
    <font>
      <u/>
      <sz val="11"/>
      <color rgb="FF008000"/>
      <name val="Calibri"/>
      <family val="2"/>
    </font>
    <font>
      <sz val="11"/>
      <color rgb="FF000000"/>
      <name val="Calibri"/>
      <family val="2"/>
    </font>
  </fonts>
  <fills count="12">
    <fill>
      <patternFill patternType="none"/>
    </fill>
    <fill>
      <patternFill patternType="gray125"/>
    </fill>
    <fill>
      <patternFill patternType="solid">
        <fgColor theme="1"/>
        <bgColor indexed="64"/>
      </patternFill>
    </fill>
    <fill>
      <patternFill patternType="solid">
        <fgColor theme="2" tint="-9.9978637043366805E-2"/>
        <bgColor indexed="64"/>
      </patternFill>
    </fill>
    <fill>
      <gradientFill>
        <stop position="0">
          <color theme="3" tint="0.59999389629810485"/>
        </stop>
        <stop position="0.5">
          <color theme="0"/>
        </stop>
        <stop position="1">
          <color theme="3" tint="0.59999389629810485"/>
        </stop>
      </gradientFill>
    </fill>
    <fill>
      <patternFill patternType="solid">
        <fgColor theme="3" tint="0.39997558519241921"/>
        <bgColor indexed="64"/>
      </patternFill>
    </fill>
    <fill>
      <gradientFill>
        <stop position="0">
          <color theme="4" tint="0.40000610370189521"/>
        </stop>
        <stop position="0.5">
          <color theme="0"/>
        </stop>
        <stop position="1">
          <color theme="4" tint="0.40000610370189521"/>
        </stop>
      </gradientFill>
    </fill>
    <fill>
      <gradientFill degree="90">
        <stop position="0">
          <color theme="3" tint="0.40000610370189521"/>
        </stop>
        <stop position="0.5">
          <color theme="3" tint="0.59999389629810485"/>
        </stop>
        <stop position="1">
          <color theme="3" tint="0.40000610370189521"/>
        </stop>
      </gradientFill>
    </fill>
    <fill>
      <patternFill patternType="solid">
        <fgColor theme="0"/>
        <bgColor indexed="64"/>
      </patternFill>
    </fill>
    <fill>
      <patternFill patternType="solid">
        <fgColor rgb="FFFFFF00"/>
        <bgColor indexed="64"/>
      </patternFill>
    </fill>
    <fill>
      <patternFill patternType="solid">
        <fgColor theme="4" tint="-0.499984740745262"/>
        <bgColor indexed="64"/>
      </patternFill>
    </fill>
    <fill>
      <patternFill patternType="solid">
        <fgColor theme="1" tint="0.14999847407452621"/>
        <bgColor indexed="64"/>
      </patternFill>
    </fill>
  </fills>
  <borders count="13">
    <border>
      <left/>
      <right/>
      <top/>
      <bottom/>
      <diagonal/>
    </border>
    <border>
      <left style="thin">
        <color rgb="FF002060"/>
      </left>
      <right/>
      <top style="thin">
        <color rgb="FF002060"/>
      </top>
      <bottom style="thin">
        <color rgb="FF002060"/>
      </bottom>
      <diagonal/>
    </border>
    <border>
      <left/>
      <right style="thin">
        <color rgb="FF002060"/>
      </right>
      <top style="thin">
        <color rgb="FF002060"/>
      </top>
      <bottom style="thin">
        <color rgb="FF002060"/>
      </bottom>
      <diagonal/>
    </border>
    <border>
      <left/>
      <right/>
      <top style="thin">
        <color rgb="FF002060"/>
      </top>
      <bottom style="thin">
        <color rgb="FF002060"/>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rgb="FF7030A0"/>
      </left>
      <right style="thin">
        <color rgb="FF7030A0"/>
      </right>
      <top style="thin">
        <color rgb="FF7030A0"/>
      </top>
      <bottom style="thin">
        <color rgb="FF7030A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theme="1"/>
      </right>
      <top/>
      <bottom/>
      <diagonal/>
    </border>
    <border>
      <left style="thin">
        <color theme="1"/>
      </left>
      <right/>
      <top/>
      <bottom/>
      <diagonal/>
    </border>
    <border>
      <left/>
      <right style="thin">
        <color theme="0"/>
      </right>
      <top/>
      <bottom/>
      <diagonal/>
    </border>
  </borders>
  <cellStyleXfs count="3">
    <xf numFmtId="0" fontId="0" fillId="0" borderId="0"/>
    <xf numFmtId="0" fontId="4" fillId="0" borderId="0"/>
    <xf numFmtId="0" fontId="1" fillId="0" borderId="0"/>
  </cellStyleXfs>
  <cellXfs count="65">
    <xf numFmtId="0" fontId="0" fillId="0" borderId="0" xfId="0"/>
    <xf numFmtId="3" fontId="0" fillId="0" borderId="0" xfId="0" applyNumberFormat="1"/>
    <xf numFmtId="0" fontId="0" fillId="2" borderId="0" xfId="0" applyFill="1"/>
    <xf numFmtId="0" fontId="2" fillId="3" borderId="1"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1" xfId="0" applyFont="1" applyFill="1" applyBorder="1" applyAlignment="1">
      <alignment horizontal="left" vertical="top"/>
    </xf>
    <xf numFmtId="0" fontId="0" fillId="3" borderId="3" xfId="0" applyFill="1" applyBorder="1" applyAlignment="1">
      <alignment horizontal="left" vertical="center"/>
    </xf>
    <xf numFmtId="0" fontId="0" fillId="5" borderId="0" xfId="0" applyFill="1"/>
    <xf numFmtId="0" fontId="0" fillId="2" borderId="0" xfId="0" applyFill="1" applyAlignment="1">
      <alignment horizontal="center" vertical="center" wrapText="1"/>
    </xf>
    <xf numFmtId="0" fontId="2" fillId="7" borderId="4" xfId="0" applyFont="1" applyFill="1" applyBorder="1" applyAlignment="1">
      <alignment horizontal="center" vertical="center" wrapText="1"/>
    </xf>
    <xf numFmtId="0" fontId="2" fillId="7" borderId="5" xfId="0" applyFont="1" applyFill="1" applyBorder="1" applyAlignment="1">
      <alignment horizontal="center" vertical="center" wrapText="1"/>
    </xf>
    <xf numFmtId="0" fontId="2" fillId="7" borderId="6"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0" borderId="7" xfId="0" applyFont="1" applyBorder="1" applyAlignment="1">
      <alignment horizontal="center" vertical="center"/>
    </xf>
    <xf numFmtId="0" fontId="0" fillId="0" borderId="8" xfId="0" applyBorder="1" applyAlignment="1">
      <alignment horizontal="center" vertical="center"/>
    </xf>
    <xf numFmtId="0" fontId="0" fillId="0" borderId="6" xfId="0" applyBorder="1" applyAlignment="1">
      <alignment horizontal="center" vertical="center"/>
    </xf>
    <xf numFmtId="0" fontId="0" fillId="0" borderId="6" xfId="0" applyBorder="1"/>
    <xf numFmtId="0" fontId="2" fillId="0" borderId="6" xfId="0" applyFont="1" applyFill="1" applyBorder="1"/>
    <xf numFmtId="0" fontId="2" fillId="4" borderId="6" xfId="0" applyFont="1" applyFill="1" applyBorder="1" applyAlignment="1">
      <alignment horizontal="center" vertical="center"/>
    </xf>
    <xf numFmtId="0" fontId="0" fillId="0" borderId="9" xfId="0" applyBorder="1" applyAlignment="1">
      <alignment horizontal="center" vertical="center"/>
    </xf>
    <xf numFmtId="0" fontId="0" fillId="0" borderId="7" xfId="0" applyBorder="1" applyAlignment="1">
      <alignment horizontal="center" vertical="center"/>
    </xf>
    <xf numFmtId="0" fontId="3" fillId="4" borderId="6" xfId="0" applyFont="1" applyFill="1" applyBorder="1" applyAlignment="1">
      <alignment horizontal="center" vertical="center"/>
    </xf>
    <xf numFmtId="0" fontId="0" fillId="8" borderId="0" xfId="0" applyFill="1"/>
    <xf numFmtId="2" fontId="0" fillId="0" borderId="0" xfId="0" applyNumberFormat="1"/>
    <xf numFmtId="0" fontId="0" fillId="0" borderId="6" xfId="0" applyFont="1" applyFill="1" applyBorder="1" applyAlignment="1">
      <alignment horizontal="center" vertical="center"/>
    </xf>
    <xf numFmtId="0" fontId="2" fillId="3" borderId="2" xfId="0" applyFont="1" applyFill="1" applyBorder="1" applyAlignment="1">
      <alignment horizontal="left" vertical="top"/>
    </xf>
    <xf numFmtId="0" fontId="2" fillId="9" borderId="0" xfId="0" applyFont="1" applyFill="1" applyAlignment="1">
      <alignment horizontal="left" vertical="center"/>
    </xf>
    <xf numFmtId="0" fontId="2" fillId="9" borderId="0" xfId="0" applyFont="1" applyFill="1" applyAlignment="1">
      <alignment horizontal="center" vertical="center"/>
    </xf>
    <xf numFmtId="0" fontId="0" fillId="9" borderId="0" xfId="0" applyFill="1"/>
    <xf numFmtId="2" fontId="5" fillId="2" borderId="0" xfId="0" applyNumberFormat="1" applyFont="1" applyFill="1" applyBorder="1" applyAlignment="1">
      <alignment horizontal="center" vertical="center"/>
    </xf>
    <xf numFmtId="0" fontId="0" fillId="0" borderId="0" xfId="0" applyAlignment="1">
      <alignment wrapText="1"/>
    </xf>
    <xf numFmtId="22" fontId="5" fillId="2" borderId="0" xfId="0" applyNumberFormat="1" applyFont="1" applyFill="1" applyAlignment="1">
      <alignment horizontal="center" vertical="center"/>
    </xf>
    <xf numFmtId="164" fontId="5" fillId="2" borderId="0" xfId="0" applyNumberFormat="1" applyFont="1" applyFill="1" applyAlignment="1">
      <alignment horizontal="center" vertical="center"/>
    </xf>
    <xf numFmtId="0" fontId="0" fillId="0" borderId="0" xfId="0" applyBorder="1"/>
    <xf numFmtId="0" fontId="7" fillId="2" borderId="0" xfId="0" applyFont="1" applyFill="1"/>
    <xf numFmtId="0" fontId="7" fillId="2" borderId="0" xfId="0" applyFont="1" applyFill="1" applyAlignment="1">
      <alignment horizontal="center" vertical="center" wrapText="1"/>
    </xf>
    <xf numFmtId="0" fontId="7" fillId="0" borderId="0" xfId="0" applyFont="1"/>
    <xf numFmtId="0" fontId="2" fillId="4" borderId="0" xfId="0" applyFont="1" applyFill="1" applyBorder="1" applyAlignment="1">
      <alignment horizontal="center" vertical="center"/>
    </xf>
    <xf numFmtId="0" fontId="0" fillId="0" borderId="0" xfId="0" applyBorder="1" applyAlignment="1">
      <alignment horizontal="center" vertical="center"/>
    </xf>
    <xf numFmtId="0" fontId="2" fillId="0" borderId="0" xfId="0" applyFont="1" applyFill="1" applyBorder="1"/>
    <xf numFmtId="0" fontId="0" fillId="0" borderId="0" xfId="0" applyFont="1" applyFill="1" applyBorder="1" applyAlignment="1">
      <alignment horizontal="center" vertical="center"/>
    </xf>
    <xf numFmtId="2" fontId="0" fillId="0" borderId="0" xfId="0" applyNumberFormat="1" applyBorder="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0" fontId="8" fillId="2" borderId="0" xfId="0" applyFont="1" applyFill="1"/>
    <xf numFmtId="0" fontId="2" fillId="4" borderId="0" xfId="0" applyFont="1" applyFill="1" applyBorder="1" applyAlignment="1">
      <alignment horizontal="center" vertical="center"/>
    </xf>
    <xf numFmtId="0" fontId="0" fillId="11" borderId="0" xfId="0" applyFill="1" applyProtection="1">
      <protection locked="0"/>
    </xf>
    <xf numFmtId="0" fontId="0" fillId="11" borderId="0" xfId="0" applyFill="1" applyAlignment="1" applyProtection="1">
      <alignment vertical="center"/>
      <protection locked="0"/>
    </xf>
    <xf numFmtId="0" fontId="2" fillId="4" borderId="0" xfId="0" applyFont="1" applyFill="1" applyBorder="1" applyAlignment="1">
      <alignment horizontal="center" vertical="center"/>
    </xf>
    <xf numFmtId="0" fontId="0" fillId="11" borderId="0" xfId="0" applyFill="1" applyAlignment="1" applyProtection="1"/>
    <xf numFmtId="0" fontId="7" fillId="11" borderId="0" xfId="0" applyFont="1" applyFill="1" applyProtection="1"/>
    <xf numFmtId="0" fontId="2" fillId="4" borderId="0"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0" xfId="0" applyFont="1" applyFill="1" applyBorder="1" applyAlignment="1">
      <alignment horizontal="center" vertical="center"/>
    </xf>
    <xf numFmtId="0" fontId="6" fillId="10" borderId="0" xfId="0" applyFont="1" applyFill="1" applyBorder="1" applyAlignment="1">
      <alignment horizontal="center"/>
    </xf>
    <xf numFmtId="0" fontId="6" fillId="10" borderId="12" xfId="0" applyFont="1" applyFill="1" applyBorder="1" applyAlignment="1">
      <alignment horizontal="center"/>
    </xf>
    <xf numFmtId="0" fontId="2" fillId="4" borderId="0" xfId="0" applyFont="1" applyFill="1" applyBorder="1" applyAlignment="1">
      <alignment horizontal="center" vertical="center"/>
    </xf>
    <xf numFmtId="0" fontId="2" fillId="4" borderId="10" xfId="0" applyFont="1" applyFill="1" applyBorder="1" applyAlignment="1">
      <alignment horizontal="center" vertical="center"/>
    </xf>
    <xf numFmtId="3" fontId="2" fillId="6" borderId="11" xfId="0" applyNumberFormat="1" applyFont="1" applyFill="1" applyBorder="1" applyAlignment="1">
      <alignment horizontal="center"/>
    </xf>
    <xf numFmtId="3" fontId="2" fillId="6" borderId="0" xfId="0" applyNumberFormat="1" applyFont="1" applyFill="1" applyBorder="1" applyAlignment="1">
      <alignment horizontal="center"/>
    </xf>
    <xf numFmtId="0" fontId="0" fillId="11" borderId="0" xfId="0" applyFill="1" applyAlignment="1" applyProtection="1">
      <alignment horizontal="center"/>
      <protection locked="0"/>
    </xf>
    <xf numFmtId="0" fontId="7" fillId="11" borderId="0" xfId="0" applyFont="1" applyFill="1" applyAlignment="1" applyProtection="1">
      <alignment horizontal="center"/>
    </xf>
  </cellXfs>
  <cellStyles count="3">
    <cellStyle name="%" xfId="1"/>
    <cellStyle name="Normal" xfId="0" builtinId="0"/>
    <cellStyle name="Normal 2" xfId="2"/>
  </cellStyles>
  <dxfs count="2473">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ont>
        <b/>
        <color theme="1"/>
      </font>
      <border>
        <bottom style="thin">
          <color theme="4"/>
        </bottom>
        <vertical/>
        <horizontal/>
      </border>
    </dxf>
    <dxf>
      <font>
        <color theme="1"/>
      </font>
      <fill>
        <patternFill>
          <bgColor theme="1" tint="0.14996795556505021"/>
        </patternFill>
      </fill>
      <border>
        <left style="thin">
          <color theme="4"/>
        </left>
        <right style="thin">
          <color theme="4"/>
        </right>
        <top style="thin">
          <color theme="4"/>
        </top>
        <bottom style="thin">
          <color theme="4"/>
        </bottom>
        <vertical/>
        <horizontal/>
      </border>
    </dxf>
    <dxf>
      <fill>
        <patternFill>
          <bgColor theme="1"/>
        </patternFill>
      </fill>
    </dxf>
  </dxfs>
  <tableStyles count="2" defaultTableStyle="TableStyleMedium9" defaultPivotStyle="PivotStyleLight16">
    <tableStyle name="Slicer Style 1" pivot="0" table="0" count="1">
      <tableStyleElement type="wholeTable" dxfId="2472"/>
    </tableStyle>
    <tableStyle name="SlicerStyleLight1 2" pivot="0" table="0" count="10">
      <tableStyleElement type="wholeTable" dxfId="2471"/>
      <tableStyleElement type="headerRow" dxfId="2470"/>
    </tableStyle>
  </tableStyles>
  <colors>
    <mruColors>
      <color rgb="FFFF66FF"/>
      <color rgb="FF9ED02E"/>
      <color rgb="FFB2F608"/>
      <color rgb="FF89E816"/>
      <color rgb="FFFFD757"/>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5.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1.png"/></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'MAIN OI BankNifty'!$F$6</c:f>
              <c:strCache>
                <c:ptCount val="1"/>
                <c:pt idx="0">
                  <c:v>Call Volume</c:v>
                </c:pt>
              </c:strCache>
            </c:strRef>
          </c:tx>
          <c:invertIfNegative val="0"/>
          <c:cat>
            <c:numRef>
              <c:f>'MAIN OI BankNifty'!$L$7:$L$22</c:f>
              <c:numCache>
                <c:formatCode>General</c:formatCode>
                <c:ptCount val="16"/>
                <c:pt idx="0">
                  <c:v>30200</c:v>
                </c:pt>
                <c:pt idx="1">
                  <c:v>30300</c:v>
                </c:pt>
                <c:pt idx="2">
                  <c:v>30400</c:v>
                </c:pt>
                <c:pt idx="3">
                  <c:v>30500</c:v>
                </c:pt>
                <c:pt idx="4">
                  <c:v>30600</c:v>
                </c:pt>
                <c:pt idx="5">
                  <c:v>30700</c:v>
                </c:pt>
                <c:pt idx="6">
                  <c:v>30800</c:v>
                </c:pt>
                <c:pt idx="7">
                  <c:v>30900</c:v>
                </c:pt>
                <c:pt idx="8">
                  <c:v>31000</c:v>
                </c:pt>
                <c:pt idx="9">
                  <c:v>31100</c:v>
                </c:pt>
                <c:pt idx="10">
                  <c:v>31200</c:v>
                </c:pt>
                <c:pt idx="11">
                  <c:v>31300</c:v>
                </c:pt>
                <c:pt idx="12">
                  <c:v>31400</c:v>
                </c:pt>
                <c:pt idx="13">
                  <c:v>31500</c:v>
                </c:pt>
                <c:pt idx="14">
                  <c:v>31600</c:v>
                </c:pt>
                <c:pt idx="15">
                  <c:v>31700</c:v>
                </c:pt>
              </c:numCache>
            </c:numRef>
          </c:cat>
          <c:val>
            <c:numRef>
              <c:f>'MAIN OI BankNifty'!$F$7:$F$22</c:f>
              <c:numCache>
                <c:formatCode>General</c:formatCode>
                <c:ptCount val="16"/>
                <c:pt idx="0">
                  <c:v>168</c:v>
                </c:pt>
                <c:pt idx="1">
                  <c:v>599</c:v>
                </c:pt>
                <c:pt idx="2">
                  <c:v>907</c:v>
                </c:pt>
                <c:pt idx="3">
                  <c:v>13343</c:v>
                </c:pt>
                <c:pt idx="4">
                  <c:v>10755</c:v>
                </c:pt>
                <c:pt idx="5">
                  <c:v>48095</c:v>
                </c:pt>
                <c:pt idx="6">
                  <c:v>155542</c:v>
                </c:pt>
                <c:pt idx="7">
                  <c:v>277020</c:v>
                </c:pt>
                <c:pt idx="8">
                  <c:v>614557</c:v>
                </c:pt>
                <c:pt idx="9">
                  <c:v>381974</c:v>
                </c:pt>
                <c:pt idx="10">
                  <c:v>583803</c:v>
                </c:pt>
                <c:pt idx="11">
                  <c:v>414330</c:v>
                </c:pt>
                <c:pt idx="12">
                  <c:v>366184</c:v>
                </c:pt>
                <c:pt idx="13">
                  <c:v>540537</c:v>
                </c:pt>
                <c:pt idx="14">
                  <c:v>213786</c:v>
                </c:pt>
                <c:pt idx="15">
                  <c:v>141155</c:v>
                </c:pt>
              </c:numCache>
            </c:numRef>
          </c:val>
          <c:extLst xmlns:c16r2="http://schemas.microsoft.com/office/drawing/2015/06/chart">
            <c:ext xmlns:c16="http://schemas.microsoft.com/office/drawing/2014/chart" uri="{C3380CC4-5D6E-409C-BE32-E72D297353CC}">
              <c16:uniqueId val="{00000000-15FE-4228-8E56-DB6DC4E5B22C}"/>
            </c:ext>
          </c:extLst>
        </c:ser>
        <c:ser>
          <c:idx val="1"/>
          <c:order val="1"/>
          <c:tx>
            <c:strRef>
              <c:f>'MAIN OI BankNifty'!$R$6</c:f>
              <c:strCache>
                <c:ptCount val="1"/>
                <c:pt idx="0">
                  <c:v>Put Volume</c:v>
                </c:pt>
              </c:strCache>
            </c:strRef>
          </c:tx>
          <c:invertIfNegative val="0"/>
          <c:cat>
            <c:numRef>
              <c:f>'MAIN OI BankNifty'!$L$7:$L$22</c:f>
              <c:numCache>
                <c:formatCode>General</c:formatCode>
                <c:ptCount val="16"/>
                <c:pt idx="0">
                  <c:v>30200</c:v>
                </c:pt>
                <c:pt idx="1">
                  <c:v>30300</c:v>
                </c:pt>
                <c:pt idx="2">
                  <c:v>30400</c:v>
                </c:pt>
                <c:pt idx="3">
                  <c:v>30500</c:v>
                </c:pt>
                <c:pt idx="4">
                  <c:v>30600</c:v>
                </c:pt>
                <c:pt idx="5">
                  <c:v>30700</c:v>
                </c:pt>
                <c:pt idx="6">
                  <c:v>30800</c:v>
                </c:pt>
                <c:pt idx="7">
                  <c:v>30900</c:v>
                </c:pt>
                <c:pt idx="8">
                  <c:v>31000</c:v>
                </c:pt>
                <c:pt idx="9">
                  <c:v>31100</c:v>
                </c:pt>
                <c:pt idx="10">
                  <c:v>31200</c:v>
                </c:pt>
                <c:pt idx="11">
                  <c:v>31300</c:v>
                </c:pt>
                <c:pt idx="12">
                  <c:v>31400</c:v>
                </c:pt>
                <c:pt idx="13">
                  <c:v>31500</c:v>
                </c:pt>
                <c:pt idx="14">
                  <c:v>31600</c:v>
                </c:pt>
                <c:pt idx="15">
                  <c:v>31700</c:v>
                </c:pt>
              </c:numCache>
            </c:numRef>
          </c:cat>
          <c:val>
            <c:numRef>
              <c:f>'MAIN OI BankNifty'!$R$7:$R$22</c:f>
              <c:numCache>
                <c:formatCode>General</c:formatCode>
                <c:ptCount val="16"/>
                <c:pt idx="0">
                  <c:v>158498</c:v>
                </c:pt>
                <c:pt idx="1">
                  <c:v>202706</c:v>
                </c:pt>
                <c:pt idx="2">
                  <c:v>299789</c:v>
                </c:pt>
                <c:pt idx="3">
                  <c:v>648532</c:v>
                </c:pt>
                <c:pt idx="4">
                  <c:v>372692</c:v>
                </c:pt>
                <c:pt idx="5">
                  <c:v>442093</c:v>
                </c:pt>
                <c:pt idx="6">
                  <c:v>453928</c:v>
                </c:pt>
                <c:pt idx="7">
                  <c:v>387005</c:v>
                </c:pt>
                <c:pt idx="8">
                  <c:v>380615</c:v>
                </c:pt>
                <c:pt idx="9">
                  <c:v>86630</c:v>
                </c:pt>
                <c:pt idx="10">
                  <c:v>49269</c:v>
                </c:pt>
                <c:pt idx="11">
                  <c:v>13108</c:v>
                </c:pt>
                <c:pt idx="12">
                  <c:v>4243</c:v>
                </c:pt>
                <c:pt idx="13">
                  <c:v>6865</c:v>
                </c:pt>
                <c:pt idx="14">
                  <c:v>304</c:v>
                </c:pt>
                <c:pt idx="15">
                  <c:v>319</c:v>
                </c:pt>
              </c:numCache>
            </c:numRef>
          </c:val>
          <c:extLst xmlns:c16r2="http://schemas.microsoft.com/office/drawing/2015/06/chart">
            <c:ext xmlns:c16="http://schemas.microsoft.com/office/drawing/2014/chart" uri="{C3380CC4-5D6E-409C-BE32-E72D297353CC}">
              <c16:uniqueId val="{00000001-15FE-4228-8E56-DB6DC4E5B22C}"/>
            </c:ext>
          </c:extLst>
        </c:ser>
        <c:dLbls>
          <c:showLegendKey val="0"/>
          <c:showVal val="0"/>
          <c:showCatName val="0"/>
          <c:showSerName val="0"/>
          <c:showPercent val="0"/>
          <c:showBubbleSize val="0"/>
        </c:dLbls>
        <c:gapWidth val="150"/>
        <c:axId val="-1917974784"/>
        <c:axId val="-1917975328"/>
      </c:barChart>
      <c:catAx>
        <c:axId val="-1917974784"/>
        <c:scaling>
          <c:orientation val="minMax"/>
        </c:scaling>
        <c:delete val="0"/>
        <c:axPos val="b"/>
        <c:numFmt formatCode="General" sourceLinked="1"/>
        <c:majorTickMark val="out"/>
        <c:minorTickMark val="none"/>
        <c:tickLblPos val="nextTo"/>
        <c:txPr>
          <a:bodyPr/>
          <a:lstStyle/>
          <a:p>
            <a:pPr>
              <a:defRPr lang="en-US"/>
            </a:pPr>
            <a:endParaRPr lang="en-US"/>
          </a:p>
        </c:txPr>
        <c:crossAx val="-1917975328"/>
        <c:crosses val="autoZero"/>
        <c:auto val="1"/>
        <c:lblAlgn val="ctr"/>
        <c:lblOffset val="100"/>
        <c:noMultiLvlLbl val="0"/>
      </c:catAx>
      <c:valAx>
        <c:axId val="-1917975328"/>
        <c:scaling>
          <c:orientation val="minMax"/>
        </c:scaling>
        <c:delete val="0"/>
        <c:axPos val="l"/>
        <c:majorGridlines/>
        <c:numFmt formatCode="General" sourceLinked="1"/>
        <c:majorTickMark val="out"/>
        <c:minorTickMark val="none"/>
        <c:tickLblPos val="nextTo"/>
        <c:txPr>
          <a:bodyPr/>
          <a:lstStyle/>
          <a:p>
            <a:pPr>
              <a:defRPr lang="en-US"/>
            </a:pPr>
            <a:endParaRPr lang="en-US"/>
          </a:p>
        </c:txPr>
        <c:crossAx val="-1917974784"/>
        <c:crosses val="autoZero"/>
        <c:crossBetween val="between"/>
      </c:valAx>
      <c:spPr>
        <a:solidFill>
          <a:schemeClr val="bg1">
            <a:lumMod val="85000"/>
          </a:schemeClr>
        </a:solidFill>
      </c:spPr>
    </c:plotArea>
    <c:legend>
      <c:legendPos val="r"/>
      <c:layout/>
      <c:overlay val="0"/>
      <c:txPr>
        <a:bodyPr/>
        <a:lstStyle/>
        <a:p>
          <a:pPr>
            <a:defRPr lang="en-US"/>
          </a:pPr>
          <a:endParaRPr lang="en-US"/>
        </a:p>
      </c:txPr>
    </c:legend>
    <c:plotVisOnly val="1"/>
    <c:dispBlanksAs val="gap"/>
    <c:showDLblsOverMax val="0"/>
  </c:chart>
  <c:spPr>
    <a:solidFill>
      <a:schemeClr val="bg1">
        <a:lumMod val="85000"/>
      </a:schemeClr>
    </a:solidFill>
  </c:spPr>
  <c:printSettings>
    <c:headerFooter/>
    <c:pageMargins b="0.75000000000000833" l="0.70000000000000062" r="0.70000000000000062" t="0.750000000000008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111127514047214"/>
          <c:y val="4.5626878075972745E-2"/>
          <c:w val="0.7042603825446806"/>
          <c:h val="0.83661249728202525"/>
        </c:manualLayout>
      </c:layout>
      <c:barChart>
        <c:barDir val="col"/>
        <c:grouping val="clustered"/>
        <c:varyColors val="0"/>
        <c:ser>
          <c:idx val="0"/>
          <c:order val="0"/>
          <c:tx>
            <c:strRef>
              <c:f>'MAIN OI BankNifty'!$G$6</c:f>
              <c:strCache>
                <c:ptCount val="1"/>
                <c:pt idx="0">
                  <c:v>Call Net OI</c:v>
                </c:pt>
              </c:strCache>
            </c:strRef>
          </c:tx>
          <c:invertIfNegative val="0"/>
          <c:cat>
            <c:numRef>
              <c:f>'MAIN OI BankNifty'!$L$7:$L$22</c:f>
              <c:numCache>
                <c:formatCode>General</c:formatCode>
                <c:ptCount val="16"/>
                <c:pt idx="0">
                  <c:v>30200</c:v>
                </c:pt>
                <c:pt idx="1">
                  <c:v>30300</c:v>
                </c:pt>
                <c:pt idx="2">
                  <c:v>30400</c:v>
                </c:pt>
                <c:pt idx="3">
                  <c:v>30500</c:v>
                </c:pt>
                <c:pt idx="4">
                  <c:v>30600</c:v>
                </c:pt>
                <c:pt idx="5">
                  <c:v>30700</c:v>
                </c:pt>
                <c:pt idx="6">
                  <c:v>30800</c:v>
                </c:pt>
                <c:pt idx="7">
                  <c:v>30900</c:v>
                </c:pt>
                <c:pt idx="8">
                  <c:v>31000</c:v>
                </c:pt>
                <c:pt idx="9">
                  <c:v>31100</c:v>
                </c:pt>
                <c:pt idx="10">
                  <c:v>31200</c:v>
                </c:pt>
                <c:pt idx="11">
                  <c:v>31300</c:v>
                </c:pt>
                <c:pt idx="12">
                  <c:v>31400</c:v>
                </c:pt>
                <c:pt idx="13">
                  <c:v>31500</c:v>
                </c:pt>
                <c:pt idx="14">
                  <c:v>31600</c:v>
                </c:pt>
                <c:pt idx="15">
                  <c:v>31700</c:v>
                </c:pt>
              </c:numCache>
            </c:numRef>
          </c:cat>
          <c:val>
            <c:numRef>
              <c:f>'MAIN OI BankNifty'!$G$7:$G$22</c:f>
              <c:numCache>
                <c:formatCode>General</c:formatCode>
                <c:ptCount val="16"/>
                <c:pt idx="0">
                  <c:v>1440</c:v>
                </c:pt>
                <c:pt idx="1">
                  <c:v>4860</c:v>
                </c:pt>
                <c:pt idx="2">
                  <c:v>2280</c:v>
                </c:pt>
                <c:pt idx="3">
                  <c:v>57600</c:v>
                </c:pt>
                <c:pt idx="4">
                  <c:v>20080</c:v>
                </c:pt>
                <c:pt idx="5">
                  <c:v>55900</c:v>
                </c:pt>
                <c:pt idx="6">
                  <c:v>208200</c:v>
                </c:pt>
                <c:pt idx="7">
                  <c:v>393380</c:v>
                </c:pt>
                <c:pt idx="8">
                  <c:v>1075040</c:v>
                </c:pt>
                <c:pt idx="9">
                  <c:v>504360</c:v>
                </c:pt>
                <c:pt idx="10">
                  <c:v>712080</c:v>
                </c:pt>
                <c:pt idx="11">
                  <c:v>633900</c:v>
                </c:pt>
                <c:pt idx="12">
                  <c:v>540720</c:v>
                </c:pt>
                <c:pt idx="13">
                  <c:v>1441560</c:v>
                </c:pt>
                <c:pt idx="14">
                  <c:v>359540</c:v>
                </c:pt>
                <c:pt idx="15">
                  <c:v>384840</c:v>
                </c:pt>
              </c:numCache>
            </c:numRef>
          </c:val>
          <c:extLst xmlns:c16r2="http://schemas.microsoft.com/office/drawing/2015/06/chart">
            <c:ext xmlns:c16="http://schemas.microsoft.com/office/drawing/2014/chart" uri="{C3380CC4-5D6E-409C-BE32-E72D297353CC}">
              <c16:uniqueId val="{00000000-042E-49DD-95EC-D44362F4DA52}"/>
            </c:ext>
          </c:extLst>
        </c:ser>
        <c:ser>
          <c:idx val="1"/>
          <c:order val="1"/>
          <c:tx>
            <c:strRef>
              <c:f>'MAIN OI BankNifty'!$Q$6</c:f>
              <c:strCache>
                <c:ptCount val="1"/>
                <c:pt idx="0">
                  <c:v>Put Net OI</c:v>
                </c:pt>
              </c:strCache>
            </c:strRef>
          </c:tx>
          <c:invertIfNegative val="0"/>
          <c:cat>
            <c:numRef>
              <c:f>'MAIN OI BankNifty'!$L$7:$L$22</c:f>
              <c:numCache>
                <c:formatCode>General</c:formatCode>
                <c:ptCount val="16"/>
                <c:pt idx="0">
                  <c:v>30200</c:v>
                </c:pt>
                <c:pt idx="1">
                  <c:v>30300</c:v>
                </c:pt>
                <c:pt idx="2">
                  <c:v>30400</c:v>
                </c:pt>
                <c:pt idx="3">
                  <c:v>30500</c:v>
                </c:pt>
                <c:pt idx="4">
                  <c:v>30600</c:v>
                </c:pt>
                <c:pt idx="5">
                  <c:v>30700</c:v>
                </c:pt>
                <c:pt idx="6">
                  <c:v>30800</c:v>
                </c:pt>
                <c:pt idx="7">
                  <c:v>30900</c:v>
                </c:pt>
                <c:pt idx="8">
                  <c:v>31000</c:v>
                </c:pt>
                <c:pt idx="9">
                  <c:v>31100</c:v>
                </c:pt>
                <c:pt idx="10">
                  <c:v>31200</c:v>
                </c:pt>
                <c:pt idx="11">
                  <c:v>31300</c:v>
                </c:pt>
                <c:pt idx="12">
                  <c:v>31400</c:v>
                </c:pt>
                <c:pt idx="13">
                  <c:v>31500</c:v>
                </c:pt>
                <c:pt idx="14">
                  <c:v>31600</c:v>
                </c:pt>
                <c:pt idx="15">
                  <c:v>31700</c:v>
                </c:pt>
              </c:numCache>
            </c:numRef>
          </c:cat>
          <c:val>
            <c:numRef>
              <c:f>'MAIN OI BankNifty'!$Q$7:$Q$22</c:f>
              <c:numCache>
                <c:formatCode>General</c:formatCode>
                <c:ptCount val="16"/>
                <c:pt idx="0">
                  <c:v>241960</c:v>
                </c:pt>
                <c:pt idx="1">
                  <c:v>232400</c:v>
                </c:pt>
                <c:pt idx="2">
                  <c:v>286080</c:v>
                </c:pt>
                <c:pt idx="3">
                  <c:v>869400</c:v>
                </c:pt>
                <c:pt idx="4">
                  <c:v>425300</c:v>
                </c:pt>
                <c:pt idx="5">
                  <c:v>476540</c:v>
                </c:pt>
                <c:pt idx="6">
                  <c:v>574340</c:v>
                </c:pt>
                <c:pt idx="7">
                  <c:v>522480</c:v>
                </c:pt>
                <c:pt idx="8">
                  <c:v>783140</c:v>
                </c:pt>
                <c:pt idx="9">
                  <c:v>155160</c:v>
                </c:pt>
                <c:pt idx="10">
                  <c:v>120520</c:v>
                </c:pt>
                <c:pt idx="11">
                  <c:v>97740</c:v>
                </c:pt>
                <c:pt idx="12">
                  <c:v>54740</c:v>
                </c:pt>
                <c:pt idx="13">
                  <c:v>471660</c:v>
                </c:pt>
                <c:pt idx="14">
                  <c:v>17660</c:v>
                </c:pt>
                <c:pt idx="15">
                  <c:v>10100</c:v>
                </c:pt>
              </c:numCache>
            </c:numRef>
          </c:val>
          <c:extLst xmlns:c16r2="http://schemas.microsoft.com/office/drawing/2015/06/chart">
            <c:ext xmlns:c16="http://schemas.microsoft.com/office/drawing/2014/chart" uri="{C3380CC4-5D6E-409C-BE32-E72D297353CC}">
              <c16:uniqueId val="{00000001-042E-49DD-95EC-D44362F4DA52}"/>
            </c:ext>
          </c:extLst>
        </c:ser>
        <c:dLbls>
          <c:showLegendKey val="0"/>
          <c:showVal val="0"/>
          <c:showCatName val="0"/>
          <c:showSerName val="0"/>
          <c:showPercent val="0"/>
          <c:showBubbleSize val="0"/>
        </c:dLbls>
        <c:gapWidth val="150"/>
        <c:axId val="-1917979136"/>
        <c:axId val="-1917976960"/>
      </c:barChart>
      <c:catAx>
        <c:axId val="-1917979136"/>
        <c:scaling>
          <c:orientation val="minMax"/>
        </c:scaling>
        <c:delete val="0"/>
        <c:axPos val="b"/>
        <c:numFmt formatCode="General" sourceLinked="1"/>
        <c:majorTickMark val="out"/>
        <c:minorTickMark val="none"/>
        <c:tickLblPos val="nextTo"/>
        <c:txPr>
          <a:bodyPr/>
          <a:lstStyle/>
          <a:p>
            <a:pPr>
              <a:defRPr lang="en-US"/>
            </a:pPr>
            <a:endParaRPr lang="en-US"/>
          </a:p>
        </c:txPr>
        <c:crossAx val="-1917976960"/>
        <c:crosses val="autoZero"/>
        <c:auto val="1"/>
        <c:lblAlgn val="ctr"/>
        <c:lblOffset val="100"/>
        <c:noMultiLvlLbl val="0"/>
      </c:catAx>
      <c:valAx>
        <c:axId val="-1917976960"/>
        <c:scaling>
          <c:orientation val="minMax"/>
        </c:scaling>
        <c:delete val="0"/>
        <c:axPos val="l"/>
        <c:majorGridlines/>
        <c:numFmt formatCode="General" sourceLinked="1"/>
        <c:majorTickMark val="out"/>
        <c:minorTickMark val="none"/>
        <c:tickLblPos val="nextTo"/>
        <c:txPr>
          <a:bodyPr/>
          <a:lstStyle/>
          <a:p>
            <a:pPr>
              <a:defRPr lang="en-US"/>
            </a:pPr>
            <a:endParaRPr lang="en-US"/>
          </a:p>
        </c:txPr>
        <c:crossAx val="-1917979136"/>
        <c:crosses val="autoZero"/>
        <c:crossBetween val="between"/>
      </c:valAx>
      <c:spPr>
        <a:noFill/>
        <a:ln>
          <a:noFill/>
        </a:ln>
      </c:spPr>
    </c:plotArea>
    <c:legend>
      <c:legendPos val="r"/>
      <c:layout/>
      <c:overlay val="0"/>
      <c:txPr>
        <a:bodyPr/>
        <a:lstStyle/>
        <a:p>
          <a:pPr>
            <a:defRPr lang="en-US"/>
          </a:pPr>
          <a:endParaRPr lang="en-US"/>
        </a:p>
      </c:txPr>
    </c:legend>
    <c:plotVisOnly val="1"/>
    <c:dispBlanksAs val="gap"/>
    <c:showDLblsOverMax val="0"/>
  </c:chart>
  <c:spPr>
    <a:solidFill>
      <a:schemeClr val="bg1">
        <a:lumMod val="85000"/>
      </a:schemeClr>
    </a:solidFill>
    <a:ln>
      <a:solidFill>
        <a:schemeClr val="tx1">
          <a:lumMod val="95000"/>
          <a:lumOff val="5000"/>
        </a:schemeClr>
      </a:solidFill>
    </a:ln>
  </c:spPr>
  <c:printSettings>
    <c:headerFooter/>
    <c:pageMargins b="0.75000000000000833" l="0.70000000000000062" r="0.70000000000000062" t="0.750000000000008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'MAIN OI BankNifty'!$H$6</c:f>
              <c:strCache>
                <c:ptCount val="1"/>
                <c:pt idx="0">
                  <c:v>Call change in OI</c:v>
                </c:pt>
              </c:strCache>
            </c:strRef>
          </c:tx>
          <c:invertIfNegative val="0"/>
          <c:cat>
            <c:numRef>
              <c:f>'MAIN OI BankNifty'!$L$7:$L$22</c:f>
              <c:numCache>
                <c:formatCode>General</c:formatCode>
                <c:ptCount val="16"/>
                <c:pt idx="0">
                  <c:v>30200</c:v>
                </c:pt>
                <c:pt idx="1">
                  <c:v>30300</c:v>
                </c:pt>
                <c:pt idx="2">
                  <c:v>30400</c:v>
                </c:pt>
                <c:pt idx="3">
                  <c:v>30500</c:v>
                </c:pt>
                <c:pt idx="4">
                  <c:v>30600</c:v>
                </c:pt>
                <c:pt idx="5">
                  <c:v>30700</c:v>
                </c:pt>
                <c:pt idx="6">
                  <c:v>30800</c:v>
                </c:pt>
                <c:pt idx="7">
                  <c:v>30900</c:v>
                </c:pt>
                <c:pt idx="8">
                  <c:v>31000</c:v>
                </c:pt>
                <c:pt idx="9">
                  <c:v>31100</c:v>
                </c:pt>
                <c:pt idx="10">
                  <c:v>31200</c:v>
                </c:pt>
                <c:pt idx="11">
                  <c:v>31300</c:v>
                </c:pt>
                <c:pt idx="12">
                  <c:v>31400</c:v>
                </c:pt>
                <c:pt idx="13">
                  <c:v>31500</c:v>
                </c:pt>
                <c:pt idx="14">
                  <c:v>31600</c:v>
                </c:pt>
                <c:pt idx="15">
                  <c:v>31700</c:v>
                </c:pt>
              </c:numCache>
            </c:numRef>
          </c:cat>
          <c:val>
            <c:numRef>
              <c:f>'MAIN OI BankNifty'!$H$7:$H$22</c:f>
              <c:numCache>
                <c:formatCode>General</c:formatCode>
                <c:ptCount val="16"/>
                <c:pt idx="0">
                  <c:v>1020</c:v>
                </c:pt>
                <c:pt idx="1">
                  <c:v>2700</c:v>
                </c:pt>
                <c:pt idx="2">
                  <c:v>880</c:v>
                </c:pt>
                <c:pt idx="3">
                  <c:v>9580</c:v>
                </c:pt>
                <c:pt idx="4">
                  <c:v>3700</c:v>
                </c:pt>
                <c:pt idx="5">
                  <c:v>27700</c:v>
                </c:pt>
                <c:pt idx="6">
                  <c:v>65580</c:v>
                </c:pt>
                <c:pt idx="7">
                  <c:v>173180</c:v>
                </c:pt>
                <c:pt idx="8">
                  <c:v>296780</c:v>
                </c:pt>
                <c:pt idx="9">
                  <c:v>134440</c:v>
                </c:pt>
                <c:pt idx="10">
                  <c:v>152680</c:v>
                </c:pt>
                <c:pt idx="11">
                  <c:v>186220</c:v>
                </c:pt>
                <c:pt idx="12">
                  <c:v>147560</c:v>
                </c:pt>
                <c:pt idx="13">
                  <c:v>247200</c:v>
                </c:pt>
                <c:pt idx="14">
                  <c:v>75320</c:v>
                </c:pt>
                <c:pt idx="15">
                  <c:v>26880</c:v>
                </c:pt>
              </c:numCache>
            </c:numRef>
          </c:val>
          <c:extLst xmlns:c16r2="http://schemas.microsoft.com/office/drawing/2015/06/chart">
            <c:ext xmlns:c16="http://schemas.microsoft.com/office/drawing/2014/chart" uri="{C3380CC4-5D6E-409C-BE32-E72D297353CC}">
              <c16:uniqueId val="{00000000-C4F9-44B1-B429-B4E77F0118E7}"/>
            </c:ext>
          </c:extLst>
        </c:ser>
        <c:ser>
          <c:idx val="1"/>
          <c:order val="1"/>
          <c:tx>
            <c:strRef>
              <c:f>'MAIN OI BankNifty'!$P$6</c:f>
              <c:strCache>
                <c:ptCount val="1"/>
                <c:pt idx="0">
                  <c:v>Put Change in OI</c:v>
                </c:pt>
              </c:strCache>
            </c:strRef>
          </c:tx>
          <c:invertIfNegative val="0"/>
          <c:cat>
            <c:numRef>
              <c:f>'MAIN OI BankNifty'!$L$7:$L$22</c:f>
              <c:numCache>
                <c:formatCode>General</c:formatCode>
                <c:ptCount val="16"/>
                <c:pt idx="0">
                  <c:v>30200</c:v>
                </c:pt>
                <c:pt idx="1">
                  <c:v>30300</c:v>
                </c:pt>
                <c:pt idx="2">
                  <c:v>30400</c:v>
                </c:pt>
                <c:pt idx="3">
                  <c:v>30500</c:v>
                </c:pt>
                <c:pt idx="4">
                  <c:v>30600</c:v>
                </c:pt>
                <c:pt idx="5">
                  <c:v>30700</c:v>
                </c:pt>
                <c:pt idx="6">
                  <c:v>30800</c:v>
                </c:pt>
                <c:pt idx="7">
                  <c:v>30900</c:v>
                </c:pt>
                <c:pt idx="8">
                  <c:v>31000</c:v>
                </c:pt>
                <c:pt idx="9">
                  <c:v>31100</c:v>
                </c:pt>
                <c:pt idx="10">
                  <c:v>31200</c:v>
                </c:pt>
                <c:pt idx="11">
                  <c:v>31300</c:v>
                </c:pt>
                <c:pt idx="12">
                  <c:v>31400</c:v>
                </c:pt>
                <c:pt idx="13">
                  <c:v>31500</c:v>
                </c:pt>
                <c:pt idx="14">
                  <c:v>31600</c:v>
                </c:pt>
                <c:pt idx="15">
                  <c:v>31700</c:v>
                </c:pt>
              </c:numCache>
            </c:numRef>
          </c:cat>
          <c:val>
            <c:numRef>
              <c:f>'MAIN OI BankNifty'!$P$7:$P$22</c:f>
              <c:numCache>
                <c:formatCode>General</c:formatCode>
                <c:ptCount val="16"/>
                <c:pt idx="0">
                  <c:v>27900</c:v>
                </c:pt>
                <c:pt idx="1">
                  <c:v>86100</c:v>
                </c:pt>
                <c:pt idx="2">
                  <c:v>154760</c:v>
                </c:pt>
                <c:pt idx="3">
                  <c:v>331060</c:v>
                </c:pt>
                <c:pt idx="4">
                  <c:v>251480</c:v>
                </c:pt>
                <c:pt idx="5">
                  <c:v>304060</c:v>
                </c:pt>
                <c:pt idx="6">
                  <c:v>316700</c:v>
                </c:pt>
                <c:pt idx="7">
                  <c:v>313760</c:v>
                </c:pt>
                <c:pt idx="8">
                  <c:v>331920</c:v>
                </c:pt>
                <c:pt idx="9">
                  <c:v>50900</c:v>
                </c:pt>
                <c:pt idx="10">
                  <c:v>15420</c:v>
                </c:pt>
                <c:pt idx="11">
                  <c:v>-5440</c:v>
                </c:pt>
                <c:pt idx="12">
                  <c:v>4260</c:v>
                </c:pt>
                <c:pt idx="13">
                  <c:v>3560</c:v>
                </c:pt>
                <c:pt idx="14">
                  <c:v>0</c:v>
                </c:pt>
                <c:pt idx="15">
                  <c:v>-1240</c:v>
                </c:pt>
              </c:numCache>
            </c:numRef>
          </c:val>
          <c:extLst xmlns:c16r2="http://schemas.microsoft.com/office/drawing/2015/06/chart">
            <c:ext xmlns:c16="http://schemas.microsoft.com/office/drawing/2014/chart" uri="{C3380CC4-5D6E-409C-BE32-E72D297353CC}">
              <c16:uniqueId val="{00000001-C4F9-44B1-B429-B4E77F0118E7}"/>
            </c:ext>
          </c:extLst>
        </c:ser>
        <c:dLbls>
          <c:showLegendKey val="0"/>
          <c:showVal val="0"/>
          <c:showCatName val="0"/>
          <c:showSerName val="0"/>
          <c:showPercent val="0"/>
          <c:showBubbleSize val="0"/>
        </c:dLbls>
        <c:gapWidth val="150"/>
        <c:axId val="-1917968800"/>
        <c:axId val="-1917967712"/>
      </c:barChart>
      <c:catAx>
        <c:axId val="-1917968800"/>
        <c:scaling>
          <c:orientation val="minMax"/>
        </c:scaling>
        <c:delete val="0"/>
        <c:axPos val="b"/>
        <c:numFmt formatCode="General" sourceLinked="1"/>
        <c:majorTickMark val="out"/>
        <c:minorTickMark val="none"/>
        <c:tickLblPos val="nextTo"/>
        <c:txPr>
          <a:bodyPr/>
          <a:lstStyle/>
          <a:p>
            <a:pPr>
              <a:defRPr lang="en-US"/>
            </a:pPr>
            <a:endParaRPr lang="en-US"/>
          </a:p>
        </c:txPr>
        <c:crossAx val="-1917967712"/>
        <c:crosses val="autoZero"/>
        <c:auto val="1"/>
        <c:lblAlgn val="ctr"/>
        <c:lblOffset val="100"/>
        <c:noMultiLvlLbl val="0"/>
      </c:catAx>
      <c:valAx>
        <c:axId val="-1917967712"/>
        <c:scaling>
          <c:orientation val="minMax"/>
        </c:scaling>
        <c:delete val="0"/>
        <c:axPos val="l"/>
        <c:majorGridlines/>
        <c:numFmt formatCode="General" sourceLinked="1"/>
        <c:majorTickMark val="out"/>
        <c:minorTickMark val="none"/>
        <c:tickLblPos val="nextTo"/>
        <c:txPr>
          <a:bodyPr/>
          <a:lstStyle/>
          <a:p>
            <a:pPr>
              <a:defRPr lang="en-US"/>
            </a:pPr>
            <a:endParaRPr lang="en-US"/>
          </a:p>
        </c:txPr>
        <c:crossAx val="-1917968800"/>
        <c:crosses val="autoZero"/>
        <c:crossBetween val="between"/>
      </c:valAx>
      <c:spPr>
        <a:solidFill>
          <a:schemeClr val="bg1">
            <a:lumMod val="85000"/>
          </a:schemeClr>
        </a:solidFill>
      </c:spPr>
    </c:plotArea>
    <c:legend>
      <c:legendPos val="r"/>
      <c:layout/>
      <c:overlay val="0"/>
      <c:txPr>
        <a:bodyPr/>
        <a:lstStyle/>
        <a:p>
          <a:pPr>
            <a:defRPr lang="en-US"/>
          </a:pPr>
          <a:endParaRPr lang="en-US"/>
        </a:p>
      </c:txPr>
    </c:legend>
    <c:plotVisOnly val="1"/>
    <c:dispBlanksAs val="gap"/>
    <c:showDLblsOverMax val="0"/>
  </c:chart>
  <c:spPr>
    <a:solidFill>
      <a:schemeClr val="bg1">
        <a:lumMod val="85000"/>
      </a:schemeClr>
    </a:solidFill>
  </c:spPr>
  <c:printSettings>
    <c:headerFooter/>
    <c:pageMargins b="0.75000000000000822" l="0.70000000000000062" r="0.70000000000000062" t="0.7500000000000082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'MAIN OI BankNifty'!$J$6</c:f>
              <c:strCache>
                <c:ptCount val="1"/>
                <c:pt idx="0">
                  <c:v>Call Price change</c:v>
                </c:pt>
              </c:strCache>
            </c:strRef>
          </c:tx>
          <c:invertIfNegative val="0"/>
          <c:cat>
            <c:numRef>
              <c:f>'MAIN OI BankNifty'!$L$7:$L$22</c:f>
              <c:numCache>
                <c:formatCode>General</c:formatCode>
                <c:ptCount val="16"/>
                <c:pt idx="0">
                  <c:v>30200</c:v>
                </c:pt>
                <c:pt idx="1">
                  <c:v>30300</c:v>
                </c:pt>
                <c:pt idx="2">
                  <c:v>30400</c:v>
                </c:pt>
                <c:pt idx="3">
                  <c:v>30500</c:v>
                </c:pt>
                <c:pt idx="4">
                  <c:v>30600</c:v>
                </c:pt>
                <c:pt idx="5">
                  <c:v>30700</c:v>
                </c:pt>
                <c:pt idx="6">
                  <c:v>30800</c:v>
                </c:pt>
                <c:pt idx="7">
                  <c:v>30900</c:v>
                </c:pt>
                <c:pt idx="8">
                  <c:v>31000</c:v>
                </c:pt>
                <c:pt idx="9">
                  <c:v>31100</c:v>
                </c:pt>
                <c:pt idx="10">
                  <c:v>31200</c:v>
                </c:pt>
                <c:pt idx="11">
                  <c:v>31300</c:v>
                </c:pt>
                <c:pt idx="12">
                  <c:v>31400</c:v>
                </c:pt>
                <c:pt idx="13">
                  <c:v>31500</c:v>
                </c:pt>
                <c:pt idx="14">
                  <c:v>31600</c:v>
                </c:pt>
                <c:pt idx="15">
                  <c:v>31700</c:v>
                </c:pt>
              </c:numCache>
            </c:numRef>
          </c:cat>
          <c:val>
            <c:numRef>
              <c:f>'MAIN OI BankNifty'!$J$7:$J$22</c:f>
              <c:numCache>
                <c:formatCode>General</c:formatCode>
                <c:ptCount val="16"/>
                <c:pt idx="0">
                  <c:v>100.2</c:v>
                </c:pt>
                <c:pt idx="1">
                  <c:v>59.25</c:v>
                </c:pt>
                <c:pt idx="2">
                  <c:v>60.65</c:v>
                </c:pt>
                <c:pt idx="3">
                  <c:v>43.55</c:v>
                </c:pt>
                <c:pt idx="4">
                  <c:v>37.35</c:v>
                </c:pt>
                <c:pt idx="5">
                  <c:v>28.25</c:v>
                </c:pt>
                <c:pt idx="6">
                  <c:v>18.649999999999999</c:v>
                </c:pt>
                <c:pt idx="7">
                  <c:v>12.15</c:v>
                </c:pt>
                <c:pt idx="8">
                  <c:v>5.4</c:v>
                </c:pt>
                <c:pt idx="9">
                  <c:v>-0.3</c:v>
                </c:pt>
                <c:pt idx="10">
                  <c:v>-4.0999999999999996</c:v>
                </c:pt>
                <c:pt idx="11">
                  <c:v>-6.8</c:v>
                </c:pt>
                <c:pt idx="12">
                  <c:v>-9.6999999999999993</c:v>
                </c:pt>
                <c:pt idx="13">
                  <c:v>-8.9499999999999993</c:v>
                </c:pt>
                <c:pt idx="14">
                  <c:v>-9.15</c:v>
                </c:pt>
                <c:pt idx="15">
                  <c:v>-8.15</c:v>
                </c:pt>
              </c:numCache>
            </c:numRef>
          </c:val>
          <c:extLst xmlns:c16r2="http://schemas.microsoft.com/office/drawing/2015/06/chart">
            <c:ext xmlns:c16="http://schemas.microsoft.com/office/drawing/2014/chart" uri="{C3380CC4-5D6E-409C-BE32-E72D297353CC}">
              <c16:uniqueId val="{00000000-6903-41A1-94DD-B2F2CA602076}"/>
            </c:ext>
          </c:extLst>
        </c:ser>
        <c:ser>
          <c:idx val="1"/>
          <c:order val="1"/>
          <c:tx>
            <c:strRef>
              <c:f>'MAIN OI BankNifty'!$N$6</c:f>
              <c:strCache>
                <c:ptCount val="1"/>
                <c:pt idx="0">
                  <c:v>Put Price Change</c:v>
                </c:pt>
              </c:strCache>
            </c:strRef>
          </c:tx>
          <c:invertIfNegative val="0"/>
          <c:cat>
            <c:numRef>
              <c:f>'MAIN OI BankNifty'!$L$7:$L$22</c:f>
              <c:numCache>
                <c:formatCode>General</c:formatCode>
                <c:ptCount val="16"/>
                <c:pt idx="0">
                  <c:v>30200</c:v>
                </c:pt>
                <c:pt idx="1">
                  <c:v>30300</c:v>
                </c:pt>
                <c:pt idx="2">
                  <c:v>30400</c:v>
                </c:pt>
                <c:pt idx="3">
                  <c:v>30500</c:v>
                </c:pt>
                <c:pt idx="4">
                  <c:v>30600</c:v>
                </c:pt>
                <c:pt idx="5">
                  <c:v>30700</c:v>
                </c:pt>
                <c:pt idx="6">
                  <c:v>30800</c:v>
                </c:pt>
                <c:pt idx="7">
                  <c:v>30900</c:v>
                </c:pt>
                <c:pt idx="8">
                  <c:v>31000</c:v>
                </c:pt>
                <c:pt idx="9">
                  <c:v>31100</c:v>
                </c:pt>
                <c:pt idx="10">
                  <c:v>31200</c:v>
                </c:pt>
                <c:pt idx="11">
                  <c:v>31300</c:v>
                </c:pt>
                <c:pt idx="12">
                  <c:v>31400</c:v>
                </c:pt>
                <c:pt idx="13">
                  <c:v>31500</c:v>
                </c:pt>
                <c:pt idx="14">
                  <c:v>31600</c:v>
                </c:pt>
                <c:pt idx="15">
                  <c:v>31700</c:v>
                </c:pt>
              </c:numCache>
            </c:numRef>
          </c:cat>
          <c:val>
            <c:numRef>
              <c:f>'MAIN OI BankNifty'!$N$7:$N$22</c:f>
              <c:numCache>
                <c:formatCode>General</c:formatCode>
                <c:ptCount val="16"/>
                <c:pt idx="0">
                  <c:v>-19.45</c:v>
                </c:pt>
                <c:pt idx="1">
                  <c:v>-23.55</c:v>
                </c:pt>
                <c:pt idx="2">
                  <c:v>-29.6</c:v>
                </c:pt>
                <c:pt idx="3">
                  <c:v>-37.299999999999997</c:v>
                </c:pt>
                <c:pt idx="4">
                  <c:v>-43.65</c:v>
                </c:pt>
                <c:pt idx="5">
                  <c:v>-52.35</c:v>
                </c:pt>
                <c:pt idx="6">
                  <c:v>-59.35</c:v>
                </c:pt>
                <c:pt idx="7">
                  <c:v>-65.3</c:v>
                </c:pt>
                <c:pt idx="8">
                  <c:v>-73.75</c:v>
                </c:pt>
                <c:pt idx="9">
                  <c:v>-77.7</c:v>
                </c:pt>
                <c:pt idx="10">
                  <c:v>-83</c:v>
                </c:pt>
                <c:pt idx="11">
                  <c:v>-94.4</c:v>
                </c:pt>
                <c:pt idx="12">
                  <c:v>-87.35</c:v>
                </c:pt>
                <c:pt idx="13">
                  <c:v>-87.3</c:v>
                </c:pt>
                <c:pt idx="14">
                  <c:v>-95.85</c:v>
                </c:pt>
                <c:pt idx="15">
                  <c:v>-95.65</c:v>
                </c:pt>
              </c:numCache>
            </c:numRef>
          </c:val>
          <c:extLst xmlns:c16r2="http://schemas.microsoft.com/office/drawing/2015/06/chart">
            <c:ext xmlns:c16="http://schemas.microsoft.com/office/drawing/2014/chart" uri="{C3380CC4-5D6E-409C-BE32-E72D297353CC}">
              <c16:uniqueId val="{00000001-6903-41A1-94DD-B2F2CA602076}"/>
            </c:ext>
          </c:extLst>
        </c:ser>
        <c:dLbls>
          <c:showLegendKey val="0"/>
          <c:showVal val="0"/>
          <c:showCatName val="0"/>
          <c:showSerName val="0"/>
          <c:showPercent val="0"/>
          <c:showBubbleSize val="0"/>
        </c:dLbls>
        <c:gapWidth val="150"/>
        <c:axId val="-1917981312"/>
        <c:axId val="-1917980768"/>
      </c:barChart>
      <c:catAx>
        <c:axId val="-1917981312"/>
        <c:scaling>
          <c:orientation val="minMax"/>
        </c:scaling>
        <c:delete val="0"/>
        <c:axPos val="b"/>
        <c:numFmt formatCode="General" sourceLinked="1"/>
        <c:majorTickMark val="out"/>
        <c:minorTickMark val="none"/>
        <c:tickLblPos val="nextTo"/>
        <c:txPr>
          <a:bodyPr/>
          <a:lstStyle/>
          <a:p>
            <a:pPr>
              <a:defRPr lang="en-US"/>
            </a:pPr>
            <a:endParaRPr lang="en-US"/>
          </a:p>
        </c:txPr>
        <c:crossAx val="-1917980768"/>
        <c:crosses val="autoZero"/>
        <c:auto val="1"/>
        <c:lblAlgn val="ctr"/>
        <c:lblOffset val="100"/>
        <c:noMultiLvlLbl val="0"/>
      </c:catAx>
      <c:valAx>
        <c:axId val="-1917980768"/>
        <c:scaling>
          <c:orientation val="minMax"/>
        </c:scaling>
        <c:delete val="0"/>
        <c:axPos val="l"/>
        <c:majorGridlines/>
        <c:numFmt formatCode="General" sourceLinked="1"/>
        <c:majorTickMark val="out"/>
        <c:minorTickMark val="none"/>
        <c:tickLblPos val="nextTo"/>
        <c:txPr>
          <a:bodyPr/>
          <a:lstStyle/>
          <a:p>
            <a:pPr>
              <a:defRPr lang="en-US"/>
            </a:pPr>
            <a:endParaRPr lang="en-US"/>
          </a:p>
        </c:txPr>
        <c:crossAx val="-1917981312"/>
        <c:crosses val="autoZero"/>
        <c:crossBetween val="between"/>
      </c:valAx>
      <c:spPr>
        <a:solidFill>
          <a:schemeClr val="bg1">
            <a:lumMod val="85000"/>
          </a:schemeClr>
        </a:solidFill>
      </c:spPr>
    </c:plotArea>
    <c:legend>
      <c:legendPos val="r"/>
      <c:layout/>
      <c:overlay val="0"/>
      <c:txPr>
        <a:bodyPr/>
        <a:lstStyle/>
        <a:p>
          <a:pPr>
            <a:defRPr lang="en-US"/>
          </a:pPr>
          <a:endParaRPr lang="en-US"/>
        </a:p>
      </c:txPr>
    </c:legend>
    <c:plotVisOnly val="1"/>
    <c:dispBlanksAs val="gap"/>
    <c:showDLblsOverMax val="0"/>
  </c:chart>
  <c:spPr>
    <a:solidFill>
      <a:schemeClr val="bg1">
        <a:lumMod val="85000"/>
      </a:schemeClr>
    </a:solidFill>
  </c:spPr>
  <c:printSettings>
    <c:headerFooter/>
    <c:pageMargins b="0.75000000000000822" l="0.70000000000000062" r="0.70000000000000062" t="0.7500000000000082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[Bank_OI.xlsm]Call_Bank!Call</c:name>
    <c:fmtId val="78"/>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
        <c:idx val="192"/>
        <c:spPr>
          <a:solidFill>
            <a:schemeClr val="accent1"/>
          </a:solidFill>
          <a:ln w="28575" cap="rnd">
            <a:solidFill>
              <a:schemeClr val="accent1"/>
            </a:solidFill>
            <a:round/>
          </a:ln>
          <a:effectLst/>
        </c:spPr>
        <c:marker>
          <c:symbol val="none"/>
        </c:marker>
      </c:pivotFmt>
      <c:pivotFmt>
        <c:idx val="193"/>
        <c:spPr>
          <a:solidFill>
            <a:schemeClr val="accent1"/>
          </a:solidFill>
          <a:ln w="28575" cap="rnd">
            <a:solidFill>
              <a:schemeClr val="accent1"/>
            </a:solidFill>
            <a:round/>
          </a:ln>
          <a:effectLst/>
        </c:spPr>
        <c:marker>
          <c:symbol val="none"/>
        </c:marker>
      </c:pivotFmt>
      <c:pivotFmt>
        <c:idx val="194"/>
        <c:spPr>
          <a:solidFill>
            <a:schemeClr val="accent1"/>
          </a:solidFill>
          <a:ln w="28575" cap="rnd">
            <a:solidFill>
              <a:schemeClr val="accent1"/>
            </a:solidFill>
            <a:round/>
          </a:ln>
          <a:effectLst/>
        </c:spPr>
        <c:marker>
          <c:symbol val="none"/>
        </c:marker>
      </c:pivotFmt>
      <c:pivotFmt>
        <c:idx val="195"/>
        <c:spPr>
          <a:solidFill>
            <a:schemeClr val="accent1"/>
          </a:solidFill>
          <a:ln w="28575" cap="rnd">
            <a:solidFill>
              <a:schemeClr val="accent1"/>
            </a:solidFill>
            <a:round/>
          </a:ln>
          <a:effectLst/>
        </c:spPr>
        <c:marker>
          <c:symbol val="none"/>
        </c:marker>
      </c:pivotFmt>
      <c:pivotFmt>
        <c:idx val="196"/>
        <c:spPr>
          <a:solidFill>
            <a:schemeClr val="accent1"/>
          </a:solidFill>
          <a:ln w="28575" cap="rnd">
            <a:solidFill>
              <a:schemeClr val="accent1"/>
            </a:solidFill>
            <a:round/>
          </a:ln>
          <a:effectLst/>
        </c:spPr>
        <c:marker>
          <c:symbol val="none"/>
        </c:marker>
      </c:pivotFmt>
      <c:pivotFmt>
        <c:idx val="197"/>
        <c:spPr>
          <a:solidFill>
            <a:schemeClr val="accent1"/>
          </a:solidFill>
          <a:ln w="28575" cap="rnd">
            <a:solidFill>
              <a:schemeClr val="accent1"/>
            </a:solidFill>
            <a:round/>
          </a:ln>
          <a:effectLst/>
        </c:spPr>
        <c:marker>
          <c:symbol val="none"/>
        </c:marker>
      </c:pivotFmt>
      <c:pivotFmt>
        <c:idx val="19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5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5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manualLayout>
          <c:layoutTarget val="inner"/>
          <c:xMode val="edge"/>
          <c:yMode val="edge"/>
          <c:x val="0.1032639559370957"/>
          <c:y val="0.15035419991711271"/>
          <c:w val="0.82693998448120287"/>
          <c:h val="0.65829738243671021"/>
        </c:manualLayout>
      </c:layout>
      <c:lineChart>
        <c:grouping val="standard"/>
        <c:varyColors val="0"/>
        <c:ser>
          <c:idx val="0"/>
          <c:order val="0"/>
          <c:tx>
            <c:strRef>
              <c:f>Call_Bank!$B$3</c:f>
              <c:strCache>
                <c:ptCount val="1"/>
                <c:pt idx="0">
                  <c:v>Call_change in OI</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Call_Bank!$A$4:$A$19</c:f>
              <c:strCache>
                <c:ptCount val="15"/>
                <c:pt idx="0">
                  <c:v> 13:14</c:v>
                </c:pt>
                <c:pt idx="1">
                  <c:v> 13:17</c:v>
                </c:pt>
                <c:pt idx="2">
                  <c:v> 13:19</c:v>
                </c:pt>
                <c:pt idx="3">
                  <c:v> 13:23</c:v>
                </c:pt>
                <c:pt idx="4">
                  <c:v> 13:24</c:v>
                </c:pt>
                <c:pt idx="5">
                  <c:v> 13:28</c:v>
                </c:pt>
                <c:pt idx="6">
                  <c:v> 13:32</c:v>
                </c:pt>
                <c:pt idx="7">
                  <c:v> 13:33</c:v>
                </c:pt>
                <c:pt idx="8">
                  <c:v> 13:36</c:v>
                </c:pt>
                <c:pt idx="9">
                  <c:v> 13:39</c:v>
                </c:pt>
                <c:pt idx="10">
                  <c:v> 13:42</c:v>
                </c:pt>
                <c:pt idx="11">
                  <c:v> 13:44</c:v>
                </c:pt>
                <c:pt idx="12">
                  <c:v> 13:47</c:v>
                </c:pt>
                <c:pt idx="13">
                  <c:v> 13:51</c:v>
                </c:pt>
                <c:pt idx="14">
                  <c:v>(blank)</c:v>
                </c:pt>
              </c:strCache>
            </c:strRef>
          </c:cat>
          <c:val>
            <c:numRef>
              <c:f>Call_Bank!$B$4:$B$19</c:f>
              <c:numCache>
                <c:formatCode>General</c:formatCode>
                <c:ptCount val="15"/>
                <c:pt idx="0">
                  <c:v>91072.5</c:v>
                </c:pt>
                <c:pt idx="1">
                  <c:v>91022.5</c:v>
                </c:pt>
                <c:pt idx="2">
                  <c:v>90360</c:v>
                </c:pt>
                <c:pt idx="3">
                  <c:v>90593.75</c:v>
                </c:pt>
                <c:pt idx="4">
                  <c:v>89487.5</c:v>
                </c:pt>
                <c:pt idx="5">
                  <c:v>89717.5</c:v>
                </c:pt>
                <c:pt idx="6">
                  <c:v>91551.25</c:v>
                </c:pt>
                <c:pt idx="7">
                  <c:v>91141.25</c:v>
                </c:pt>
                <c:pt idx="8">
                  <c:v>94223.75</c:v>
                </c:pt>
                <c:pt idx="9">
                  <c:v>93945</c:v>
                </c:pt>
                <c:pt idx="10">
                  <c:v>93472.5</c:v>
                </c:pt>
                <c:pt idx="11">
                  <c:v>93472.5</c:v>
                </c:pt>
                <c:pt idx="12">
                  <c:v>95765</c:v>
                </c:pt>
                <c:pt idx="13">
                  <c:v>96963.75</c:v>
                </c:pt>
              </c:numCache>
            </c:numRef>
          </c:val>
          <c:smooth val="0"/>
          <c:extLst xmlns:c16r2="http://schemas.microsoft.com/office/drawing/2015/06/chart">
            <c:ext xmlns:c16="http://schemas.microsoft.com/office/drawing/2014/chart" uri="{C3380CC4-5D6E-409C-BE32-E72D297353CC}">
              <c16:uniqueId val="{00000000-9A20-434D-882A-7A05431BE03D}"/>
            </c:ext>
          </c:extLst>
        </c:ser>
        <c:dLbls>
          <c:showLegendKey val="0"/>
          <c:showVal val="0"/>
          <c:showCatName val="0"/>
          <c:showSerName val="0"/>
          <c:showPercent val="0"/>
          <c:showBubbleSize val="0"/>
        </c:dLbls>
        <c:marker val="1"/>
        <c:smooth val="0"/>
        <c:axId val="-1917973696"/>
        <c:axId val="-1917979680"/>
      </c:lineChart>
      <c:lineChart>
        <c:grouping val="standard"/>
        <c:varyColors val="0"/>
        <c:ser>
          <c:idx val="1"/>
          <c:order val="1"/>
          <c:tx>
            <c:strRef>
              <c:f>Call_Bank!$C$3</c:f>
              <c:strCache>
                <c:ptCount val="1"/>
                <c:pt idx="0">
                  <c:v>Call_LTP</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Call_Bank!$A$4:$A$19</c:f>
              <c:strCache>
                <c:ptCount val="15"/>
                <c:pt idx="0">
                  <c:v> 13:14</c:v>
                </c:pt>
                <c:pt idx="1">
                  <c:v> 13:17</c:v>
                </c:pt>
                <c:pt idx="2">
                  <c:v> 13:19</c:v>
                </c:pt>
                <c:pt idx="3">
                  <c:v> 13:23</c:v>
                </c:pt>
                <c:pt idx="4">
                  <c:v> 13:24</c:v>
                </c:pt>
                <c:pt idx="5">
                  <c:v> 13:28</c:v>
                </c:pt>
                <c:pt idx="6">
                  <c:v> 13:32</c:v>
                </c:pt>
                <c:pt idx="7">
                  <c:v> 13:33</c:v>
                </c:pt>
                <c:pt idx="8">
                  <c:v> 13:36</c:v>
                </c:pt>
                <c:pt idx="9">
                  <c:v> 13:39</c:v>
                </c:pt>
                <c:pt idx="10">
                  <c:v> 13:42</c:v>
                </c:pt>
                <c:pt idx="11">
                  <c:v> 13:44</c:v>
                </c:pt>
                <c:pt idx="12">
                  <c:v> 13:47</c:v>
                </c:pt>
                <c:pt idx="13">
                  <c:v> 13:51</c:v>
                </c:pt>
                <c:pt idx="14">
                  <c:v>(blank)</c:v>
                </c:pt>
              </c:strCache>
            </c:strRef>
          </c:cat>
          <c:val>
            <c:numRef>
              <c:f>Call_Bank!$C$4:$C$19</c:f>
              <c:numCache>
                <c:formatCode>General</c:formatCode>
                <c:ptCount val="15"/>
                <c:pt idx="0">
                  <c:v>328.67187499999994</c:v>
                </c:pt>
                <c:pt idx="1">
                  <c:v>328.30625000000009</c:v>
                </c:pt>
                <c:pt idx="2">
                  <c:v>318.90000000000009</c:v>
                </c:pt>
                <c:pt idx="3">
                  <c:v>314.28125</c:v>
                </c:pt>
                <c:pt idx="4">
                  <c:v>317.97500000000002</c:v>
                </c:pt>
                <c:pt idx="5">
                  <c:v>327.72187500000001</c:v>
                </c:pt>
                <c:pt idx="6">
                  <c:v>302.45</c:v>
                </c:pt>
                <c:pt idx="7">
                  <c:v>303.45937500000008</c:v>
                </c:pt>
                <c:pt idx="8">
                  <c:v>288.54375000000005</c:v>
                </c:pt>
                <c:pt idx="9">
                  <c:v>290.71249999999998</c:v>
                </c:pt>
                <c:pt idx="10">
                  <c:v>294.36562500000002</c:v>
                </c:pt>
                <c:pt idx="11">
                  <c:v>299.31562500000001</c:v>
                </c:pt>
                <c:pt idx="12">
                  <c:v>295.32187499999992</c:v>
                </c:pt>
                <c:pt idx="13">
                  <c:v>288.90312499999999</c:v>
                </c:pt>
              </c:numCache>
            </c:numRef>
          </c:val>
          <c:smooth val="0"/>
          <c:extLst xmlns:c16r2="http://schemas.microsoft.com/office/drawing/2015/06/chart">
            <c:ext xmlns:c16="http://schemas.microsoft.com/office/drawing/2014/chart" uri="{C3380CC4-5D6E-409C-BE32-E72D297353CC}">
              <c16:uniqueId val="{00000001-9A20-434D-882A-7A05431BE03D}"/>
            </c:ext>
          </c:extLst>
        </c:ser>
        <c:dLbls>
          <c:showLegendKey val="0"/>
          <c:showVal val="0"/>
          <c:showCatName val="0"/>
          <c:showSerName val="0"/>
          <c:showPercent val="0"/>
          <c:showBubbleSize val="0"/>
        </c:dLbls>
        <c:marker val="1"/>
        <c:smooth val="0"/>
        <c:axId val="-1917978048"/>
        <c:axId val="-1917973152"/>
      </c:lineChart>
      <c:catAx>
        <c:axId val="-1917973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17979680"/>
        <c:crosses val="autoZero"/>
        <c:auto val="1"/>
        <c:lblAlgn val="ctr"/>
        <c:lblOffset val="100"/>
        <c:noMultiLvlLbl val="0"/>
      </c:catAx>
      <c:valAx>
        <c:axId val="-1917979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17973696"/>
        <c:crosses val="autoZero"/>
        <c:crossBetween val="between"/>
      </c:valAx>
      <c:valAx>
        <c:axId val="-191797315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17978048"/>
        <c:crosses val="max"/>
        <c:crossBetween val="between"/>
      </c:valAx>
      <c:catAx>
        <c:axId val="-1917978048"/>
        <c:scaling>
          <c:orientation val="minMax"/>
        </c:scaling>
        <c:delete val="1"/>
        <c:axPos val="b"/>
        <c:numFmt formatCode="General" sourceLinked="1"/>
        <c:majorTickMark val="out"/>
        <c:minorTickMark val="none"/>
        <c:tickLblPos val="nextTo"/>
        <c:crossAx val="-1917973152"/>
        <c:crosses val="autoZero"/>
        <c:auto val="1"/>
        <c:lblAlgn val="ctr"/>
        <c:lblOffset val="100"/>
        <c:noMultiLvlLbl val="0"/>
      </c:catAx>
      <c:spPr>
        <a:blipFill dpi="0" rotWithShape="1">
          <a:blip xmlns:r="http://schemas.openxmlformats.org/officeDocument/2006/relationships" r:embed="rId3">
            <a:alphaModFix amt="60000"/>
            <a:extLst>
              <a:ext uri="{28A0092B-C50C-407E-A947-70E740481C1C}">
                <a14:useLocalDpi xmlns:a14="http://schemas.microsoft.com/office/drawing/2010/main" val="0"/>
              </a:ext>
            </a:extLst>
          </a:blip>
          <a:srcRect/>
          <a:stretch>
            <a:fillRect/>
          </a:stretch>
        </a:blipFill>
        <a:ln>
          <a:noFill/>
        </a:ln>
        <a:effectLst/>
      </c:spPr>
    </c:plotArea>
    <c:legend>
      <c:legendPos val="t"/>
      <c:layout>
        <c:manualLayout>
          <c:xMode val="edge"/>
          <c:yMode val="edge"/>
          <c:x val="0.53142209664034223"/>
          <c:y val="2.336688872820902E-2"/>
          <c:w val="0.4158398065621241"/>
          <c:h val="0.10990255231158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[Bank_OI.xlsm]Put_bank!Put</c:name>
    <c:fmtId val="7"/>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
        <c:idx val="192"/>
        <c:spPr>
          <a:solidFill>
            <a:schemeClr val="accent1"/>
          </a:solidFill>
          <a:ln w="28575" cap="rnd">
            <a:solidFill>
              <a:schemeClr val="accent1"/>
            </a:solidFill>
            <a:round/>
          </a:ln>
          <a:effectLst/>
        </c:spPr>
        <c:marker>
          <c:symbol val="none"/>
        </c:marker>
      </c:pivotFmt>
      <c:pivotFmt>
        <c:idx val="193"/>
        <c:spPr>
          <a:solidFill>
            <a:schemeClr val="accent1"/>
          </a:solidFill>
          <a:ln w="28575" cap="rnd">
            <a:solidFill>
              <a:schemeClr val="accent1"/>
            </a:solidFill>
            <a:round/>
          </a:ln>
          <a:effectLst/>
        </c:spPr>
        <c:marker>
          <c:symbol val="none"/>
        </c:marker>
      </c:pivotFmt>
      <c:pivotFmt>
        <c:idx val="194"/>
        <c:spPr>
          <a:solidFill>
            <a:schemeClr val="accent1"/>
          </a:solidFill>
          <a:ln w="28575" cap="rnd">
            <a:solidFill>
              <a:schemeClr val="accent1"/>
            </a:solidFill>
            <a:round/>
          </a:ln>
          <a:effectLst/>
        </c:spPr>
        <c:marker>
          <c:symbol val="none"/>
        </c:marker>
      </c:pivotFmt>
      <c:pivotFmt>
        <c:idx val="195"/>
        <c:spPr>
          <a:solidFill>
            <a:schemeClr val="accent1"/>
          </a:solidFill>
          <a:ln w="28575" cap="rnd">
            <a:solidFill>
              <a:schemeClr val="accent1"/>
            </a:solidFill>
            <a:round/>
          </a:ln>
          <a:effectLst/>
        </c:spPr>
        <c:marker>
          <c:symbol val="none"/>
        </c:marker>
      </c:pivotFmt>
      <c:pivotFmt>
        <c:idx val="196"/>
        <c:spPr>
          <a:solidFill>
            <a:schemeClr val="accent1"/>
          </a:solidFill>
          <a:ln w="28575" cap="rnd">
            <a:solidFill>
              <a:schemeClr val="accent1"/>
            </a:solidFill>
            <a:round/>
          </a:ln>
          <a:effectLst/>
        </c:spPr>
        <c:marker>
          <c:symbol val="none"/>
        </c:marker>
      </c:pivotFmt>
      <c:pivotFmt>
        <c:idx val="197"/>
        <c:spPr>
          <a:solidFill>
            <a:schemeClr val="accent1"/>
          </a:solidFill>
          <a:ln w="28575" cap="rnd">
            <a:solidFill>
              <a:schemeClr val="accent1"/>
            </a:solidFill>
            <a:round/>
          </a:ln>
          <a:effectLst/>
        </c:spPr>
        <c:marker>
          <c:symbol val="none"/>
        </c:marker>
      </c:pivotFmt>
      <c:pivotFmt>
        <c:idx val="198"/>
        <c:spPr>
          <a:solidFill>
            <a:schemeClr val="accent1"/>
          </a:solidFill>
          <a:ln w="28575" cap="rnd">
            <a:solidFill>
              <a:schemeClr val="accent1"/>
            </a:solidFill>
            <a:round/>
          </a:ln>
          <a:effectLst/>
        </c:spPr>
        <c:marker>
          <c:symbol val="none"/>
        </c:marker>
      </c:pivotFmt>
      <c:pivotFmt>
        <c:idx val="199"/>
        <c:spPr>
          <a:solidFill>
            <a:schemeClr val="accent1"/>
          </a:solidFill>
          <a:ln w="28575" cap="rnd">
            <a:solidFill>
              <a:schemeClr val="accent1"/>
            </a:solidFill>
            <a:round/>
          </a:ln>
          <a:effectLst/>
        </c:spPr>
        <c:marker>
          <c:symbol val="none"/>
        </c:marker>
      </c:pivotFmt>
      <c:pivotFmt>
        <c:idx val="200"/>
        <c:spPr>
          <a:solidFill>
            <a:schemeClr val="accent1"/>
          </a:solidFill>
          <a:ln w="28575" cap="rnd">
            <a:solidFill>
              <a:schemeClr val="accent1"/>
            </a:solidFill>
            <a:round/>
          </a:ln>
          <a:effectLst/>
        </c:spPr>
        <c:marker>
          <c:symbol val="none"/>
        </c:marker>
      </c:pivotFmt>
      <c:pivotFmt>
        <c:idx val="201"/>
        <c:spPr>
          <a:solidFill>
            <a:schemeClr val="accent1"/>
          </a:solidFill>
          <a:ln w="28575" cap="rnd">
            <a:solidFill>
              <a:schemeClr val="accent1"/>
            </a:solidFill>
            <a:round/>
          </a:ln>
          <a:effectLst/>
        </c:spPr>
        <c:marker>
          <c:symbol val="none"/>
        </c:marker>
      </c:pivotFmt>
      <c:pivotFmt>
        <c:idx val="202"/>
        <c:spPr>
          <a:solidFill>
            <a:schemeClr val="accent1"/>
          </a:solidFill>
          <a:ln w="28575" cap="rnd">
            <a:solidFill>
              <a:schemeClr val="accent1"/>
            </a:solidFill>
            <a:round/>
          </a:ln>
          <a:effectLst/>
        </c:spPr>
        <c:marker>
          <c:symbol val="none"/>
        </c:marker>
      </c:pivotFmt>
      <c:pivotFmt>
        <c:idx val="203"/>
        <c:spPr>
          <a:solidFill>
            <a:schemeClr val="accent1"/>
          </a:solidFill>
          <a:ln w="28575" cap="rnd">
            <a:solidFill>
              <a:schemeClr val="accent1"/>
            </a:solidFill>
            <a:round/>
          </a:ln>
          <a:effectLst/>
        </c:spPr>
        <c:marker>
          <c:symbol val="none"/>
        </c:marker>
      </c:pivotFmt>
      <c:pivotFmt>
        <c:idx val="204"/>
        <c:spPr>
          <a:solidFill>
            <a:schemeClr val="accent1"/>
          </a:solidFill>
          <a:ln w="28575" cap="rnd">
            <a:solidFill>
              <a:schemeClr val="accent1"/>
            </a:solidFill>
            <a:round/>
          </a:ln>
          <a:effectLst/>
        </c:spPr>
        <c:marker>
          <c:symbol val="none"/>
        </c:marker>
      </c:pivotFmt>
      <c:pivotFmt>
        <c:idx val="205"/>
        <c:spPr>
          <a:solidFill>
            <a:schemeClr val="accent1"/>
          </a:solidFill>
          <a:ln w="28575" cap="rnd">
            <a:solidFill>
              <a:schemeClr val="accent1"/>
            </a:solidFill>
            <a:round/>
          </a:ln>
          <a:effectLst/>
        </c:spPr>
        <c:marker>
          <c:symbol val="none"/>
        </c:marker>
      </c:pivotFmt>
      <c:pivotFmt>
        <c:idx val="206"/>
        <c:spPr>
          <a:solidFill>
            <a:schemeClr val="accent1"/>
          </a:solidFill>
          <a:ln w="28575" cap="rnd">
            <a:solidFill>
              <a:schemeClr val="accent1"/>
            </a:solidFill>
            <a:round/>
          </a:ln>
          <a:effectLst/>
        </c:spPr>
        <c:marker>
          <c:symbol val="none"/>
        </c:marker>
      </c:pivotFmt>
      <c:pivotFmt>
        <c:idx val="207"/>
        <c:spPr>
          <a:solidFill>
            <a:schemeClr val="accent1"/>
          </a:solidFill>
          <a:ln w="28575" cap="rnd">
            <a:solidFill>
              <a:schemeClr val="accent1"/>
            </a:solidFill>
            <a:round/>
          </a:ln>
          <a:effectLst/>
        </c:spPr>
        <c:marker>
          <c:symbol val="none"/>
        </c:marker>
      </c:pivotFmt>
      <c:pivotFmt>
        <c:idx val="208"/>
        <c:spPr>
          <a:solidFill>
            <a:schemeClr val="accent1"/>
          </a:solidFill>
          <a:ln w="28575" cap="rnd">
            <a:solidFill>
              <a:schemeClr val="accent1"/>
            </a:solidFill>
            <a:round/>
          </a:ln>
          <a:effectLst/>
        </c:spPr>
        <c:marker>
          <c:symbol val="none"/>
        </c:marker>
      </c:pivotFmt>
      <c:pivotFmt>
        <c:idx val="209"/>
        <c:spPr>
          <a:solidFill>
            <a:schemeClr val="accent1"/>
          </a:solidFill>
          <a:ln w="28575" cap="rnd">
            <a:solidFill>
              <a:schemeClr val="accent1"/>
            </a:solidFill>
            <a:round/>
          </a:ln>
          <a:effectLst/>
        </c:spPr>
        <c:marker>
          <c:symbol val="none"/>
        </c:marker>
      </c:pivotFmt>
      <c:pivotFmt>
        <c:idx val="210"/>
        <c:spPr>
          <a:solidFill>
            <a:schemeClr val="accent1"/>
          </a:solidFill>
          <a:ln w="28575" cap="rnd">
            <a:solidFill>
              <a:schemeClr val="accent1"/>
            </a:solidFill>
            <a:round/>
          </a:ln>
          <a:effectLst/>
        </c:spPr>
        <c:marker>
          <c:symbol val="none"/>
        </c:marker>
      </c:pivotFmt>
      <c:pivotFmt>
        <c:idx val="211"/>
        <c:spPr>
          <a:solidFill>
            <a:schemeClr val="accent1"/>
          </a:solidFill>
          <a:ln w="28575" cap="rnd">
            <a:solidFill>
              <a:schemeClr val="accent1"/>
            </a:solidFill>
            <a:round/>
          </a:ln>
          <a:effectLst/>
        </c:spPr>
        <c:marker>
          <c:symbol val="none"/>
        </c:marker>
      </c:pivotFmt>
      <c:pivotFmt>
        <c:idx val="212"/>
        <c:spPr>
          <a:solidFill>
            <a:schemeClr val="accent1"/>
          </a:solidFill>
          <a:ln w="28575" cap="rnd">
            <a:solidFill>
              <a:schemeClr val="accent1"/>
            </a:solidFill>
            <a:round/>
          </a:ln>
          <a:effectLst/>
        </c:spPr>
        <c:marker>
          <c:symbol val="none"/>
        </c:marker>
      </c:pivotFmt>
      <c:pivotFmt>
        <c:idx val="213"/>
        <c:spPr>
          <a:solidFill>
            <a:schemeClr val="accent1"/>
          </a:solidFill>
          <a:ln w="28575" cap="rnd">
            <a:solidFill>
              <a:schemeClr val="accent1"/>
            </a:solidFill>
            <a:round/>
          </a:ln>
          <a:effectLst/>
        </c:spPr>
        <c:marker>
          <c:symbol val="none"/>
        </c:marker>
      </c:pivotFmt>
      <c:pivotFmt>
        <c:idx val="214"/>
        <c:spPr>
          <a:solidFill>
            <a:schemeClr val="accent1"/>
          </a:solidFill>
          <a:ln w="28575" cap="rnd">
            <a:solidFill>
              <a:schemeClr val="accent1"/>
            </a:solidFill>
            <a:round/>
          </a:ln>
          <a:effectLst/>
        </c:spPr>
        <c:marker>
          <c:symbol val="none"/>
        </c:marker>
      </c:pivotFmt>
      <c:pivotFmt>
        <c:idx val="215"/>
        <c:spPr>
          <a:solidFill>
            <a:schemeClr val="accent1"/>
          </a:solidFill>
          <a:ln w="28575" cap="rnd">
            <a:solidFill>
              <a:schemeClr val="accent1"/>
            </a:solidFill>
            <a:round/>
          </a:ln>
          <a:effectLst/>
        </c:spPr>
        <c:marker>
          <c:symbol val="none"/>
        </c:marker>
      </c:pivotFmt>
      <c:pivotFmt>
        <c:idx val="216"/>
        <c:spPr>
          <a:solidFill>
            <a:schemeClr val="accent1"/>
          </a:solidFill>
          <a:ln w="28575" cap="rnd">
            <a:solidFill>
              <a:schemeClr val="accent1"/>
            </a:solidFill>
            <a:round/>
          </a:ln>
          <a:effectLst/>
        </c:spPr>
        <c:marker>
          <c:symbol val="none"/>
        </c:marker>
      </c:pivotFmt>
      <c:pivotFmt>
        <c:idx val="217"/>
        <c:spPr>
          <a:solidFill>
            <a:schemeClr val="accent1"/>
          </a:solidFill>
          <a:ln w="28575" cap="rnd">
            <a:solidFill>
              <a:schemeClr val="accent1"/>
            </a:solidFill>
            <a:round/>
          </a:ln>
          <a:effectLst/>
        </c:spPr>
        <c:marker>
          <c:symbol val="none"/>
        </c:marker>
      </c:pivotFmt>
      <c:pivotFmt>
        <c:idx val="218"/>
        <c:spPr>
          <a:solidFill>
            <a:schemeClr val="accent1"/>
          </a:solidFill>
          <a:ln w="28575" cap="rnd">
            <a:solidFill>
              <a:schemeClr val="accent1"/>
            </a:solidFill>
            <a:round/>
          </a:ln>
          <a:effectLst/>
        </c:spPr>
        <c:marker>
          <c:symbol val="none"/>
        </c:marker>
      </c:pivotFmt>
      <c:pivotFmt>
        <c:idx val="219"/>
        <c:spPr>
          <a:solidFill>
            <a:schemeClr val="accent1"/>
          </a:solidFill>
          <a:ln w="28575" cap="rnd">
            <a:solidFill>
              <a:schemeClr val="accent1"/>
            </a:solidFill>
            <a:round/>
          </a:ln>
          <a:effectLst/>
        </c:spPr>
        <c:marker>
          <c:symbol val="none"/>
        </c:marker>
      </c:pivotFmt>
      <c:pivotFmt>
        <c:idx val="220"/>
        <c:spPr>
          <a:solidFill>
            <a:schemeClr val="accent1"/>
          </a:solidFill>
          <a:ln w="28575" cap="rnd">
            <a:solidFill>
              <a:schemeClr val="accent1"/>
            </a:solidFill>
            <a:round/>
          </a:ln>
          <a:effectLst/>
        </c:spPr>
        <c:marker>
          <c:symbol val="none"/>
        </c:marker>
      </c:pivotFmt>
      <c:pivotFmt>
        <c:idx val="221"/>
        <c:spPr>
          <a:solidFill>
            <a:schemeClr val="accent1"/>
          </a:solidFill>
          <a:ln w="28575" cap="rnd">
            <a:solidFill>
              <a:schemeClr val="accent1"/>
            </a:solidFill>
            <a:round/>
          </a:ln>
          <a:effectLst/>
        </c:spPr>
        <c:marker>
          <c:symbol val="none"/>
        </c:marker>
      </c:pivotFmt>
      <c:pivotFmt>
        <c:idx val="222"/>
        <c:spPr>
          <a:solidFill>
            <a:schemeClr val="accent1"/>
          </a:solidFill>
          <a:ln w="28575" cap="rnd">
            <a:solidFill>
              <a:schemeClr val="accent1"/>
            </a:solidFill>
            <a:round/>
          </a:ln>
          <a:effectLst/>
        </c:spPr>
        <c:marker>
          <c:symbol val="none"/>
        </c:marker>
      </c:pivotFmt>
      <c:pivotFmt>
        <c:idx val="223"/>
        <c:spPr>
          <a:solidFill>
            <a:schemeClr val="accent1"/>
          </a:solidFill>
          <a:ln w="28575" cap="rnd">
            <a:solidFill>
              <a:schemeClr val="accent1"/>
            </a:solidFill>
            <a:round/>
          </a:ln>
          <a:effectLst/>
        </c:spPr>
        <c:marker>
          <c:symbol val="none"/>
        </c:marker>
      </c:pivotFmt>
      <c:pivotFmt>
        <c:idx val="224"/>
        <c:spPr>
          <a:solidFill>
            <a:schemeClr val="accent1"/>
          </a:solidFill>
          <a:ln w="28575" cap="rnd">
            <a:solidFill>
              <a:schemeClr val="accent1"/>
            </a:solidFill>
            <a:round/>
          </a:ln>
          <a:effectLst/>
        </c:spPr>
        <c:marker>
          <c:symbol val="none"/>
        </c:marker>
      </c:pivotFmt>
      <c:pivotFmt>
        <c:idx val="225"/>
        <c:spPr>
          <a:solidFill>
            <a:schemeClr val="accent1"/>
          </a:solidFill>
          <a:ln w="28575" cap="rnd">
            <a:solidFill>
              <a:schemeClr val="accent1"/>
            </a:solidFill>
            <a:round/>
          </a:ln>
          <a:effectLst/>
        </c:spPr>
        <c:marker>
          <c:symbol val="none"/>
        </c:marker>
      </c:pivotFmt>
      <c:pivotFmt>
        <c:idx val="226"/>
        <c:spPr>
          <a:solidFill>
            <a:schemeClr val="accent1"/>
          </a:solidFill>
          <a:ln w="28575" cap="rnd">
            <a:solidFill>
              <a:schemeClr val="accent1"/>
            </a:solidFill>
            <a:round/>
          </a:ln>
          <a:effectLst/>
        </c:spPr>
        <c:marker>
          <c:symbol val="none"/>
        </c:marker>
      </c:pivotFmt>
      <c:pivotFmt>
        <c:idx val="227"/>
        <c:spPr>
          <a:solidFill>
            <a:schemeClr val="accent1"/>
          </a:solidFill>
          <a:ln w="28575" cap="rnd">
            <a:solidFill>
              <a:schemeClr val="accent1"/>
            </a:solidFill>
            <a:round/>
          </a:ln>
          <a:effectLst/>
        </c:spPr>
        <c:marker>
          <c:symbol val="none"/>
        </c:marker>
      </c:pivotFmt>
      <c:pivotFmt>
        <c:idx val="228"/>
        <c:spPr>
          <a:solidFill>
            <a:schemeClr val="accent1"/>
          </a:solidFill>
          <a:ln w="28575" cap="rnd">
            <a:solidFill>
              <a:schemeClr val="accent1"/>
            </a:solidFill>
            <a:round/>
          </a:ln>
          <a:effectLst/>
        </c:spPr>
        <c:marker>
          <c:symbol val="none"/>
        </c:marker>
      </c:pivotFmt>
      <c:pivotFmt>
        <c:idx val="229"/>
        <c:spPr>
          <a:solidFill>
            <a:schemeClr val="accent1"/>
          </a:solidFill>
          <a:ln w="28575" cap="rnd">
            <a:solidFill>
              <a:schemeClr val="accent1"/>
            </a:solidFill>
            <a:round/>
          </a:ln>
          <a:effectLst/>
        </c:spPr>
        <c:marker>
          <c:symbol val="none"/>
        </c:marker>
      </c:pivotFmt>
      <c:pivotFmt>
        <c:idx val="230"/>
        <c:spPr>
          <a:solidFill>
            <a:schemeClr val="accent1"/>
          </a:solidFill>
          <a:ln w="28575" cap="rnd">
            <a:solidFill>
              <a:schemeClr val="accent1"/>
            </a:solidFill>
            <a:round/>
          </a:ln>
          <a:effectLst/>
        </c:spPr>
        <c:marker>
          <c:symbol val="none"/>
        </c:marker>
      </c:pivotFmt>
      <c:pivotFmt>
        <c:idx val="231"/>
        <c:spPr>
          <a:solidFill>
            <a:schemeClr val="accent1"/>
          </a:solidFill>
          <a:ln w="28575" cap="rnd">
            <a:solidFill>
              <a:schemeClr val="accent1"/>
            </a:solidFill>
            <a:round/>
          </a:ln>
          <a:effectLst/>
        </c:spPr>
        <c:marker>
          <c:symbol val="none"/>
        </c:marker>
      </c:pivotFmt>
      <c:pivotFmt>
        <c:idx val="232"/>
        <c:spPr>
          <a:solidFill>
            <a:schemeClr val="accent1"/>
          </a:solidFill>
          <a:ln w="28575" cap="rnd">
            <a:solidFill>
              <a:schemeClr val="accent1"/>
            </a:solidFill>
            <a:round/>
          </a:ln>
          <a:effectLst/>
        </c:spPr>
        <c:marker>
          <c:symbol val="none"/>
        </c:marker>
      </c:pivotFmt>
      <c:pivotFmt>
        <c:idx val="233"/>
        <c:spPr>
          <a:solidFill>
            <a:schemeClr val="accent1"/>
          </a:solidFill>
          <a:ln w="28575" cap="rnd">
            <a:solidFill>
              <a:schemeClr val="accent1"/>
            </a:solidFill>
            <a:round/>
          </a:ln>
          <a:effectLst/>
        </c:spPr>
        <c:marker>
          <c:symbol val="none"/>
        </c:marker>
      </c:pivotFmt>
      <c:pivotFmt>
        <c:idx val="234"/>
        <c:spPr>
          <a:solidFill>
            <a:schemeClr val="accent1"/>
          </a:solidFill>
          <a:ln w="28575" cap="rnd">
            <a:solidFill>
              <a:schemeClr val="accent1"/>
            </a:solidFill>
            <a:round/>
          </a:ln>
          <a:effectLst/>
        </c:spPr>
        <c:marker>
          <c:symbol val="none"/>
        </c:marker>
      </c:pivotFmt>
      <c:pivotFmt>
        <c:idx val="235"/>
        <c:spPr>
          <a:solidFill>
            <a:schemeClr val="accent1"/>
          </a:solidFill>
          <a:ln w="28575" cap="rnd">
            <a:solidFill>
              <a:schemeClr val="accent1"/>
            </a:solidFill>
            <a:round/>
          </a:ln>
          <a:effectLst/>
        </c:spPr>
        <c:marker>
          <c:symbol val="none"/>
        </c:marker>
      </c:pivotFmt>
      <c:pivotFmt>
        <c:idx val="236"/>
        <c:spPr>
          <a:solidFill>
            <a:schemeClr val="accent1"/>
          </a:solidFill>
          <a:ln w="28575" cap="rnd">
            <a:solidFill>
              <a:schemeClr val="accent1"/>
            </a:solidFill>
            <a:round/>
          </a:ln>
          <a:effectLst/>
        </c:spPr>
        <c:marker>
          <c:symbol val="none"/>
        </c:marker>
      </c:pivotFmt>
      <c:pivotFmt>
        <c:idx val="237"/>
        <c:spPr>
          <a:solidFill>
            <a:schemeClr val="accent1"/>
          </a:solidFill>
          <a:ln w="28575" cap="rnd">
            <a:solidFill>
              <a:schemeClr val="accent1"/>
            </a:solidFill>
            <a:round/>
          </a:ln>
          <a:effectLst/>
        </c:spPr>
        <c:marker>
          <c:symbol val="none"/>
        </c:marker>
      </c:pivotFmt>
      <c:pivotFmt>
        <c:idx val="238"/>
        <c:spPr>
          <a:solidFill>
            <a:schemeClr val="accent1"/>
          </a:solidFill>
          <a:ln w="28575" cap="rnd">
            <a:solidFill>
              <a:schemeClr val="accent1"/>
            </a:solidFill>
            <a:round/>
          </a:ln>
          <a:effectLst/>
        </c:spPr>
        <c:marker>
          <c:symbol val="none"/>
        </c:marker>
      </c:pivotFmt>
      <c:pivotFmt>
        <c:idx val="239"/>
        <c:spPr>
          <a:solidFill>
            <a:schemeClr val="accent1"/>
          </a:solidFill>
          <a:ln w="28575" cap="rnd">
            <a:solidFill>
              <a:schemeClr val="accent1"/>
            </a:solidFill>
            <a:round/>
          </a:ln>
          <a:effectLst/>
        </c:spPr>
        <c:marker>
          <c:symbol val="none"/>
        </c:marker>
      </c:pivotFmt>
      <c:pivotFmt>
        <c:idx val="240"/>
        <c:spPr>
          <a:solidFill>
            <a:schemeClr val="accent1"/>
          </a:solidFill>
          <a:ln w="28575" cap="rnd">
            <a:solidFill>
              <a:schemeClr val="accent1"/>
            </a:solidFill>
            <a:round/>
          </a:ln>
          <a:effectLst/>
        </c:spPr>
        <c:marker>
          <c:symbol val="none"/>
        </c:marker>
      </c:pivotFmt>
      <c:pivotFmt>
        <c:idx val="241"/>
        <c:spPr>
          <a:solidFill>
            <a:schemeClr val="accent1"/>
          </a:solidFill>
          <a:ln w="28575" cap="rnd">
            <a:solidFill>
              <a:schemeClr val="accent1"/>
            </a:solidFill>
            <a:round/>
          </a:ln>
          <a:effectLst/>
        </c:spPr>
        <c:marker>
          <c:symbol val="none"/>
        </c:marker>
      </c:pivotFmt>
      <c:pivotFmt>
        <c:idx val="242"/>
        <c:spPr>
          <a:solidFill>
            <a:schemeClr val="accent1"/>
          </a:solidFill>
          <a:ln w="28575" cap="rnd">
            <a:solidFill>
              <a:schemeClr val="accent1"/>
            </a:solidFill>
            <a:round/>
          </a:ln>
          <a:effectLst/>
        </c:spPr>
        <c:marker>
          <c:symbol val="none"/>
        </c:marker>
      </c:pivotFmt>
      <c:pivotFmt>
        <c:idx val="243"/>
        <c:spPr>
          <a:solidFill>
            <a:schemeClr val="accent1"/>
          </a:solidFill>
          <a:ln w="28575" cap="rnd">
            <a:solidFill>
              <a:schemeClr val="accent1"/>
            </a:solidFill>
            <a:round/>
          </a:ln>
          <a:effectLst/>
        </c:spPr>
        <c:marker>
          <c:symbol val="none"/>
        </c:marker>
      </c:pivotFmt>
      <c:pivotFmt>
        <c:idx val="244"/>
        <c:spPr>
          <a:solidFill>
            <a:schemeClr val="accent1"/>
          </a:solidFill>
          <a:ln w="28575" cap="rnd">
            <a:solidFill>
              <a:schemeClr val="accent1"/>
            </a:solidFill>
            <a:round/>
          </a:ln>
          <a:effectLst/>
        </c:spPr>
        <c:marker>
          <c:symbol val="none"/>
        </c:marker>
      </c:pivotFmt>
      <c:pivotFmt>
        <c:idx val="245"/>
        <c:spPr>
          <a:solidFill>
            <a:schemeClr val="accent1"/>
          </a:solidFill>
          <a:ln w="28575" cap="rnd">
            <a:solidFill>
              <a:schemeClr val="accent1"/>
            </a:solidFill>
            <a:round/>
          </a:ln>
          <a:effectLst/>
        </c:spPr>
        <c:marker>
          <c:symbol val="none"/>
        </c:marker>
      </c:pivotFmt>
      <c:pivotFmt>
        <c:idx val="246"/>
        <c:spPr>
          <a:solidFill>
            <a:schemeClr val="accent1"/>
          </a:solidFill>
          <a:ln w="28575" cap="rnd">
            <a:solidFill>
              <a:schemeClr val="accent1"/>
            </a:solidFill>
            <a:round/>
          </a:ln>
          <a:effectLst/>
        </c:spPr>
        <c:marker>
          <c:symbol val="none"/>
        </c:marker>
      </c:pivotFmt>
      <c:pivotFmt>
        <c:idx val="247"/>
        <c:spPr>
          <a:solidFill>
            <a:schemeClr val="accent1"/>
          </a:solidFill>
          <a:ln w="28575" cap="rnd">
            <a:solidFill>
              <a:schemeClr val="accent1"/>
            </a:solidFill>
            <a:round/>
          </a:ln>
          <a:effectLst/>
        </c:spPr>
        <c:marker>
          <c:symbol val="none"/>
        </c:marker>
      </c:pivotFmt>
      <c:pivotFmt>
        <c:idx val="248"/>
        <c:spPr>
          <a:solidFill>
            <a:schemeClr val="accent1"/>
          </a:solidFill>
          <a:ln w="28575" cap="rnd">
            <a:solidFill>
              <a:schemeClr val="accent1"/>
            </a:solidFill>
            <a:round/>
          </a:ln>
          <a:effectLst/>
        </c:spPr>
        <c:marker>
          <c:symbol val="none"/>
        </c:marker>
      </c:pivotFmt>
      <c:pivotFmt>
        <c:idx val="249"/>
        <c:spPr>
          <a:solidFill>
            <a:schemeClr val="accent1"/>
          </a:solidFill>
          <a:ln w="28575" cap="rnd">
            <a:solidFill>
              <a:schemeClr val="accent1"/>
            </a:solidFill>
            <a:round/>
          </a:ln>
          <a:effectLst/>
        </c:spPr>
        <c:marker>
          <c:symbol val="none"/>
        </c:marker>
      </c:pivotFmt>
      <c:pivotFmt>
        <c:idx val="250"/>
        <c:spPr>
          <a:solidFill>
            <a:schemeClr val="accent1"/>
          </a:solidFill>
          <a:ln w="28575" cap="rnd">
            <a:solidFill>
              <a:schemeClr val="accent1"/>
            </a:solidFill>
            <a:round/>
          </a:ln>
          <a:effectLst/>
        </c:spPr>
        <c:marker>
          <c:symbol val="none"/>
        </c:marker>
      </c:pivotFmt>
      <c:pivotFmt>
        <c:idx val="251"/>
        <c:spPr>
          <a:solidFill>
            <a:schemeClr val="accent1"/>
          </a:solidFill>
          <a:ln w="28575" cap="rnd">
            <a:solidFill>
              <a:schemeClr val="accent1"/>
            </a:solidFill>
            <a:round/>
          </a:ln>
          <a:effectLst/>
        </c:spPr>
        <c:marker>
          <c:symbol val="none"/>
        </c:marker>
      </c:pivotFmt>
      <c:pivotFmt>
        <c:idx val="252"/>
        <c:spPr>
          <a:solidFill>
            <a:schemeClr val="accent1"/>
          </a:solidFill>
          <a:ln w="28575" cap="rnd">
            <a:solidFill>
              <a:schemeClr val="accent1"/>
            </a:solidFill>
            <a:round/>
          </a:ln>
          <a:effectLst/>
        </c:spPr>
        <c:marker>
          <c:symbol val="none"/>
        </c:marker>
      </c:pivotFmt>
      <c:pivotFmt>
        <c:idx val="253"/>
        <c:spPr>
          <a:solidFill>
            <a:schemeClr val="accent1"/>
          </a:solidFill>
          <a:ln w="28575" cap="rnd">
            <a:solidFill>
              <a:schemeClr val="accent1"/>
            </a:solidFill>
            <a:round/>
          </a:ln>
          <a:effectLst/>
        </c:spPr>
        <c:marker>
          <c:symbol val="none"/>
        </c:marker>
      </c:pivotFmt>
      <c:pivotFmt>
        <c:idx val="254"/>
        <c:spPr>
          <a:solidFill>
            <a:schemeClr val="accent1"/>
          </a:solidFill>
          <a:ln w="28575" cap="rnd">
            <a:solidFill>
              <a:schemeClr val="accent1"/>
            </a:solidFill>
            <a:round/>
          </a:ln>
          <a:effectLst/>
        </c:spPr>
        <c:marker>
          <c:symbol val="none"/>
        </c:marker>
      </c:pivotFmt>
      <c:pivotFmt>
        <c:idx val="255"/>
        <c:spPr>
          <a:solidFill>
            <a:schemeClr val="accent1"/>
          </a:solidFill>
          <a:ln w="28575" cap="rnd">
            <a:solidFill>
              <a:schemeClr val="accent1"/>
            </a:solidFill>
            <a:round/>
          </a:ln>
          <a:effectLst/>
        </c:spPr>
        <c:marker>
          <c:symbol val="none"/>
        </c:marker>
      </c:pivotFmt>
      <c:pivotFmt>
        <c:idx val="256"/>
        <c:spPr>
          <a:solidFill>
            <a:schemeClr val="accent1"/>
          </a:solidFill>
          <a:ln w="28575" cap="rnd">
            <a:solidFill>
              <a:schemeClr val="accent1"/>
            </a:solidFill>
            <a:round/>
          </a:ln>
          <a:effectLst/>
        </c:spPr>
        <c:marker>
          <c:symbol val="none"/>
        </c:marker>
      </c:pivotFmt>
      <c:pivotFmt>
        <c:idx val="257"/>
        <c:spPr>
          <a:solidFill>
            <a:schemeClr val="accent1"/>
          </a:solidFill>
          <a:ln w="28575" cap="rnd">
            <a:solidFill>
              <a:schemeClr val="accent1"/>
            </a:solidFill>
            <a:round/>
          </a:ln>
          <a:effectLst/>
        </c:spPr>
        <c:marker>
          <c:symbol val="none"/>
        </c:marker>
      </c:pivotFmt>
      <c:pivotFmt>
        <c:idx val="258"/>
        <c:spPr>
          <a:solidFill>
            <a:schemeClr val="accent1"/>
          </a:solidFill>
          <a:ln w="28575" cap="rnd">
            <a:solidFill>
              <a:schemeClr val="accent1"/>
            </a:solidFill>
            <a:round/>
          </a:ln>
          <a:effectLst/>
        </c:spPr>
        <c:marker>
          <c:symbol val="none"/>
        </c:marker>
      </c:pivotFmt>
      <c:pivotFmt>
        <c:idx val="259"/>
        <c:spPr>
          <a:solidFill>
            <a:schemeClr val="accent1"/>
          </a:solidFill>
          <a:ln w="28575" cap="rnd">
            <a:solidFill>
              <a:schemeClr val="accent1"/>
            </a:solidFill>
            <a:round/>
          </a:ln>
          <a:effectLst/>
        </c:spPr>
        <c:marker>
          <c:symbol val="none"/>
        </c:marker>
      </c:pivotFmt>
      <c:pivotFmt>
        <c:idx val="260"/>
        <c:spPr>
          <a:solidFill>
            <a:schemeClr val="accent1"/>
          </a:solidFill>
          <a:ln w="28575" cap="rnd">
            <a:solidFill>
              <a:schemeClr val="accent1"/>
            </a:solidFill>
            <a:round/>
          </a:ln>
          <a:effectLst/>
        </c:spPr>
        <c:marker>
          <c:symbol val="none"/>
        </c:marker>
      </c:pivotFmt>
      <c:pivotFmt>
        <c:idx val="261"/>
        <c:spPr>
          <a:solidFill>
            <a:schemeClr val="accent1"/>
          </a:solidFill>
          <a:ln w="28575" cap="rnd">
            <a:solidFill>
              <a:schemeClr val="accent1"/>
            </a:solidFill>
            <a:round/>
          </a:ln>
          <a:effectLst/>
        </c:spPr>
        <c:marker>
          <c:symbol val="none"/>
        </c:marker>
      </c:pivotFmt>
      <c:pivotFmt>
        <c:idx val="262"/>
        <c:spPr>
          <a:solidFill>
            <a:schemeClr val="accent1"/>
          </a:solidFill>
          <a:ln w="28575" cap="rnd">
            <a:solidFill>
              <a:schemeClr val="accent1"/>
            </a:solidFill>
            <a:round/>
          </a:ln>
          <a:effectLst/>
        </c:spPr>
        <c:marker>
          <c:symbol val="none"/>
        </c:marker>
      </c:pivotFmt>
      <c:pivotFmt>
        <c:idx val="263"/>
        <c:spPr>
          <a:solidFill>
            <a:schemeClr val="accent1"/>
          </a:solidFill>
          <a:ln w="28575" cap="rnd">
            <a:solidFill>
              <a:schemeClr val="accent1"/>
            </a:solidFill>
            <a:round/>
          </a:ln>
          <a:effectLst/>
        </c:spPr>
        <c:marker>
          <c:symbol val="none"/>
        </c:marker>
      </c:pivotFmt>
      <c:pivotFmt>
        <c:idx val="264"/>
        <c:spPr>
          <a:solidFill>
            <a:schemeClr val="accent1"/>
          </a:solidFill>
          <a:ln w="28575" cap="rnd">
            <a:solidFill>
              <a:schemeClr val="accent1"/>
            </a:solidFill>
            <a:round/>
          </a:ln>
          <a:effectLst/>
        </c:spPr>
        <c:marker>
          <c:symbol val="none"/>
        </c:marker>
      </c:pivotFmt>
      <c:pivotFmt>
        <c:idx val="265"/>
        <c:spPr>
          <a:solidFill>
            <a:schemeClr val="accent1"/>
          </a:solidFill>
          <a:ln w="28575" cap="rnd">
            <a:solidFill>
              <a:schemeClr val="accent1"/>
            </a:solidFill>
            <a:round/>
          </a:ln>
          <a:effectLst/>
        </c:spPr>
        <c:marker>
          <c:symbol val="none"/>
        </c:marker>
      </c:pivotFmt>
      <c:pivotFmt>
        <c:idx val="266"/>
        <c:spPr>
          <a:solidFill>
            <a:schemeClr val="accent1"/>
          </a:solidFill>
          <a:ln w="28575" cap="rnd">
            <a:solidFill>
              <a:schemeClr val="accent1"/>
            </a:solidFill>
            <a:round/>
          </a:ln>
          <a:effectLst/>
        </c:spPr>
        <c:marker>
          <c:symbol val="none"/>
        </c:marker>
      </c:pivotFmt>
      <c:pivotFmt>
        <c:idx val="267"/>
        <c:spPr>
          <a:solidFill>
            <a:schemeClr val="accent1"/>
          </a:solidFill>
          <a:ln w="28575" cap="rnd">
            <a:solidFill>
              <a:schemeClr val="accent1"/>
            </a:solidFill>
            <a:round/>
          </a:ln>
          <a:effectLst/>
        </c:spPr>
        <c:marker>
          <c:symbol val="none"/>
        </c:marker>
      </c:pivotFmt>
      <c:pivotFmt>
        <c:idx val="268"/>
        <c:spPr>
          <a:solidFill>
            <a:schemeClr val="accent1"/>
          </a:solidFill>
          <a:ln w="28575" cap="rnd">
            <a:solidFill>
              <a:schemeClr val="accent1"/>
            </a:solidFill>
            <a:round/>
          </a:ln>
          <a:effectLst/>
        </c:spPr>
        <c:marker>
          <c:symbol val="none"/>
        </c:marker>
      </c:pivotFmt>
      <c:pivotFmt>
        <c:idx val="269"/>
        <c:spPr>
          <a:solidFill>
            <a:schemeClr val="accent1"/>
          </a:solidFill>
          <a:ln w="28575" cap="rnd">
            <a:solidFill>
              <a:schemeClr val="accent1"/>
            </a:solidFill>
            <a:round/>
          </a:ln>
          <a:effectLst/>
        </c:spPr>
        <c:marker>
          <c:symbol val="none"/>
        </c:marker>
      </c:pivotFmt>
      <c:pivotFmt>
        <c:idx val="270"/>
        <c:spPr>
          <a:solidFill>
            <a:schemeClr val="accent1"/>
          </a:solidFill>
          <a:ln w="28575" cap="rnd">
            <a:solidFill>
              <a:schemeClr val="accent1"/>
            </a:solidFill>
            <a:round/>
          </a:ln>
          <a:effectLst/>
        </c:spPr>
        <c:marker>
          <c:symbol val="none"/>
        </c:marker>
      </c:pivotFmt>
      <c:pivotFmt>
        <c:idx val="271"/>
        <c:spPr>
          <a:solidFill>
            <a:schemeClr val="accent1"/>
          </a:solidFill>
          <a:ln w="28575" cap="rnd">
            <a:solidFill>
              <a:schemeClr val="accent1"/>
            </a:solidFill>
            <a:round/>
          </a:ln>
          <a:effectLst/>
        </c:spPr>
        <c:marker>
          <c:symbol val="none"/>
        </c:marker>
      </c:pivotFmt>
      <c:pivotFmt>
        <c:idx val="272"/>
        <c:spPr>
          <a:solidFill>
            <a:schemeClr val="accent1"/>
          </a:solidFill>
          <a:ln w="28575" cap="rnd">
            <a:solidFill>
              <a:schemeClr val="accent1"/>
            </a:solidFill>
            <a:round/>
          </a:ln>
          <a:effectLst/>
        </c:spPr>
        <c:marker>
          <c:symbol val="none"/>
        </c:marker>
      </c:pivotFmt>
      <c:pivotFmt>
        <c:idx val="273"/>
        <c:spPr>
          <a:solidFill>
            <a:schemeClr val="accent1"/>
          </a:solidFill>
          <a:ln w="28575" cap="rnd">
            <a:solidFill>
              <a:schemeClr val="accent1"/>
            </a:solidFill>
            <a:round/>
          </a:ln>
          <a:effectLst/>
        </c:spPr>
        <c:marker>
          <c:symbol val="none"/>
        </c:marker>
      </c:pivotFmt>
      <c:pivotFmt>
        <c:idx val="274"/>
        <c:spPr>
          <a:solidFill>
            <a:schemeClr val="accent1"/>
          </a:solidFill>
          <a:ln w="28575" cap="rnd">
            <a:solidFill>
              <a:schemeClr val="accent1"/>
            </a:solidFill>
            <a:round/>
          </a:ln>
          <a:effectLst/>
        </c:spPr>
        <c:marker>
          <c:symbol val="none"/>
        </c:marker>
      </c:pivotFmt>
      <c:pivotFmt>
        <c:idx val="275"/>
        <c:spPr>
          <a:solidFill>
            <a:schemeClr val="accent1"/>
          </a:solidFill>
          <a:ln w="28575" cap="rnd">
            <a:solidFill>
              <a:schemeClr val="accent1"/>
            </a:solidFill>
            <a:round/>
          </a:ln>
          <a:effectLst/>
        </c:spPr>
        <c:marker>
          <c:symbol val="none"/>
        </c:marker>
      </c:pivotFmt>
      <c:pivotFmt>
        <c:idx val="276"/>
        <c:spPr>
          <a:solidFill>
            <a:schemeClr val="accent1"/>
          </a:solidFill>
          <a:ln w="28575" cap="rnd">
            <a:solidFill>
              <a:schemeClr val="accent1"/>
            </a:solidFill>
            <a:round/>
          </a:ln>
          <a:effectLst/>
        </c:spPr>
        <c:marker>
          <c:symbol val="none"/>
        </c:marker>
      </c:pivotFmt>
      <c:pivotFmt>
        <c:idx val="277"/>
        <c:spPr>
          <a:solidFill>
            <a:schemeClr val="accent1"/>
          </a:solidFill>
          <a:ln w="28575" cap="rnd">
            <a:solidFill>
              <a:schemeClr val="accent1"/>
            </a:solidFill>
            <a:round/>
          </a:ln>
          <a:effectLst/>
        </c:spPr>
        <c:marker>
          <c:symbol val="none"/>
        </c:marker>
      </c:pivotFmt>
      <c:pivotFmt>
        <c:idx val="278"/>
        <c:spPr>
          <a:solidFill>
            <a:schemeClr val="accent1"/>
          </a:solidFill>
          <a:ln w="28575" cap="rnd">
            <a:solidFill>
              <a:schemeClr val="accent1"/>
            </a:solidFill>
            <a:round/>
          </a:ln>
          <a:effectLst/>
        </c:spPr>
        <c:marker>
          <c:symbol val="none"/>
        </c:marker>
      </c:pivotFmt>
      <c:pivotFmt>
        <c:idx val="279"/>
        <c:spPr>
          <a:solidFill>
            <a:schemeClr val="accent1"/>
          </a:solidFill>
          <a:ln w="28575" cap="rnd">
            <a:solidFill>
              <a:schemeClr val="accent1"/>
            </a:solidFill>
            <a:round/>
          </a:ln>
          <a:effectLst/>
        </c:spPr>
        <c:marker>
          <c:symbol val="none"/>
        </c:marker>
      </c:pivotFmt>
      <c:pivotFmt>
        <c:idx val="280"/>
        <c:spPr>
          <a:solidFill>
            <a:schemeClr val="accent1"/>
          </a:solidFill>
          <a:ln w="28575" cap="rnd">
            <a:solidFill>
              <a:schemeClr val="accent1"/>
            </a:solidFill>
            <a:round/>
          </a:ln>
          <a:effectLst/>
        </c:spPr>
        <c:marker>
          <c:symbol val="none"/>
        </c:marker>
      </c:pivotFmt>
      <c:pivotFmt>
        <c:idx val="281"/>
        <c:spPr>
          <a:solidFill>
            <a:schemeClr val="accent1"/>
          </a:solidFill>
          <a:ln w="28575" cap="rnd">
            <a:solidFill>
              <a:schemeClr val="accent1"/>
            </a:solidFill>
            <a:round/>
          </a:ln>
          <a:effectLst/>
        </c:spPr>
        <c:marker>
          <c:symbol val="none"/>
        </c:marker>
      </c:pivotFmt>
      <c:pivotFmt>
        <c:idx val="282"/>
        <c:spPr>
          <a:solidFill>
            <a:schemeClr val="accent1"/>
          </a:solidFill>
          <a:ln w="28575" cap="rnd">
            <a:solidFill>
              <a:schemeClr val="accent1"/>
            </a:solidFill>
            <a:round/>
          </a:ln>
          <a:effectLst/>
        </c:spPr>
        <c:marker>
          <c:symbol val="none"/>
        </c:marker>
      </c:pivotFmt>
      <c:pivotFmt>
        <c:idx val="283"/>
        <c:spPr>
          <a:solidFill>
            <a:schemeClr val="accent1"/>
          </a:solidFill>
          <a:ln w="28575" cap="rnd">
            <a:solidFill>
              <a:schemeClr val="accent1"/>
            </a:solidFill>
            <a:round/>
          </a:ln>
          <a:effectLst/>
        </c:spPr>
        <c:marker>
          <c:symbol val="none"/>
        </c:marker>
      </c:pivotFmt>
      <c:pivotFmt>
        <c:idx val="284"/>
        <c:spPr>
          <a:solidFill>
            <a:schemeClr val="accent1"/>
          </a:solidFill>
          <a:ln w="28575" cap="rnd">
            <a:solidFill>
              <a:schemeClr val="accent1"/>
            </a:solidFill>
            <a:round/>
          </a:ln>
          <a:effectLst/>
        </c:spPr>
        <c:marker>
          <c:symbol val="none"/>
        </c:marker>
      </c:pivotFmt>
      <c:pivotFmt>
        <c:idx val="285"/>
        <c:spPr>
          <a:solidFill>
            <a:schemeClr val="accent1"/>
          </a:solidFill>
          <a:ln w="28575" cap="rnd">
            <a:solidFill>
              <a:schemeClr val="accent1"/>
            </a:solidFill>
            <a:round/>
          </a:ln>
          <a:effectLst/>
        </c:spPr>
        <c:marker>
          <c:symbol val="none"/>
        </c:marker>
      </c:pivotFmt>
      <c:pivotFmt>
        <c:idx val="286"/>
        <c:spPr>
          <a:solidFill>
            <a:schemeClr val="accent1"/>
          </a:solidFill>
          <a:ln w="28575" cap="rnd">
            <a:solidFill>
              <a:schemeClr val="accent1"/>
            </a:solidFill>
            <a:round/>
          </a:ln>
          <a:effectLst/>
        </c:spPr>
        <c:marker>
          <c:symbol val="none"/>
        </c:marker>
      </c:pivotFmt>
      <c:pivotFmt>
        <c:idx val="287"/>
        <c:spPr>
          <a:solidFill>
            <a:schemeClr val="accent1"/>
          </a:solidFill>
          <a:ln w="28575" cap="rnd">
            <a:solidFill>
              <a:schemeClr val="accent1"/>
            </a:solidFill>
            <a:round/>
          </a:ln>
          <a:effectLst/>
        </c:spPr>
        <c:marker>
          <c:symbol val="none"/>
        </c:marker>
      </c:pivotFmt>
      <c:pivotFmt>
        <c:idx val="288"/>
        <c:spPr>
          <a:solidFill>
            <a:schemeClr val="accent1"/>
          </a:solidFill>
          <a:ln w="28575" cap="rnd">
            <a:solidFill>
              <a:schemeClr val="accent1"/>
            </a:solidFill>
            <a:round/>
          </a:ln>
          <a:effectLst/>
        </c:spPr>
        <c:marker>
          <c:symbol val="none"/>
        </c:marker>
      </c:pivotFmt>
      <c:pivotFmt>
        <c:idx val="289"/>
        <c:spPr>
          <a:solidFill>
            <a:schemeClr val="accent1"/>
          </a:solidFill>
          <a:ln w="28575" cap="rnd">
            <a:solidFill>
              <a:schemeClr val="accent1"/>
            </a:solidFill>
            <a:round/>
          </a:ln>
          <a:effectLst/>
        </c:spPr>
        <c:marker>
          <c:symbol val="none"/>
        </c:marker>
      </c:pivotFmt>
      <c:pivotFmt>
        <c:idx val="290"/>
        <c:spPr>
          <a:solidFill>
            <a:schemeClr val="accent1"/>
          </a:solidFill>
          <a:ln w="28575" cap="rnd">
            <a:solidFill>
              <a:schemeClr val="accent1"/>
            </a:solidFill>
            <a:round/>
          </a:ln>
          <a:effectLst/>
        </c:spPr>
        <c:marker>
          <c:symbol val="none"/>
        </c:marker>
      </c:pivotFmt>
      <c:pivotFmt>
        <c:idx val="291"/>
        <c:spPr>
          <a:solidFill>
            <a:schemeClr val="accent1"/>
          </a:solidFill>
          <a:ln w="28575" cap="rnd">
            <a:solidFill>
              <a:schemeClr val="accent1"/>
            </a:solidFill>
            <a:round/>
          </a:ln>
          <a:effectLst/>
        </c:spPr>
        <c:marker>
          <c:symbol val="none"/>
        </c:marker>
      </c:pivotFmt>
      <c:pivotFmt>
        <c:idx val="292"/>
        <c:spPr>
          <a:solidFill>
            <a:schemeClr val="accent1"/>
          </a:solidFill>
          <a:ln w="28575" cap="rnd">
            <a:solidFill>
              <a:schemeClr val="accent1"/>
            </a:solidFill>
            <a:round/>
          </a:ln>
          <a:effectLst/>
        </c:spPr>
        <c:marker>
          <c:symbol val="none"/>
        </c:marker>
      </c:pivotFmt>
      <c:pivotFmt>
        <c:idx val="293"/>
        <c:spPr>
          <a:solidFill>
            <a:schemeClr val="accent1"/>
          </a:solidFill>
          <a:ln w="28575" cap="rnd">
            <a:solidFill>
              <a:schemeClr val="accent1"/>
            </a:solidFill>
            <a:round/>
          </a:ln>
          <a:effectLst/>
        </c:spPr>
        <c:marker>
          <c:symbol val="none"/>
        </c:marker>
      </c:pivotFmt>
      <c:pivotFmt>
        <c:idx val="294"/>
        <c:spPr>
          <a:solidFill>
            <a:schemeClr val="accent1"/>
          </a:solidFill>
          <a:ln w="28575" cap="rnd">
            <a:solidFill>
              <a:schemeClr val="accent1"/>
            </a:solidFill>
            <a:round/>
          </a:ln>
          <a:effectLst/>
        </c:spPr>
        <c:marker>
          <c:symbol val="none"/>
        </c:marker>
      </c:pivotFmt>
      <c:pivotFmt>
        <c:idx val="295"/>
        <c:spPr>
          <a:solidFill>
            <a:schemeClr val="accent1"/>
          </a:solidFill>
          <a:ln w="28575" cap="rnd">
            <a:solidFill>
              <a:schemeClr val="accent1"/>
            </a:solidFill>
            <a:round/>
          </a:ln>
          <a:effectLst/>
        </c:spPr>
        <c:marker>
          <c:symbol val="none"/>
        </c:marker>
      </c:pivotFmt>
      <c:pivotFmt>
        <c:idx val="296"/>
        <c:spPr>
          <a:solidFill>
            <a:schemeClr val="accent1"/>
          </a:solidFill>
          <a:ln w="28575" cap="rnd">
            <a:solidFill>
              <a:schemeClr val="accent1"/>
            </a:solidFill>
            <a:round/>
          </a:ln>
          <a:effectLst/>
        </c:spPr>
        <c:marker>
          <c:symbol val="none"/>
        </c:marker>
      </c:pivotFmt>
      <c:pivotFmt>
        <c:idx val="297"/>
        <c:spPr>
          <a:solidFill>
            <a:schemeClr val="accent1"/>
          </a:solidFill>
          <a:ln w="28575" cap="rnd">
            <a:solidFill>
              <a:schemeClr val="accent1"/>
            </a:solidFill>
            <a:round/>
          </a:ln>
          <a:effectLst/>
        </c:spPr>
        <c:marker>
          <c:symbol val="none"/>
        </c:marker>
      </c:pivotFmt>
      <c:pivotFmt>
        <c:idx val="298"/>
        <c:spPr>
          <a:solidFill>
            <a:schemeClr val="accent1"/>
          </a:solidFill>
          <a:ln w="28575" cap="rnd">
            <a:solidFill>
              <a:schemeClr val="accent1"/>
            </a:solidFill>
            <a:round/>
          </a:ln>
          <a:effectLst/>
        </c:spPr>
        <c:marker>
          <c:symbol val="none"/>
        </c:marker>
      </c:pivotFmt>
      <c:pivotFmt>
        <c:idx val="299"/>
        <c:spPr>
          <a:solidFill>
            <a:schemeClr val="accent1"/>
          </a:solidFill>
          <a:ln w="28575" cap="rnd">
            <a:solidFill>
              <a:schemeClr val="accent1"/>
            </a:solidFill>
            <a:round/>
          </a:ln>
          <a:effectLst/>
        </c:spPr>
        <c:marker>
          <c:symbol val="none"/>
        </c:marker>
      </c:pivotFmt>
      <c:pivotFmt>
        <c:idx val="300"/>
        <c:spPr>
          <a:solidFill>
            <a:schemeClr val="accent1"/>
          </a:solidFill>
          <a:ln w="28575" cap="rnd">
            <a:solidFill>
              <a:schemeClr val="accent1"/>
            </a:solidFill>
            <a:round/>
          </a:ln>
          <a:effectLst/>
        </c:spPr>
        <c:marker>
          <c:symbol val="none"/>
        </c:marker>
      </c:pivotFmt>
      <c:pivotFmt>
        <c:idx val="301"/>
        <c:spPr>
          <a:solidFill>
            <a:schemeClr val="accent1"/>
          </a:solidFill>
          <a:ln w="28575" cap="rnd">
            <a:solidFill>
              <a:schemeClr val="accent1"/>
            </a:solidFill>
            <a:round/>
          </a:ln>
          <a:effectLst/>
        </c:spPr>
        <c:marker>
          <c:symbol val="none"/>
        </c:marker>
      </c:pivotFmt>
      <c:pivotFmt>
        <c:idx val="302"/>
        <c:spPr>
          <a:solidFill>
            <a:schemeClr val="accent1"/>
          </a:solidFill>
          <a:ln w="28575" cap="rnd">
            <a:solidFill>
              <a:schemeClr val="accent1"/>
            </a:solidFill>
            <a:round/>
          </a:ln>
          <a:effectLst/>
        </c:spPr>
        <c:marker>
          <c:symbol val="none"/>
        </c:marker>
      </c:pivotFmt>
      <c:pivotFmt>
        <c:idx val="303"/>
        <c:spPr>
          <a:solidFill>
            <a:schemeClr val="accent1"/>
          </a:solidFill>
          <a:ln w="28575" cap="rnd">
            <a:solidFill>
              <a:schemeClr val="accent1"/>
            </a:solidFill>
            <a:round/>
          </a:ln>
          <a:effectLst/>
        </c:spPr>
        <c:marker>
          <c:symbol val="none"/>
        </c:marker>
      </c:pivotFmt>
      <c:pivotFmt>
        <c:idx val="304"/>
        <c:spPr>
          <a:solidFill>
            <a:schemeClr val="accent1"/>
          </a:solidFill>
          <a:ln w="28575" cap="rnd">
            <a:solidFill>
              <a:schemeClr val="accent1"/>
            </a:solidFill>
            <a:round/>
          </a:ln>
          <a:effectLst/>
        </c:spPr>
        <c:marker>
          <c:symbol val="none"/>
        </c:marker>
      </c:pivotFmt>
      <c:pivotFmt>
        <c:idx val="305"/>
        <c:spPr>
          <a:solidFill>
            <a:schemeClr val="accent1"/>
          </a:solidFill>
          <a:ln w="28575" cap="rnd">
            <a:solidFill>
              <a:schemeClr val="accent1"/>
            </a:solidFill>
            <a:round/>
          </a:ln>
          <a:effectLst/>
        </c:spPr>
        <c:marker>
          <c:symbol val="none"/>
        </c:marker>
      </c:pivotFmt>
      <c:pivotFmt>
        <c:idx val="306"/>
        <c:spPr>
          <a:solidFill>
            <a:schemeClr val="accent1"/>
          </a:solidFill>
          <a:ln w="28575" cap="rnd">
            <a:solidFill>
              <a:schemeClr val="accent1"/>
            </a:solidFill>
            <a:round/>
          </a:ln>
          <a:effectLst/>
        </c:spPr>
        <c:marker>
          <c:symbol val="none"/>
        </c:marker>
      </c:pivotFmt>
      <c:pivotFmt>
        <c:idx val="307"/>
        <c:spPr>
          <a:solidFill>
            <a:schemeClr val="accent1"/>
          </a:solidFill>
          <a:ln w="28575" cap="rnd">
            <a:solidFill>
              <a:schemeClr val="accent1"/>
            </a:solidFill>
            <a:round/>
          </a:ln>
          <a:effectLst/>
        </c:spPr>
        <c:marker>
          <c:symbol val="none"/>
        </c:marker>
      </c:pivotFmt>
      <c:pivotFmt>
        <c:idx val="308"/>
        <c:spPr>
          <a:solidFill>
            <a:schemeClr val="accent1"/>
          </a:solidFill>
          <a:ln w="28575" cap="rnd">
            <a:solidFill>
              <a:schemeClr val="accent1"/>
            </a:solidFill>
            <a:round/>
          </a:ln>
          <a:effectLst/>
        </c:spPr>
        <c:marker>
          <c:symbol val="none"/>
        </c:marker>
      </c:pivotFmt>
      <c:pivotFmt>
        <c:idx val="309"/>
        <c:spPr>
          <a:solidFill>
            <a:schemeClr val="accent1"/>
          </a:solidFill>
          <a:ln w="28575" cap="rnd">
            <a:solidFill>
              <a:schemeClr val="accent1"/>
            </a:solidFill>
            <a:round/>
          </a:ln>
          <a:effectLst/>
        </c:spPr>
        <c:marker>
          <c:symbol val="none"/>
        </c:marker>
      </c:pivotFmt>
      <c:pivotFmt>
        <c:idx val="310"/>
        <c:spPr>
          <a:solidFill>
            <a:schemeClr val="accent1"/>
          </a:solidFill>
          <a:ln w="28575" cap="rnd">
            <a:solidFill>
              <a:schemeClr val="accent1"/>
            </a:solidFill>
            <a:round/>
          </a:ln>
          <a:effectLst/>
        </c:spPr>
        <c:marker>
          <c:symbol val="none"/>
        </c:marker>
      </c:pivotFmt>
      <c:pivotFmt>
        <c:idx val="311"/>
        <c:spPr>
          <a:solidFill>
            <a:schemeClr val="accent1"/>
          </a:solidFill>
          <a:ln w="28575" cap="rnd">
            <a:solidFill>
              <a:schemeClr val="accent1"/>
            </a:solidFill>
            <a:round/>
          </a:ln>
          <a:effectLst/>
        </c:spPr>
        <c:marker>
          <c:symbol val="none"/>
        </c:marker>
      </c:pivotFmt>
      <c:pivotFmt>
        <c:idx val="312"/>
        <c:spPr>
          <a:solidFill>
            <a:schemeClr val="accent1"/>
          </a:solidFill>
          <a:ln w="28575" cap="rnd">
            <a:solidFill>
              <a:schemeClr val="accent1"/>
            </a:solidFill>
            <a:round/>
          </a:ln>
          <a:effectLst/>
        </c:spPr>
        <c:marker>
          <c:symbol val="none"/>
        </c:marker>
      </c:pivotFmt>
      <c:pivotFmt>
        <c:idx val="313"/>
        <c:spPr>
          <a:solidFill>
            <a:schemeClr val="accent1"/>
          </a:solidFill>
          <a:ln w="28575" cap="rnd">
            <a:solidFill>
              <a:schemeClr val="accent1"/>
            </a:solidFill>
            <a:round/>
          </a:ln>
          <a:effectLst/>
        </c:spPr>
        <c:marker>
          <c:symbol val="none"/>
        </c:marker>
      </c:pivotFmt>
      <c:pivotFmt>
        <c:idx val="314"/>
        <c:spPr>
          <a:solidFill>
            <a:schemeClr val="accent1"/>
          </a:solidFill>
          <a:ln w="28575" cap="rnd">
            <a:solidFill>
              <a:schemeClr val="accent1"/>
            </a:solidFill>
            <a:round/>
          </a:ln>
          <a:effectLst/>
        </c:spPr>
        <c:marker>
          <c:symbol val="none"/>
        </c:marker>
      </c:pivotFmt>
      <c:pivotFmt>
        <c:idx val="315"/>
        <c:spPr>
          <a:solidFill>
            <a:schemeClr val="accent1"/>
          </a:solidFill>
          <a:ln w="28575" cap="rnd">
            <a:solidFill>
              <a:schemeClr val="accent1"/>
            </a:solidFill>
            <a:round/>
          </a:ln>
          <a:effectLst/>
        </c:spPr>
        <c:marker>
          <c:symbol val="none"/>
        </c:marker>
      </c:pivotFmt>
      <c:pivotFmt>
        <c:idx val="316"/>
        <c:spPr>
          <a:solidFill>
            <a:schemeClr val="accent1"/>
          </a:solidFill>
          <a:ln w="28575" cap="rnd">
            <a:solidFill>
              <a:schemeClr val="accent1"/>
            </a:solidFill>
            <a:round/>
          </a:ln>
          <a:effectLst/>
        </c:spPr>
        <c:marker>
          <c:symbol val="none"/>
        </c:marker>
      </c:pivotFmt>
      <c:pivotFmt>
        <c:idx val="317"/>
        <c:spPr>
          <a:solidFill>
            <a:schemeClr val="accent1"/>
          </a:solidFill>
          <a:ln w="28575" cap="rnd">
            <a:solidFill>
              <a:schemeClr val="accent1"/>
            </a:solidFill>
            <a:round/>
          </a:ln>
          <a:effectLst/>
        </c:spPr>
        <c:marker>
          <c:symbol val="none"/>
        </c:marker>
      </c:pivotFmt>
      <c:pivotFmt>
        <c:idx val="318"/>
        <c:spPr>
          <a:solidFill>
            <a:schemeClr val="accent1"/>
          </a:solidFill>
          <a:ln w="28575" cap="rnd">
            <a:solidFill>
              <a:schemeClr val="accent1"/>
            </a:solidFill>
            <a:round/>
          </a:ln>
          <a:effectLst/>
        </c:spPr>
        <c:marker>
          <c:symbol val="none"/>
        </c:marker>
      </c:pivotFmt>
      <c:pivotFmt>
        <c:idx val="319"/>
        <c:spPr>
          <a:solidFill>
            <a:schemeClr val="accent1"/>
          </a:solidFill>
          <a:ln w="28575" cap="rnd">
            <a:solidFill>
              <a:schemeClr val="accent1"/>
            </a:solidFill>
            <a:round/>
          </a:ln>
          <a:effectLst/>
        </c:spPr>
        <c:marker>
          <c:symbol val="none"/>
        </c:marker>
      </c:pivotFmt>
      <c:pivotFmt>
        <c:idx val="320"/>
        <c:spPr>
          <a:solidFill>
            <a:schemeClr val="accent1"/>
          </a:solidFill>
          <a:ln w="28575" cap="rnd">
            <a:solidFill>
              <a:schemeClr val="accent1"/>
            </a:solidFill>
            <a:round/>
          </a:ln>
          <a:effectLst/>
        </c:spPr>
        <c:marker>
          <c:symbol val="none"/>
        </c:marker>
      </c:pivotFmt>
      <c:pivotFmt>
        <c:idx val="321"/>
        <c:spPr>
          <a:solidFill>
            <a:schemeClr val="accent1"/>
          </a:solidFill>
          <a:ln w="28575" cap="rnd">
            <a:solidFill>
              <a:schemeClr val="accent1"/>
            </a:solidFill>
            <a:round/>
          </a:ln>
          <a:effectLst/>
        </c:spPr>
        <c:marker>
          <c:symbol val="none"/>
        </c:marker>
      </c:pivotFmt>
      <c:pivotFmt>
        <c:idx val="322"/>
        <c:spPr>
          <a:solidFill>
            <a:schemeClr val="accent1"/>
          </a:solidFill>
          <a:ln w="28575" cap="rnd">
            <a:solidFill>
              <a:schemeClr val="accent1"/>
            </a:solidFill>
            <a:round/>
          </a:ln>
          <a:effectLst/>
        </c:spPr>
        <c:marker>
          <c:symbol val="none"/>
        </c:marker>
      </c:pivotFmt>
      <c:pivotFmt>
        <c:idx val="323"/>
        <c:spPr>
          <a:solidFill>
            <a:schemeClr val="accent1"/>
          </a:solidFill>
          <a:ln w="28575" cap="rnd">
            <a:solidFill>
              <a:schemeClr val="accent1"/>
            </a:solidFill>
            <a:round/>
          </a:ln>
          <a:effectLst/>
        </c:spPr>
        <c:marker>
          <c:symbol val="none"/>
        </c:marker>
      </c:pivotFmt>
      <c:pivotFmt>
        <c:idx val="3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0"/>
        <c:spPr>
          <a:solidFill>
            <a:schemeClr val="accent1"/>
          </a:solidFill>
          <a:ln w="28575" cap="rnd">
            <a:solidFill>
              <a:schemeClr val="accent1"/>
            </a:solidFill>
            <a:round/>
          </a:ln>
          <a:effectLst/>
        </c:spPr>
        <c:marker>
          <c:symbol val="none"/>
        </c:marker>
      </c:pivotFmt>
      <c:pivotFmt>
        <c:idx val="33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2"/>
        <c:spPr>
          <a:solidFill>
            <a:schemeClr val="accent1"/>
          </a:solidFill>
          <a:ln w="28575" cap="rnd">
            <a:solidFill>
              <a:schemeClr val="accent1"/>
            </a:solidFill>
            <a:round/>
          </a:ln>
          <a:effectLst/>
        </c:spPr>
        <c:marker>
          <c:symbol val="none"/>
        </c:marker>
      </c:pivotFmt>
      <c:pivotFmt>
        <c:idx val="333"/>
        <c:spPr>
          <a:solidFill>
            <a:schemeClr val="accent1"/>
          </a:solidFill>
          <a:ln w="28575" cap="rnd">
            <a:solidFill>
              <a:schemeClr val="accent1"/>
            </a:solidFill>
            <a:round/>
          </a:ln>
          <a:effectLst/>
        </c:spPr>
        <c:marker>
          <c:symbol val="none"/>
        </c:marker>
      </c:pivotFmt>
      <c:pivotFmt>
        <c:idx val="33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5"/>
        <c:spPr>
          <a:solidFill>
            <a:schemeClr val="accent1"/>
          </a:solidFill>
          <a:ln w="28575" cap="rnd">
            <a:solidFill>
              <a:schemeClr val="accent1"/>
            </a:solidFill>
            <a:round/>
          </a:ln>
          <a:effectLst/>
        </c:spPr>
        <c:marker>
          <c:symbol val="none"/>
        </c:marker>
      </c:pivotFmt>
      <c:pivotFmt>
        <c:idx val="336"/>
        <c:spPr>
          <a:solidFill>
            <a:schemeClr val="accent1"/>
          </a:solidFill>
          <a:ln w="28575" cap="rnd">
            <a:solidFill>
              <a:schemeClr val="accent1"/>
            </a:solidFill>
            <a:round/>
          </a:ln>
          <a:effectLst/>
        </c:spPr>
        <c:marker>
          <c:symbol val="none"/>
        </c:marker>
      </c:pivotFmt>
      <c:pivotFmt>
        <c:idx val="33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8"/>
        <c:spPr>
          <a:solidFill>
            <a:schemeClr val="accent1"/>
          </a:solidFill>
          <a:ln w="28575" cap="rnd">
            <a:solidFill>
              <a:schemeClr val="accent1"/>
            </a:solidFill>
            <a:round/>
          </a:ln>
          <a:effectLst/>
        </c:spPr>
        <c:marker>
          <c:symbol val="none"/>
        </c:marker>
      </c:pivotFmt>
      <c:pivotFmt>
        <c:idx val="339"/>
        <c:spPr>
          <a:solidFill>
            <a:schemeClr val="accent1"/>
          </a:solidFill>
          <a:ln w="28575" cap="rnd">
            <a:solidFill>
              <a:schemeClr val="accent1"/>
            </a:solidFill>
            <a:round/>
          </a:ln>
          <a:effectLst/>
        </c:spPr>
        <c:marker>
          <c:symbol val="none"/>
        </c:marker>
      </c:pivotFmt>
      <c:pivotFmt>
        <c:idx val="34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1"/>
        <c:spPr>
          <a:solidFill>
            <a:schemeClr val="accent1"/>
          </a:solidFill>
          <a:ln w="28575" cap="rnd">
            <a:solidFill>
              <a:schemeClr val="accent1"/>
            </a:solidFill>
            <a:round/>
          </a:ln>
          <a:effectLst/>
        </c:spPr>
        <c:marker>
          <c:symbol val="none"/>
        </c:marker>
      </c:pivotFmt>
      <c:pivotFmt>
        <c:idx val="342"/>
        <c:spPr>
          <a:solidFill>
            <a:schemeClr val="accent1"/>
          </a:solidFill>
          <a:ln w="28575" cap="rnd">
            <a:solidFill>
              <a:schemeClr val="accent1"/>
            </a:solidFill>
            <a:round/>
          </a:ln>
          <a:effectLst/>
        </c:spPr>
        <c:marker>
          <c:symbol val="none"/>
        </c:marker>
      </c:pivotFmt>
      <c:pivotFmt>
        <c:idx val="34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4"/>
        <c:spPr>
          <a:solidFill>
            <a:schemeClr val="accent1"/>
          </a:solidFill>
          <a:ln w="28575" cap="rnd">
            <a:solidFill>
              <a:schemeClr val="accent1"/>
            </a:solidFill>
            <a:round/>
          </a:ln>
          <a:effectLst/>
        </c:spPr>
        <c:marker>
          <c:symbol val="none"/>
        </c:marker>
      </c:pivotFmt>
      <c:pivotFmt>
        <c:idx val="345"/>
        <c:spPr>
          <a:solidFill>
            <a:schemeClr val="accent1"/>
          </a:solidFill>
          <a:ln w="28575" cap="rnd">
            <a:solidFill>
              <a:schemeClr val="accent1"/>
            </a:solidFill>
            <a:round/>
          </a:ln>
          <a:effectLst/>
        </c:spPr>
        <c:marker>
          <c:symbol val="none"/>
        </c:marker>
      </c:pivotFmt>
      <c:pivotFmt>
        <c:idx val="34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7"/>
        <c:spPr>
          <a:solidFill>
            <a:schemeClr val="accent1"/>
          </a:solidFill>
          <a:ln w="28575" cap="rnd">
            <a:solidFill>
              <a:schemeClr val="accent1"/>
            </a:solidFill>
            <a:round/>
          </a:ln>
          <a:effectLst/>
        </c:spPr>
        <c:marker>
          <c:symbol val="none"/>
        </c:marker>
      </c:pivotFmt>
      <c:pivotFmt>
        <c:idx val="348"/>
        <c:spPr>
          <a:solidFill>
            <a:schemeClr val="accent1"/>
          </a:solidFill>
          <a:ln w="28575" cap="rnd">
            <a:solidFill>
              <a:schemeClr val="accent1"/>
            </a:solidFill>
            <a:round/>
          </a:ln>
          <a:effectLst/>
        </c:spPr>
        <c:marker>
          <c:symbol val="none"/>
        </c:marker>
      </c:pivotFmt>
      <c:pivotFmt>
        <c:idx val="3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0"/>
        <c:spPr>
          <a:solidFill>
            <a:schemeClr val="accent1"/>
          </a:solidFill>
          <a:ln w="28575" cap="rnd">
            <a:solidFill>
              <a:schemeClr val="accent1"/>
            </a:solidFill>
            <a:round/>
          </a:ln>
          <a:effectLst/>
        </c:spPr>
        <c:marker>
          <c:symbol val="none"/>
        </c:marker>
      </c:pivotFmt>
      <c:pivotFmt>
        <c:idx val="351"/>
        <c:spPr>
          <a:solidFill>
            <a:schemeClr val="accent1"/>
          </a:solidFill>
          <a:ln w="28575" cap="rnd">
            <a:solidFill>
              <a:schemeClr val="accent1"/>
            </a:solidFill>
            <a:round/>
          </a:ln>
          <a:effectLst/>
        </c:spPr>
        <c:marker>
          <c:symbol val="none"/>
        </c:marker>
      </c:pivotFmt>
      <c:pivotFmt>
        <c:idx val="35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3"/>
        <c:spPr>
          <a:solidFill>
            <a:schemeClr val="accent1"/>
          </a:solidFill>
          <a:ln w="28575" cap="rnd">
            <a:solidFill>
              <a:schemeClr val="accent1"/>
            </a:solidFill>
            <a:round/>
          </a:ln>
          <a:effectLst/>
        </c:spPr>
        <c:marker>
          <c:symbol val="none"/>
        </c:marker>
      </c:pivotFmt>
      <c:pivotFmt>
        <c:idx val="354"/>
        <c:spPr>
          <a:solidFill>
            <a:schemeClr val="accent1"/>
          </a:solidFill>
          <a:ln w="28575" cap="rnd">
            <a:solidFill>
              <a:schemeClr val="accent1"/>
            </a:solidFill>
            <a:round/>
          </a:ln>
          <a:effectLst/>
        </c:spPr>
        <c:marker>
          <c:symbol val="none"/>
        </c:marker>
      </c:pivotFmt>
      <c:pivotFmt>
        <c:idx val="35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6"/>
        <c:spPr>
          <a:solidFill>
            <a:schemeClr val="accent1"/>
          </a:solidFill>
          <a:ln w="28575" cap="rnd">
            <a:solidFill>
              <a:schemeClr val="accent1"/>
            </a:solidFill>
            <a:round/>
          </a:ln>
          <a:effectLst/>
        </c:spPr>
        <c:marker>
          <c:symbol val="none"/>
        </c:marker>
      </c:pivotFmt>
      <c:pivotFmt>
        <c:idx val="357"/>
        <c:spPr>
          <a:solidFill>
            <a:schemeClr val="accent1"/>
          </a:solidFill>
          <a:ln w="28575" cap="rnd">
            <a:solidFill>
              <a:schemeClr val="accent1"/>
            </a:solidFill>
            <a:round/>
          </a:ln>
          <a:effectLst/>
        </c:spPr>
        <c:marker>
          <c:symbol val="none"/>
        </c:marker>
      </c:pivotFmt>
      <c:pivotFmt>
        <c:idx val="35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9"/>
        <c:spPr>
          <a:solidFill>
            <a:schemeClr val="accent1"/>
          </a:solidFill>
          <a:ln w="28575" cap="rnd">
            <a:solidFill>
              <a:schemeClr val="accent1"/>
            </a:solidFill>
            <a:round/>
          </a:ln>
          <a:effectLst/>
        </c:spPr>
        <c:marker>
          <c:symbol val="none"/>
        </c:marker>
      </c:pivotFmt>
      <c:pivotFmt>
        <c:idx val="360"/>
        <c:spPr>
          <a:solidFill>
            <a:schemeClr val="accent1"/>
          </a:solidFill>
          <a:ln w="28575" cap="rnd">
            <a:solidFill>
              <a:schemeClr val="accent1"/>
            </a:solidFill>
            <a:round/>
          </a:ln>
          <a:effectLst/>
        </c:spPr>
        <c:marker>
          <c:symbol val="none"/>
        </c:marker>
      </c:pivotFmt>
      <c:pivotFmt>
        <c:idx val="36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2"/>
        <c:spPr>
          <a:solidFill>
            <a:schemeClr val="accent1"/>
          </a:solidFill>
          <a:ln w="28575" cap="rnd">
            <a:solidFill>
              <a:schemeClr val="accent1"/>
            </a:solidFill>
            <a:round/>
          </a:ln>
          <a:effectLst/>
        </c:spPr>
        <c:marker>
          <c:symbol val="none"/>
        </c:marker>
      </c:pivotFmt>
      <c:pivotFmt>
        <c:idx val="363"/>
        <c:spPr>
          <a:solidFill>
            <a:schemeClr val="accent1"/>
          </a:solidFill>
          <a:ln w="28575" cap="rnd">
            <a:solidFill>
              <a:schemeClr val="accent1"/>
            </a:solidFill>
            <a:round/>
          </a:ln>
          <a:effectLst/>
        </c:spPr>
        <c:marker>
          <c:symbol val="none"/>
        </c:marker>
      </c:pivotFmt>
      <c:pivotFmt>
        <c:idx val="36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5"/>
        <c:spPr>
          <a:solidFill>
            <a:schemeClr val="accent1"/>
          </a:solidFill>
          <a:ln w="28575" cap="rnd">
            <a:solidFill>
              <a:schemeClr val="accent1"/>
            </a:solidFill>
            <a:round/>
          </a:ln>
          <a:effectLst/>
        </c:spPr>
        <c:marker>
          <c:symbol val="none"/>
        </c:marker>
      </c:pivotFmt>
      <c:pivotFmt>
        <c:idx val="366"/>
        <c:spPr>
          <a:solidFill>
            <a:schemeClr val="accent1"/>
          </a:solidFill>
          <a:ln w="28575" cap="rnd">
            <a:solidFill>
              <a:schemeClr val="accent1"/>
            </a:solidFill>
            <a:round/>
          </a:ln>
          <a:effectLst/>
        </c:spPr>
        <c:marker>
          <c:symbol val="none"/>
        </c:marker>
      </c:pivotFmt>
      <c:pivotFmt>
        <c:idx val="36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8"/>
        <c:spPr>
          <a:solidFill>
            <a:schemeClr val="accent1"/>
          </a:solidFill>
          <a:ln w="28575" cap="rnd">
            <a:solidFill>
              <a:schemeClr val="accent1"/>
            </a:solidFill>
            <a:round/>
          </a:ln>
          <a:effectLst/>
        </c:spPr>
        <c:marker>
          <c:symbol val="none"/>
        </c:marker>
      </c:pivotFmt>
      <c:pivotFmt>
        <c:idx val="369"/>
        <c:spPr>
          <a:solidFill>
            <a:schemeClr val="accent1"/>
          </a:solidFill>
          <a:ln w="28575" cap="rnd">
            <a:solidFill>
              <a:schemeClr val="accent1"/>
            </a:solidFill>
            <a:round/>
          </a:ln>
          <a:effectLst/>
        </c:spPr>
        <c:marker>
          <c:symbol val="none"/>
        </c:marker>
      </c:pivotFmt>
      <c:pivotFmt>
        <c:idx val="37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1"/>
        <c:spPr>
          <a:solidFill>
            <a:schemeClr val="accent1"/>
          </a:solidFill>
          <a:ln w="28575" cap="rnd">
            <a:solidFill>
              <a:schemeClr val="accent1"/>
            </a:solidFill>
            <a:round/>
          </a:ln>
          <a:effectLst/>
        </c:spPr>
        <c:marker>
          <c:symbol val="none"/>
        </c:marker>
      </c:pivotFmt>
      <c:pivotFmt>
        <c:idx val="37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8"/>
        <c:spPr>
          <a:solidFill>
            <a:schemeClr val="accent1"/>
          </a:solidFill>
          <a:ln w="28575" cap="rnd">
            <a:solidFill>
              <a:schemeClr val="accent1"/>
            </a:solidFill>
            <a:round/>
          </a:ln>
          <a:effectLst/>
        </c:spPr>
        <c:marker>
          <c:symbol val="none"/>
        </c:marker>
      </c:pivotFmt>
      <c:pivotFmt>
        <c:idx val="37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80"/>
        <c:spPr>
          <a:solidFill>
            <a:schemeClr val="accent1"/>
          </a:solidFill>
          <a:ln w="28575" cap="rnd">
            <a:solidFill>
              <a:schemeClr val="accent1"/>
            </a:solidFill>
            <a:round/>
          </a:ln>
          <a:effectLst/>
        </c:spPr>
        <c:marker>
          <c:symbol val="none"/>
        </c:marker>
      </c:pivotFmt>
      <c:pivotFmt>
        <c:idx val="38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8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8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8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8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8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8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8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8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9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9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9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9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9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9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9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9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9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9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0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0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0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0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0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0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0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0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2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29"/>
        <c:spPr>
          <a:solidFill>
            <a:schemeClr val="accent1"/>
          </a:solidFill>
          <a:ln w="28575" cap="rnd">
            <a:solidFill>
              <a:schemeClr val="accent1"/>
            </a:solidFill>
            <a:round/>
          </a:ln>
          <a:effectLst/>
        </c:spPr>
        <c:marker>
          <c:symbol val="none"/>
        </c:marker>
      </c:pivotFmt>
      <c:pivotFmt>
        <c:idx val="430"/>
        <c:spPr>
          <a:solidFill>
            <a:schemeClr val="accent1"/>
          </a:solidFill>
          <a:ln w="28575" cap="rnd">
            <a:solidFill>
              <a:schemeClr val="accent1"/>
            </a:solidFill>
            <a:round/>
          </a:ln>
          <a:effectLst/>
        </c:spPr>
        <c:marker>
          <c:symbol val="none"/>
        </c:marker>
      </c:pivotFmt>
      <c:pivotFmt>
        <c:idx val="431"/>
        <c:spPr>
          <a:solidFill>
            <a:schemeClr val="accent1"/>
          </a:solidFill>
          <a:ln w="28575" cap="rnd">
            <a:solidFill>
              <a:schemeClr val="accent1"/>
            </a:solidFill>
            <a:round/>
          </a:ln>
          <a:effectLst/>
        </c:spPr>
        <c:marker>
          <c:symbol val="none"/>
        </c:marker>
      </c:pivotFmt>
      <c:pivotFmt>
        <c:idx val="432"/>
        <c:spPr>
          <a:solidFill>
            <a:schemeClr val="accent1"/>
          </a:solidFill>
          <a:ln w="28575" cap="rnd">
            <a:solidFill>
              <a:schemeClr val="accent1"/>
            </a:solidFill>
            <a:round/>
          </a:ln>
          <a:effectLst/>
        </c:spPr>
        <c:marker>
          <c:symbol val="none"/>
        </c:marker>
      </c:pivotFmt>
      <c:pivotFmt>
        <c:idx val="433"/>
        <c:spPr>
          <a:solidFill>
            <a:schemeClr val="accent1"/>
          </a:solidFill>
          <a:ln w="28575" cap="rnd">
            <a:solidFill>
              <a:schemeClr val="accent1"/>
            </a:solidFill>
            <a:round/>
          </a:ln>
          <a:effectLst/>
        </c:spPr>
        <c:marker>
          <c:symbol val="none"/>
        </c:marker>
      </c:pivotFmt>
      <c:pivotFmt>
        <c:idx val="434"/>
        <c:spPr>
          <a:solidFill>
            <a:schemeClr val="accent1"/>
          </a:solidFill>
          <a:ln w="28575" cap="rnd">
            <a:solidFill>
              <a:schemeClr val="accent1"/>
            </a:solidFill>
            <a:round/>
          </a:ln>
          <a:effectLst/>
        </c:spPr>
        <c:marker>
          <c:symbol val="none"/>
        </c:marker>
      </c:pivotFmt>
      <c:pivotFmt>
        <c:idx val="435"/>
        <c:spPr>
          <a:solidFill>
            <a:schemeClr val="accent1"/>
          </a:solidFill>
          <a:ln w="28575" cap="rnd">
            <a:solidFill>
              <a:schemeClr val="accent1"/>
            </a:solidFill>
            <a:round/>
          </a:ln>
          <a:effectLst/>
        </c:spPr>
        <c:marker>
          <c:symbol val="none"/>
        </c:marker>
      </c:pivotFmt>
      <c:pivotFmt>
        <c:idx val="436"/>
        <c:spPr>
          <a:solidFill>
            <a:schemeClr val="accent1"/>
          </a:solidFill>
          <a:ln w="28575" cap="rnd">
            <a:solidFill>
              <a:schemeClr val="accent1"/>
            </a:solidFill>
            <a:round/>
          </a:ln>
          <a:effectLst/>
        </c:spPr>
        <c:marker>
          <c:symbol val="none"/>
        </c:marker>
      </c:pivotFmt>
      <c:pivotFmt>
        <c:idx val="437"/>
        <c:spPr>
          <a:solidFill>
            <a:schemeClr val="accent1"/>
          </a:solidFill>
          <a:ln w="28575" cap="rnd">
            <a:solidFill>
              <a:schemeClr val="accent1"/>
            </a:solidFill>
            <a:round/>
          </a:ln>
          <a:effectLst/>
        </c:spPr>
        <c:marker>
          <c:symbol val="none"/>
        </c:marker>
      </c:pivotFmt>
      <c:pivotFmt>
        <c:idx val="438"/>
        <c:spPr>
          <a:solidFill>
            <a:schemeClr val="accent1"/>
          </a:solidFill>
          <a:ln w="28575" cap="rnd">
            <a:solidFill>
              <a:schemeClr val="accent1"/>
            </a:solidFill>
            <a:round/>
          </a:ln>
          <a:effectLst/>
        </c:spPr>
        <c:marker>
          <c:symbol val="none"/>
        </c:marker>
      </c:pivotFmt>
      <c:pivotFmt>
        <c:idx val="43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40"/>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manualLayout>
          <c:layoutTarget val="inner"/>
          <c:xMode val="edge"/>
          <c:yMode val="edge"/>
          <c:x val="9.7032491628201642E-2"/>
          <c:y val="0.15115165950955409"/>
          <c:w val="0.83738329260566569"/>
          <c:h val="0.63541864426300065"/>
        </c:manualLayout>
      </c:layout>
      <c:lineChart>
        <c:grouping val="standard"/>
        <c:varyColors val="0"/>
        <c:ser>
          <c:idx val="0"/>
          <c:order val="0"/>
          <c:tx>
            <c:strRef>
              <c:f>Put_bank!$B$3</c:f>
              <c:strCache>
                <c:ptCount val="1"/>
                <c:pt idx="0">
                  <c:v>Put_Change in OI</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Put_bank!$A$4:$A$19</c:f>
              <c:strCache>
                <c:ptCount val="15"/>
                <c:pt idx="0">
                  <c:v> 13:14</c:v>
                </c:pt>
                <c:pt idx="1">
                  <c:v> 13:17</c:v>
                </c:pt>
                <c:pt idx="2">
                  <c:v> 13:19</c:v>
                </c:pt>
                <c:pt idx="3">
                  <c:v> 13:23</c:v>
                </c:pt>
                <c:pt idx="4">
                  <c:v> 13:24</c:v>
                </c:pt>
                <c:pt idx="5">
                  <c:v> 13:28</c:v>
                </c:pt>
                <c:pt idx="6">
                  <c:v> 13:32</c:v>
                </c:pt>
                <c:pt idx="7">
                  <c:v> 13:33</c:v>
                </c:pt>
                <c:pt idx="8">
                  <c:v> 13:36</c:v>
                </c:pt>
                <c:pt idx="9">
                  <c:v> 13:39</c:v>
                </c:pt>
                <c:pt idx="10">
                  <c:v> 13:42</c:v>
                </c:pt>
                <c:pt idx="11">
                  <c:v> 13:44</c:v>
                </c:pt>
                <c:pt idx="12">
                  <c:v> 13:47</c:v>
                </c:pt>
                <c:pt idx="13">
                  <c:v> 13:51</c:v>
                </c:pt>
                <c:pt idx="14">
                  <c:v>(blank)</c:v>
                </c:pt>
              </c:strCache>
            </c:strRef>
          </c:cat>
          <c:val>
            <c:numRef>
              <c:f>Put_bank!$B$4:$B$19</c:f>
              <c:numCache>
                <c:formatCode>General</c:formatCode>
                <c:ptCount val="15"/>
                <c:pt idx="0">
                  <c:v>137871.25</c:v>
                </c:pt>
                <c:pt idx="1">
                  <c:v>137852.5</c:v>
                </c:pt>
                <c:pt idx="2">
                  <c:v>143252.5</c:v>
                </c:pt>
                <c:pt idx="3">
                  <c:v>153466.66666666666</c:v>
                </c:pt>
                <c:pt idx="4">
                  <c:v>152288</c:v>
                </c:pt>
                <c:pt idx="5">
                  <c:v>153262.66666666666</c:v>
                </c:pt>
                <c:pt idx="6">
                  <c:v>152509.33333333334</c:v>
                </c:pt>
                <c:pt idx="7">
                  <c:v>151042.66666666666</c:v>
                </c:pt>
                <c:pt idx="8">
                  <c:v>136953.75</c:v>
                </c:pt>
                <c:pt idx="9">
                  <c:v>135077.5</c:v>
                </c:pt>
                <c:pt idx="10">
                  <c:v>134402.5</c:v>
                </c:pt>
                <c:pt idx="11">
                  <c:v>134405</c:v>
                </c:pt>
                <c:pt idx="12">
                  <c:v>135638.75</c:v>
                </c:pt>
                <c:pt idx="13">
                  <c:v>145680</c:v>
                </c:pt>
              </c:numCache>
            </c:numRef>
          </c:val>
          <c:smooth val="0"/>
          <c:extLst xmlns:c16r2="http://schemas.microsoft.com/office/drawing/2015/06/chart">
            <c:ext xmlns:c16="http://schemas.microsoft.com/office/drawing/2014/chart" uri="{C3380CC4-5D6E-409C-BE32-E72D297353CC}">
              <c16:uniqueId val="{00000000-2AAC-431D-9AF5-65DF13193973}"/>
            </c:ext>
          </c:extLst>
        </c:ser>
        <c:dLbls>
          <c:showLegendKey val="0"/>
          <c:showVal val="0"/>
          <c:showCatName val="0"/>
          <c:showSerName val="0"/>
          <c:showPercent val="0"/>
          <c:showBubbleSize val="0"/>
        </c:dLbls>
        <c:marker val="1"/>
        <c:smooth val="0"/>
        <c:axId val="-1917972064"/>
        <c:axId val="-1917970976"/>
      </c:lineChart>
      <c:lineChart>
        <c:grouping val="standard"/>
        <c:varyColors val="0"/>
        <c:ser>
          <c:idx val="1"/>
          <c:order val="1"/>
          <c:tx>
            <c:strRef>
              <c:f>Put_bank!$C$3</c:f>
              <c:strCache>
                <c:ptCount val="1"/>
                <c:pt idx="0">
                  <c:v>Put_LTP</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Put_bank!$A$4:$A$19</c:f>
              <c:strCache>
                <c:ptCount val="15"/>
                <c:pt idx="0">
                  <c:v> 13:14</c:v>
                </c:pt>
                <c:pt idx="1">
                  <c:v> 13:17</c:v>
                </c:pt>
                <c:pt idx="2">
                  <c:v> 13:19</c:v>
                </c:pt>
                <c:pt idx="3">
                  <c:v> 13:23</c:v>
                </c:pt>
                <c:pt idx="4">
                  <c:v> 13:24</c:v>
                </c:pt>
                <c:pt idx="5">
                  <c:v> 13:28</c:v>
                </c:pt>
                <c:pt idx="6">
                  <c:v> 13:32</c:v>
                </c:pt>
                <c:pt idx="7">
                  <c:v> 13:33</c:v>
                </c:pt>
                <c:pt idx="8">
                  <c:v> 13:36</c:v>
                </c:pt>
                <c:pt idx="9">
                  <c:v> 13:39</c:v>
                </c:pt>
                <c:pt idx="10">
                  <c:v> 13:42</c:v>
                </c:pt>
                <c:pt idx="11">
                  <c:v> 13:44</c:v>
                </c:pt>
                <c:pt idx="12">
                  <c:v> 13:47</c:v>
                </c:pt>
                <c:pt idx="13">
                  <c:v> 13:51</c:v>
                </c:pt>
                <c:pt idx="14">
                  <c:v>(blank)</c:v>
                </c:pt>
              </c:strCache>
            </c:strRef>
          </c:cat>
          <c:val>
            <c:numRef>
              <c:f>Put_bank!$C$4:$C$19</c:f>
              <c:numCache>
                <c:formatCode>General</c:formatCode>
                <c:ptCount val="15"/>
                <c:pt idx="0">
                  <c:v>232.33125000000001</c:v>
                </c:pt>
                <c:pt idx="1">
                  <c:v>235.09062500000005</c:v>
                </c:pt>
                <c:pt idx="2">
                  <c:v>240.88124999999999</c:v>
                </c:pt>
                <c:pt idx="3">
                  <c:v>246.91875000000002</c:v>
                </c:pt>
                <c:pt idx="4">
                  <c:v>243.640625</c:v>
                </c:pt>
                <c:pt idx="5">
                  <c:v>234.13437499999998</c:v>
                </c:pt>
                <c:pt idx="6">
                  <c:v>258.78750000000008</c:v>
                </c:pt>
                <c:pt idx="7">
                  <c:v>257.85937500000006</c:v>
                </c:pt>
                <c:pt idx="8">
                  <c:v>273.13749999999999</c:v>
                </c:pt>
                <c:pt idx="9">
                  <c:v>270.03125</c:v>
                </c:pt>
                <c:pt idx="10">
                  <c:v>266.52499999999998</c:v>
                </c:pt>
                <c:pt idx="11">
                  <c:v>261.35624999999999</c:v>
                </c:pt>
                <c:pt idx="12">
                  <c:v>265.68124999999992</c:v>
                </c:pt>
                <c:pt idx="13">
                  <c:v>272.53124999999977</c:v>
                </c:pt>
              </c:numCache>
            </c:numRef>
          </c:val>
          <c:smooth val="0"/>
          <c:extLst xmlns:c16r2="http://schemas.microsoft.com/office/drawing/2015/06/chart">
            <c:ext xmlns:c16="http://schemas.microsoft.com/office/drawing/2014/chart" uri="{C3380CC4-5D6E-409C-BE32-E72D297353CC}">
              <c16:uniqueId val="{00000001-2AAC-431D-9AF5-65DF13193973}"/>
            </c:ext>
          </c:extLst>
        </c:ser>
        <c:dLbls>
          <c:showLegendKey val="0"/>
          <c:showVal val="0"/>
          <c:showCatName val="0"/>
          <c:showSerName val="0"/>
          <c:showPercent val="0"/>
          <c:showBubbleSize val="0"/>
        </c:dLbls>
        <c:marker val="1"/>
        <c:smooth val="0"/>
        <c:axId val="-1917969344"/>
        <c:axId val="-1917970432"/>
      </c:lineChart>
      <c:catAx>
        <c:axId val="-1917972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17970976"/>
        <c:crosses val="autoZero"/>
        <c:auto val="1"/>
        <c:lblAlgn val="ctr"/>
        <c:lblOffset val="100"/>
        <c:noMultiLvlLbl val="0"/>
      </c:catAx>
      <c:valAx>
        <c:axId val="-1917970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17972064"/>
        <c:crosses val="autoZero"/>
        <c:crossBetween val="between"/>
      </c:valAx>
      <c:valAx>
        <c:axId val="-191797043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17969344"/>
        <c:crosses val="max"/>
        <c:crossBetween val="between"/>
      </c:valAx>
      <c:catAx>
        <c:axId val="-1917969344"/>
        <c:scaling>
          <c:orientation val="minMax"/>
        </c:scaling>
        <c:delete val="1"/>
        <c:axPos val="b"/>
        <c:numFmt formatCode="General" sourceLinked="1"/>
        <c:majorTickMark val="out"/>
        <c:minorTickMark val="none"/>
        <c:tickLblPos val="nextTo"/>
        <c:crossAx val="-1917970432"/>
        <c:crosses val="autoZero"/>
        <c:auto val="1"/>
        <c:lblAlgn val="ctr"/>
        <c:lblOffset val="100"/>
        <c:noMultiLvlLbl val="0"/>
      </c:catAx>
      <c:spPr>
        <a:blipFill dpi="0" rotWithShape="1">
          <a:blip xmlns:r="http://schemas.openxmlformats.org/officeDocument/2006/relationships" r:embed="rId4">
            <a:alphaModFix amt="60000"/>
            <a:extLst>
              <a:ext uri="{28A0092B-C50C-407E-A947-70E740481C1C}">
                <a14:useLocalDpi xmlns:a14="http://schemas.microsoft.com/office/drawing/2010/main" val="0"/>
              </a:ext>
            </a:extLst>
          </a:blip>
          <a:srcRect/>
          <a:stretch>
            <a:fillRect/>
          </a:stretch>
        </a:blipFill>
        <a:ln>
          <a:noFill/>
        </a:ln>
        <a:effectLst/>
      </c:spPr>
    </c:plotArea>
    <c:legend>
      <c:legendPos val="t"/>
      <c:layout>
        <c:manualLayout>
          <c:xMode val="edge"/>
          <c:yMode val="edge"/>
          <c:x val="0.48242102036515511"/>
          <c:y val="1.6367761690195493E-2"/>
          <c:w val="0.41153361304289521"/>
          <c:h val="0.10990255231158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[Bank_OI.xlsm]IV!PivotTable1</c:name>
    <c:fmtId val="13"/>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
        <c:idx val="192"/>
        <c:spPr>
          <a:solidFill>
            <a:schemeClr val="accent1"/>
          </a:solidFill>
          <a:ln w="28575" cap="rnd">
            <a:solidFill>
              <a:schemeClr val="accent1"/>
            </a:solidFill>
            <a:round/>
          </a:ln>
          <a:effectLst/>
        </c:spPr>
        <c:marker>
          <c:symbol val="none"/>
        </c:marker>
      </c:pivotFmt>
      <c:pivotFmt>
        <c:idx val="193"/>
        <c:spPr>
          <a:solidFill>
            <a:schemeClr val="accent1"/>
          </a:solidFill>
          <a:ln w="28575" cap="rnd">
            <a:solidFill>
              <a:schemeClr val="accent1"/>
            </a:solidFill>
            <a:round/>
          </a:ln>
          <a:effectLst/>
        </c:spPr>
        <c:marker>
          <c:symbol val="none"/>
        </c:marker>
      </c:pivotFmt>
      <c:pivotFmt>
        <c:idx val="194"/>
        <c:spPr>
          <a:solidFill>
            <a:schemeClr val="accent1"/>
          </a:solidFill>
          <a:ln w="28575" cap="rnd">
            <a:solidFill>
              <a:schemeClr val="accent1"/>
            </a:solidFill>
            <a:round/>
          </a:ln>
          <a:effectLst/>
        </c:spPr>
        <c:marker>
          <c:symbol val="none"/>
        </c:marker>
      </c:pivotFmt>
      <c:pivotFmt>
        <c:idx val="195"/>
        <c:spPr>
          <a:solidFill>
            <a:schemeClr val="accent1"/>
          </a:solidFill>
          <a:ln w="28575" cap="rnd">
            <a:solidFill>
              <a:schemeClr val="accent1"/>
            </a:solidFill>
            <a:round/>
          </a:ln>
          <a:effectLst/>
        </c:spPr>
        <c:marker>
          <c:symbol val="none"/>
        </c:marker>
      </c:pivotFmt>
      <c:pivotFmt>
        <c:idx val="196"/>
        <c:spPr>
          <a:solidFill>
            <a:schemeClr val="accent1"/>
          </a:solidFill>
          <a:ln w="28575" cap="rnd">
            <a:solidFill>
              <a:schemeClr val="accent1"/>
            </a:solidFill>
            <a:round/>
          </a:ln>
          <a:effectLst/>
        </c:spPr>
        <c:marker>
          <c:symbol val="none"/>
        </c:marker>
      </c:pivotFmt>
      <c:pivotFmt>
        <c:idx val="197"/>
        <c:spPr>
          <a:solidFill>
            <a:schemeClr val="accent1"/>
          </a:solidFill>
          <a:ln w="28575" cap="rnd">
            <a:solidFill>
              <a:schemeClr val="accent1"/>
            </a:solidFill>
            <a:round/>
          </a:ln>
          <a:effectLst/>
        </c:spPr>
        <c:marker>
          <c:symbol val="none"/>
        </c:marker>
      </c:pivotFmt>
      <c:pivotFmt>
        <c:idx val="198"/>
        <c:spPr>
          <a:solidFill>
            <a:schemeClr val="accent1"/>
          </a:solidFill>
          <a:ln w="28575" cap="rnd">
            <a:solidFill>
              <a:schemeClr val="accent1"/>
            </a:solidFill>
            <a:round/>
          </a:ln>
          <a:effectLst/>
        </c:spPr>
        <c:marker>
          <c:symbol val="none"/>
        </c:marker>
      </c:pivotFmt>
      <c:pivotFmt>
        <c:idx val="199"/>
        <c:spPr>
          <a:solidFill>
            <a:schemeClr val="accent1"/>
          </a:solidFill>
          <a:ln w="28575" cap="rnd">
            <a:solidFill>
              <a:schemeClr val="accent1"/>
            </a:solidFill>
            <a:round/>
          </a:ln>
          <a:effectLst/>
        </c:spPr>
        <c:marker>
          <c:symbol val="none"/>
        </c:marker>
      </c:pivotFmt>
      <c:pivotFmt>
        <c:idx val="200"/>
        <c:spPr>
          <a:solidFill>
            <a:schemeClr val="accent1"/>
          </a:solidFill>
          <a:ln w="28575" cap="rnd">
            <a:solidFill>
              <a:schemeClr val="accent1"/>
            </a:solidFill>
            <a:round/>
          </a:ln>
          <a:effectLst/>
        </c:spPr>
        <c:marker>
          <c:symbol val="none"/>
        </c:marker>
      </c:pivotFmt>
      <c:pivotFmt>
        <c:idx val="201"/>
        <c:spPr>
          <a:solidFill>
            <a:schemeClr val="accent1"/>
          </a:solidFill>
          <a:ln w="28575" cap="rnd">
            <a:solidFill>
              <a:schemeClr val="accent1"/>
            </a:solidFill>
            <a:round/>
          </a:ln>
          <a:effectLst/>
        </c:spPr>
        <c:marker>
          <c:symbol val="none"/>
        </c:marker>
      </c:pivotFmt>
      <c:pivotFmt>
        <c:idx val="202"/>
        <c:spPr>
          <a:solidFill>
            <a:schemeClr val="accent1"/>
          </a:solidFill>
          <a:ln w="28575" cap="rnd">
            <a:solidFill>
              <a:schemeClr val="accent1"/>
            </a:solidFill>
            <a:round/>
          </a:ln>
          <a:effectLst/>
        </c:spPr>
        <c:marker>
          <c:symbol val="none"/>
        </c:marker>
      </c:pivotFmt>
      <c:pivotFmt>
        <c:idx val="203"/>
        <c:spPr>
          <a:solidFill>
            <a:schemeClr val="accent1"/>
          </a:solidFill>
          <a:ln w="28575" cap="rnd">
            <a:solidFill>
              <a:schemeClr val="accent1"/>
            </a:solidFill>
            <a:round/>
          </a:ln>
          <a:effectLst/>
        </c:spPr>
        <c:marker>
          <c:symbol val="none"/>
        </c:marker>
      </c:pivotFmt>
      <c:pivotFmt>
        <c:idx val="204"/>
        <c:spPr>
          <a:solidFill>
            <a:schemeClr val="accent1"/>
          </a:solidFill>
          <a:ln w="28575" cap="rnd">
            <a:solidFill>
              <a:schemeClr val="accent1"/>
            </a:solidFill>
            <a:round/>
          </a:ln>
          <a:effectLst/>
        </c:spPr>
        <c:marker>
          <c:symbol val="none"/>
        </c:marker>
      </c:pivotFmt>
      <c:pivotFmt>
        <c:idx val="205"/>
        <c:spPr>
          <a:solidFill>
            <a:schemeClr val="accent1"/>
          </a:solidFill>
          <a:ln w="28575" cap="rnd">
            <a:solidFill>
              <a:schemeClr val="accent1"/>
            </a:solidFill>
            <a:round/>
          </a:ln>
          <a:effectLst/>
        </c:spPr>
        <c:marker>
          <c:symbol val="none"/>
        </c:marker>
      </c:pivotFmt>
      <c:pivotFmt>
        <c:idx val="206"/>
        <c:spPr>
          <a:solidFill>
            <a:schemeClr val="accent1"/>
          </a:solidFill>
          <a:ln w="28575" cap="rnd">
            <a:solidFill>
              <a:schemeClr val="accent1"/>
            </a:solidFill>
            <a:round/>
          </a:ln>
          <a:effectLst/>
        </c:spPr>
        <c:marker>
          <c:symbol val="none"/>
        </c:marker>
      </c:pivotFmt>
      <c:pivotFmt>
        <c:idx val="207"/>
        <c:spPr>
          <a:solidFill>
            <a:schemeClr val="accent1"/>
          </a:solidFill>
          <a:ln w="28575" cap="rnd">
            <a:solidFill>
              <a:schemeClr val="accent1"/>
            </a:solidFill>
            <a:round/>
          </a:ln>
          <a:effectLst/>
        </c:spPr>
        <c:marker>
          <c:symbol val="none"/>
        </c:marker>
      </c:pivotFmt>
      <c:pivotFmt>
        <c:idx val="208"/>
        <c:spPr>
          <a:solidFill>
            <a:schemeClr val="accent1"/>
          </a:solidFill>
          <a:ln w="28575" cap="rnd">
            <a:solidFill>
              <a:schemeClr val="accent1"/>
            </a:solidFill>
            <a:round/>
          </a:ln>
          <a:effectLst/>
        </c:spPr>
        <c:marker>
          <c:symbol val="none"/>
        </c:marker>
      </c:pivotFmt>
      <c:pivotFmt>
        <c:idx val="209"/>
        <c:spPr>
          <a:solidFill>
            <a:schemeClr val="accent1"/>
          </a:solidFill>
          <a:ln w="28575" cap="rnd">
            <a:solidFill>
              <a:schemeClr val="accent1"/>
            </a:solidFill>
            <a:round/>
          </a:ln>
          <a:effectLst/>
        </c:spPr>
        <c:marker>
          <c:symbol val="none"/>
        </c:marker>
      </c:pivotFmt>
      <c:pivotFmt>
        <c:idx val="210"/>
        <c:spPr>
          <a:solidFill>
            <a:schemeClr val="accent1"/>
          </a:solidFill>
          <a:ln w="28575" cap="rnd">
            <a:solidFill>
              <a:schemeClr val="accent1"/>
            </a:solidFill>
            <a:round/>
          </a:ln>
          <a:effectLst/>
        </c:spPr>
        <c:marker>
          <c:symbol val="none"/>
        </c:marker>
      </c:pivotFmt>
      <c:pivotFmt>
        <c:idx val="211"/>
        <c:spPr>
          <a:solidFill>
            <a:schemeClr val="accent1"/>
          </a:solidFill>
          <a:ln w="28575" cap="rnd">
            <a:solidFill>
              <a:schemeClr val="accent1"/>
            </a:solidFill>
            <a:round/>
          </a:ln>
          <a:effectLst/>
        </c:spPr>
        <c:marker>
          <c:symbol val="none"/>
        </c:marker>
      </c:pivotFmt>
      <c:pivotFmt>
        <c:idx val="212"/>
        <c:spPr>
          <a:solidFill>
            <a:schemeClr val="accent1"/>
          </a:solidFill>
          <a:ln w="28575" cap="rnd">
            <a:solidFill>
              <a:schemeClr val="accent1"/>
            </a:solidFill>
            <a:round/>
          </a:ln>
          <a:effectLst/>
        </c:spPr>
        <c:marker>
          <c:symbol val="none"/>
        </c:marker>
      </c:pivotFmt>
      <c:pivotFmt>
        <c:idx val="213"/>
        <c:spPr>
          <a:solidFill>
            <a:schemeClr val="accent1"/>
          </a:solidFill>
          <a:ln w="28575" cap="rnd">
            <a:solidFill>
              <a:schemeClr val="accent1"/>
            </a:solidFill>
            <a:round/>
          </a:ln>
          <a:effectLst/>
        </c:spPr>
        <c:marker>
          <c:symbol val="none"/>
        </c:marker>
      </c:pivotFmt>
      <c:pivotFmt>
        <c:idx val="214"/>
        <c:spPr>
          <a:solidFill>
            <a:schemeClr val="accent1"/>
          </a:solidFill>
          <a:ln w="28575" cap="rnd">
            <a:solidFill>
              <a:schemeClr val="accent1"/>
            </a:solidFill>
            <a:round/>
          </a:ln>
          <a:effectLst/>
        </c:spPr>
        <c:marker>
          <c:symbol val="none"/>
        </c:marker>
      </c:pivotFmt>
      <c:pivotFmt>
        <c:idx val="215"/>
        <c:spPr>
          <a:solidFill>
            <a:schemeClr val="accent1"/>
          </a:solidFill>
          <a:ln w="28575" cap="rnd">
            <a:solidFill>
              <a:schemeClr val="accent1"/>
            </a:solidFill>
            <a:round/>
          </a:ln>
          <a:effectLst/>
        </c:spPr>
        <c:marker>
          <c:symbol val="none"/>
        </c:marker>
      </c:pivotFmt>
      <c:pivotFmt>
        <c:idx val="216"/>
        <c:spPr>
          <a:solidFill>
            <a:schemeClr val="accent1"/>
          </a:solidFill>
          <a:ln w="28575" cap="rnd">
            <a:solidFill>
              <a:schemeClr val="accent1"/>
            </a:solidFill>
            <a:round/>
          </a:ln>
          <a:effectLst/>
        </c:spPr>
        <c:marker>
          <c:symbol val="none"/>
        </c:marker>
      </c:pivotFmt>
      <c:pivotFmt>
        <c:idx val="217"/>
        <c:spPr>
          <a:solidFill>
            <a:schemeClr val="accent1"/>
          </a:solidFill>
          <a:ln w="28575" cap="rnd">
            <a:solidFill>
              <a:schemeClr val="accent1"/>
            </a:solidFill>
            <a:round/>
          </a:ln>
          <a:effectLst/>
        </c:spPr>
        <c:marker>
          <c:symbol val="none"/>
        </c:marker>
      </c:pivotFmt>
      <c:pivotFmt>
        <c:idx val="218"/>
        <c:spPr>
          <a:solidFill>
            <a:schemeClr val="accent1"/>
          </a:solidFill>
          <a:ln w="28575" cap="rnd">
            <a:solidFill>
              <a:schemeClr val="accent1"/>
            </a:solidFill>
            <a:round/>
          </a:ln>
          <a:effectLst/>
        </c:spPr>
        <c:marker>
          <c:symbol val="none"/>
        </c:marker>
      </c:pivotFmt>
      <c:pivotFmt>
        <c:idx val="219"/>
        <c:spPr>
          <a:solidFill>
            <a:schemeClr val="accent1"/>
          </a:solidFill>
          <a:ln w="28575" cap="rnd">
            <a:solidFill>
              <a:schemeClr val="accent1"/>
            </a:solidFill>
            <a:round/>
          </a:ln>
          <a:effectLst/>
        </c:spPr>
        <c:marker>
          <c:symbol val="none"/>
        </c:marker>
      </c:pivotFmt>
      <c:pivotFmt>
        <c:idx val="220"/>
        <c:spPr>
          <a:solidFill>
            <a:schemeClr val="accent1"/>
          </a:solidFill>
          <a:ln w="28575" cap="rnd">
            <a:solidFill>
              <a:schemeClr val="accent1"/>
            </a:solidFill>
            <a:round/>
          </a:ln>
          <a:effectLst/>
        </c:spPr>
        <c:marker>
          <c:symbol val="none"/>
        </c:marker>
      </c:pivotFmt>
      <c:pivotFmt>
        <c:idx val="221"/>
        <c:spPr>
          <a:solidFill>
            <a:schemeClr val="accent1"/>
          </a:solidFill>
          <a:ln w="28575" cap="rnd">
            <a:solidFill>
              <a:schemeClr val="accent1"/>
            </a:solidFill>
            <a:round/>
          </a:ln>
          <a:effectLst/>
        </c:spPr>
        <c:marker>
          <c:symbol val="none"/>
        </c:marker>
      </c:pivotFmt>
      <c:pivotFmt>
        <c:idx val="222"/>
        <c:spPr>
          <a:solidFill>
            <a:schemeClr val="accent1"/>
          </a:solidFill>
          <a:ln w="28575" cap="rnd">
            <a:solidFill>
              <a:schemeClr val="accent1"/>
            </a:solidFill>
            <a:round/>
          </a:ln>
          <a:effectLst/>
        </c:spPr>
        <c:marker>
          <c:symbol val="none"/>
        </c:marker>
      </c:pivotFmt>
      <c:pivotFmt>
        <c:idx val="223"/>
        <c:spPr>
          <a:solidFill>
            <a:schemeClr val="accent1"/>
          </a:solidFill>
          <a:ln w="28575" cap="rnd">
            <a:solidFill>
              <a:schemeClr val="accent1"/>
            </a:solidFill>
            <a:round/>
          </a:ln>
          <a:effectLst/>
        </c:spPr>
        <c:marker>
          <c:symbol val="none"/>
        </c:marker>
      </c:pivotFmt>
      <c:pivotFmt>
        <c:idx val="224"/>
        <c:spPr>
          <a:solidFill>
            <a:schemeClr val="accent1"/>
          </a:solidFill>
          <a:ln w="28575" cap="rnd">
            <a:solidFill>
              <a:schemeClr val="accent1"/>
            </a:solidFill>
            <a:round/>
          </a:ln>
          <a:effectLst/>
        </c:spPr>
        <c:marker>
          <c:symbol val="none"/>
        </c:marker>
      </c:pivotFmt>
      <c:pivotFmt>
        <c:idx val="225"/>
        <c:spPr>
          <a:solidFill>
            <a:schemeClr val="accent1"/>
          </a:solidFill>
          <a:ln w="28575" cap="rnd">
            <a:solidFill>
              <a:schemeClr val="accent1"/>
            </a:solidFill>
            <a:round/>
          </a:ln>
          <a:effectLst/>
        </c:spPr>
        <c:marker>
          <c:symbol val="none"/>
        </c:marker>
      </c:pivotFmt>
      <c:pivotFmt>
        <c:idx val="226"/>
        <c:spPr>
          <a:solidFill>
            <a:schemeClr val="accent1"/>
          </a:solidFill>
          <a:ln w="28575" cap="rnd">
            <a:solidFill>
              <a:schemeClr val="accent1"/>
            </a:solidFill>
            <a:round/>
          </a:ln>
          <a:effectLst/>
        </c:spPr>
        <c:marker>
          <c:symbol val="none"/>
        </c:marker>
      </c:pivotFmt>
      <c:pivotFmt>
        <c:idx val="227"/>
        <c:spPr>
          <a:solidFill>
            <a:schemeClr val="accent1"/>
          </a:solidFill>
          <a:ln w="28575" cap="rnd">
            <a:solidFill>
              <a:schemeClr val="accent1"/>
            </a:solidFill>
            <a:round/>
          </a:ln>
          <a:effectLst/>
        </c:spPr>
        <c:marker>
          <c:symbol val="none"/>
        </c:marker>
      </c:pivotFmt>
      <c:pivotFmt>
        <c:idx val="228"/>
        <c:spPr>
          <a:solidFill>
            <a:schemeClr val="accent1"/>
          </a:solidFill>
          <a:ln w="28575" cap="rnd">
            <a:solidFill>
              <a:schemeClr val="accent1"/>
            </a:solidFill>
            <a:round/>
          </a:ln>
          <a:effectLst/>
        </c:spPr>
        <c:marker>
          <c:symbol val="none"/>
        </c:marker>
      </c:pivotFmt>
      <c:pivotFmt>
        <c:idx val="229"/>
        <c:spPr>
          <a:solidFill>
            <a:schemeClr val="accent1"/>
          </a:solidFill>
          <a:ln w="28575" cap="rnd">
            <a:solidFill>
              <a:schemeClr val="accent1"/>
            </a:solidFill>
            <a:round/>
          </a:ln>
          <a:effectLst/>
        </c:spPr>
        <c:marker>
          <c:symbol val="none"/>
        </c:marker>
      </c:pivotFmt>
      <c:pivotFmt>
        <c:idx val="230"/>
        <c:spPr>
          <a:solidFill>
            <a:schemeClr val="accent1"/>
          </a:solidFill>
          <a:ln w="28575" cap="rnd">
            <a:solidFill>
              <a:schemeClr val="accent1"/>
            </a:solidFill>
            <a:round/>
          </a:ln>
          <a:effectLst/>
        </c:spPr>
        <c:marker>
          <c:symbol val="none"/>
        </c:marker>
      </c:pivotFmt>
      <c:pivotFmt>
        <c:idx val="231"/>
        <c:spPr>
          <a:solidFill>
            <a:schemeClr val="accent1"/>
          </a:solidFill>
          <a:ln w="28575" cap="rnd">
            <a:solidFill>
              <a:schemeClr val="accent1"/>
            </a:solidFill>
            <a:round/>
          </a:ln>
          <a:effectLst/>
        </c:spPr>
        <c:marker>
          <c:symbol val="none"/>
        </c:marker>
      </c:pivotFmt>
      <c:pivotFmt>
        <c:idx val="232"/>
        <c:spPr>
          <a:solidFill>
            <a:schemeClr val="accent1"/>
          </a:solidFill>
          <a:ln w="28575" cap="rnd">
            <a:solidFill>
              <a:schemeClr val="accent1"/>
            </a:solidFill>
            <a:round/>
          </a:ln>
          <a:effectLst/>
        </c:spPr>
        <c:marker>
          <c:symbol val="none"/>
        </c:marker>
      </c:pivotFmt>
      <c:pivotFmt>
        <c:idx val="233"/>
        <c:spPr>
          <a:solidFill>
            <a:schemeClr val="accent1"/>
          </a:solidFill>
          <a:ln w="28575" cap="rnd">
            <a:solidFill>
              <a:schemeClr val="accent1"/>
            </a:solidFill>
            <a:round/>
          </a:ln>
          <a:effectLst/>
        </c:spPr>
        <c:marker>
          <c:symbol val="none"/>
        </c:marker>
      </c:pivotFmt>
      <c:pivotFmt>
        <c:idx val="234"/>
        <c:spPr>
          <a:solidFill>
            <a:schemeClr val="accent1"/>
          </a:solidFill>
          <a:ln w="28575" cap="rnd">
            <a:solidFill>
              <a:schemeClr val="accent1"/>
            </a:solidFill>
            <a:round/>
          </a:ln>
          <a:effectLst/>
        </c:spPr>
        <c:marker>
          <c:symbol val="none"/>
        </c:marker>
      </c:pivotFmt>
      <c:pivotFmt>
        <c:idx val="235"/>
        <c:spPr>
          <a:solidFill>
            <a:schemeClr val="accent1"/>
          </a:solidFill>
          <a:ln w="28575" cap="rnd">
            <a:solidFill>
              <a:schemeClr val="accent1"/>
            </a:solidFill>
            <a:round/>
          </a:ln>
          <a:effectLst/>
        </c:spPr>
        <c:marker>
          <c:symbol val="none"/>
        </c:marker>
      </c:pivotFmt>
      <c:pivotFmt>
        <c:idx val="236"/>
        <c:spPr>
          <a:solidFill>
            <a:schemeClr val="accent1"/>
          </a:solidFill>
          <a:ln w="28575" cap="rnd">
            <a:solidFill>
              <a:schemeClr val="accent1"/>
            </a:solidFill>
            <a:round/>
          </a:ln>
          <a:effectLst/>
        </c:spPr>
        <c:marker>
          <c:symbol val="none"/>
        </c:marker>
      </c:pivotFmt>
      <c:pivotFmt>
        <c:idx val="237"/>
        <c:spPr>
          <a:solidFill>
            <a:schemeClr val="accent1"/>
          </a:solidFill>
          <a:ln w="28575" cap="rnd">
            <a:solidFill>
              <a:schemeClr val="accent1"/>
            </a:solidFill>
            <a:round/>
          </a:ln>
          <a:effectLst/>
        </c:spPr>
        <c:marker>
          <c:symbol val="none"/>
        </c:marker>
      </c:pivotFmt>
      <c:pivotFmt>
        <c:idx val="238"/>
        <c:spPr>
          <a:solidFill>
            <a:schemeClr val="accent1"/>
          </a:solidFill>
          <a:ln w="28575" cap="rnd">
            <a:solidFill>
              <a:schemeClr val="accent1"/>
            </a:solidFill>
            <a:round/>
          </a:ln>
          <a:effectLst/>
        </c:spPr>
        <c:marker>
          <c:symbol val="none"/>
        </c:marker>
      </c:pivotFmt>
      <c:pivotFmt>
        <c:idx val="239"/>
        <c:spPr>
          <a:solidFill>
            <a:schemeClr val="accent1"/>
          </a:solidFill>
          <a:ln w="28575" cap="rnd">
            <a:solidFill>
              <a:schemeClr val="accent1"/>
            </a:solidFill>
            <a:round/>
          </a:ln>
          <a:effectLst/>
        </c:spPr>
        <c:marker>
          <c:symbol val="none"/>
        </c:marker>
      </c:pivotFmt>
      <c:pivotFmt>
        <c:idx val="240"/>
        <c:spPr>
          <a:solidFill>
            <a:schemeClr val="accent1"/>
          </a:solidFill>
          <a:ln w="28575" cap="rnd">
            <a:solidFill>
              <a:schemeClr val="accent1"/>
            </a:solidFill>
            <a:round/>
          </a:ln>
          <a:effectLst/>
        </c:spPr>
        <c:marker>
          <c:symbol val="none"/>
        </c:marker>
      </c:pivotFmt>
      <c:pivotFmt>
        <c:idx val="241"/>
        <c:spPr>
          <a:solidFill>
            <a:schemeClr val="accent1"/>
          </a:solidFill>
          <a:ln w="28575" cap="rnd">
            <a:solidFill>
              <a:schemeClr val="accent1"/>
            </a:solidFill>
            <a:round/>
          </a:ln>
          <a:effectLst/>
        </c:spPr>
        <c:marker>
          <c:symbol val="none"/>
        </c:marker>
      </c:pivotFmt>
      <c:pivotFmt>
        <c:idx val="242"/>
        <c:spPr>
          <a:solidFill>
            <a:schemeClr val="accent1"/>
          </a:solidFill>
          <a:ln w="28575" cap="rnd">
            <a:solidFill>
              <a:schemeClr val="accent1"/>
            </a:solidFill>
            <a:round/>
          </a:ln>
          <a:effectLst/>
        </c:spPr>
        <c:marker>
          <c:symbol val="none"/>
        </c:marker>
      </c:pivotFmt>
      <c:pivotFmt>
        <c:idx val="243"/>
        <c:spPr>
          <a:solidFill>
            <a:schemeClr val="accent1"/>
          </a:solidFill>
          <a:ln w="28575" cap="rnd">
            <a:solidFill>
              <a:schemeClr val="accent1"/>
            </a:solidFill>
            <a:round/>
          </a:ln>
          <a:effectLst/>
        </c:spPr>
        <c:marker>
          <c:symbol val="none"/>
        </c:marker>
      </c:pivotFmt>
      <c:pivotFmt>
        <c:idx val="244"/>
        <c:spPr>
          <a:solidFill>
            <a:schemeClr val="accent1"/>
          </a:solidFill>
          <a:ln w="28575" cap="rnd">
            <a:solidFill>
              <a:schemeClr val="accent1"/>
            </a:solidFill>
            <a:round/>
          </a:ln>
          <a:effectLst/>
        </c:spPr>
        <c:marker>
          <c:symbol val="none"/>
        </c:marker>
      </c:pivotFmt>
      <c:pivotFmt>
        <c:idx val="245"/>
        <c:spPr>
          <a:solidFill>
            <a:schemeClr val="accent1"/>
          </a:solidFill>
          <a:ln w="28575" cap="rnd">
            <a:solidFill>
              <a:schemeClr val="accent1"/>
            </a:solidFill>
            <a:round/>
          </a:ln>
          <a:effectLst/>
        </c:spPr>
        <c:marker>
          <c:symbol val="none"/>
        </c:marker>
      </c:pivotFmt>
      <c:pivotFmt>
        <c:idx val="246"/>
        <c:spPr>
          <a:solidFill>
            <a:schemeClr val="accent1"/>
          </a:solidFill>
          <a:ln w="28575" cap="rnd">
            <a:solidFill>
              <a:schemeClr val="accent1"/>
            </a:solidFill>
            <a:round/>
          </a:ln>
          <a:effectLst/>
        </c:spPr>
        <c:marker>
          <c:symbol val="none"/>
        </c:marker>
      </c:pivotFmt>
      <c:pivotFmt>
        <c:idx val="247"/>
        <c:spPr>
          <a:solidFill>
            <a:schemeClr val="accent1"/>
          </a:solidFill>
          <a:ln w="28575" cap="rnd">
            <a:solidFill>
              <a:schemeClr val="accent1"/>
            </a:solidFill>
            <a:round/>
          </a:ln>
          <a:effectLst/>
        </c:spPr>
        <c:marker>
          <c:symbol val="none"/>
        </c:marker>
      </c:pivotFmt>
      <c:pivotFmt>
        <c:idx val="248"/>
        <c:spPr>
          <a:solidFill>
            <a:schemeClr val="accent1"/>
          </a:solidFill>
          <a:ln w="28575" cap="rnd">
            <a:solidFill>
              <a:schemeClr val="accent1"/>
            </a:solidFill>
            <a:round/>
          </a:ln>
          <a:effectLst/>
        </c:spPr>
        <c:marker>
          <c:symbol val="none"/>
        </c:marker>
      </c:pivotFmt>
      <c:pivotFmt>
        <c:idx val="249"/>
        <c:spPr>
          <a:solidFill>
            <a:schemeClr val="accent1"/>
          </a:solidFill>
          <a:ln w="28575" cap="rnd">
            <a:solidFill>
              <a:schemeClr val="accent1"/>
            </a:solidFill>
            <a:round/>
          </a:ln>
          <a:effectLst/>
        </c:spPr>
        <c:marker>
          <c:symbol val="none"/>
        </c:marker>
      </c:pivotFmt>
      <c:pivotFmt>
        <c:idx val="250"/>
        <c:spPr>
          <a:solidFill>
            <a:schemeClr val="accent1"/>
          </a:solidFill>
          <a:ln w="28575" cap="rnd">
            <a:solidFill>
              <a:schemeClr val="accent1"/>
            </a:solidFill>
            <a:round/>
          </a:ln>
          <a:effectLst/>
        </c:spPr>
        <c:marker>
          <c:symbol val="none"/>
        </c:marker>
      </c:pivotFmt>
      <c:pivotFmt>
        <c:idx val="251"/>
        <c:spPr>
          <a:solidFill>
            <a:schemeClr val="accent1"/>
          </a:solidFill>
          <a:ln w="28575" cap="rnd">
            <a:solidFill>
              <a:schemeClr val="accent1"/>
            </a:solidFill>
            <a:round/>
          </a:ln>
          <a:effectLst/>
        </c:spPr>
        <c:marker>
          <c:symbol val="none"/>
        </c:marker>
      </c:pivotFmt>
      <c:pivotFmt>
        <c:idx val="252"/>
        <c:spPr>
          <a:solidFill>
            <a:schemeClr val="accent1"/>
          </a:solidFill>
          <a:ln w="28575" cap="rnd">
            <a:solidFill>
              <a:schemeClr val="accent1"/>
            </a:solidFill>
            <a:round/>
          </a:ln>
          <a:effectLst/>
        </c:spPr>
        <c:marker>
          <c:symbol val="none"/>
        </c:marker>
      </c:pivotFmt>
      <c:pivotFmt>
        <c:idx val="253"/>
        <c:spPr>
          <a:solidFill>
            <a:schemeClr val="accent1"/>
          </a:solidFill>
          <a:ln w="28575" cap="rnd">
            <a:solidFill>
              <a:schemeClr val="accent1"/>
            </a:solidFill>
            <a:round/>
          </a:ln>
          <a:effectLst/>
        </c:spPr>
        <c:marker>
          <c:symbol val="none"/>
        </c:marker>
      </c:pivotFmt>
      <c:pivotFmt>
        <c:idx val="254"/>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55"/>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manualLayout>
          <c:layoutTarget val="inner"/>
          <c:xMode val="edge"/>
          <c:yMode val="edge"/>
          <c:x val="0.16059721178068823"/>
          <c:y val="0.14249781277340332"/>
          <c:w val="0.76570094567324809"/>
          <c:h val="0.54998417332664873"/>
        </c:manualLayout>
      </c:layout>
      <c:lineChart>
        <c:grouping val="standard"/>
        <c:varyColors val="0"/>
        <c:ser>
          <c:idx val="0"/>
          <c:order val="0"/>
          <c:tx>
            <c:strRef>
              <c:f>IV!$B$3</c:f>
              <c:strCache>
                <c:ptCount val="1"/>
                <c:pt idx="0">
                  <c:v>Call_ IV</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IV!$A$4:$A$19</c:f>
              <c:strCache>
                <c:ptCount val="15"/>
                <c:pt idx="0">
                  <c:v> 13:14</c:v>
                </c:pt>
                <c:pt idx="1">
                  <c:v> 13:17</c:v>
                </c:pt>
                <c:pt idx="2">
                  <c:v> 13:19</c:v>
                </c:pt>
                <c:pt idx="3">
                  <c:v> 13:23</c:v>
                </c:pt>
                <c:pt idx="4">
                  <c:v> 13:24</c:v>
                </c:pt>
                <c:pt idx="5">
                  <c:v> 13:28</c:v>
                </c:pt>
                <c:pt idx="6">
                  <c:v> 13:32</c:v>
                </c:pt>
                <c:pt idx="7">
                  <c:v> 13:33</c:v>
                </c:pt>
                <c:pt idx="8">
                  <c:v> 13:36</c:v>
                </c:pt>
                <c:pt idx="9">
                  <c:v> 13:39</c:v>
                </c:pt>
                <c:pt idx="10">
                  <c:v> 13:42</c:v>
                </c:pt>
                <c:pt idx="11">
                  <c:v> 13:44</c:v>
                </c:pt>
                <c:pt idx="12">
                  <c:v> 13:47</c:v>
                </c:pt>
                <c:pt idx="13">
                  <c:v> 13:51</c:v>
                </c:pt>
                <c:pt idx="14">
                  <c:v>(blank)</c:v>
                </c:pt>
              </c:strCache>
            </c:strRef>
          </c:cat>
          <c:val>
            <c:numRef>
              <c:f>IV!$B$4:$B$19</c:f>
              <c:numCache>
                <c:formatCode>General</c:formatCode>
                <c:ptCount val="15"/>
                <c:pt idx="0">
                  <c:v>20.837857142857139</c:v>
                </c:pt>
                <c:pt idx="1">
                  <c:v>20.837857142857139</c:v>
                </c:pt>
                <c:pt idx="2">
                  <c:v>20.837857142857139</c:v>
                </c:pt>
                <c:pt idx="3">
                  <c:v>23.300624999999997</c:v>
                </c:pt>
                <c:pt idx="4">
                  <c:v>23.300625</c:v>
                </c:pt>
                <c:pt idx="5">
                  <c:v>23.300624999999997</c:v>
                </c:pt>
                <c:pt idx="6">
                  <c:v>24.071250000000006</c:v>
                </c:pt>
                <c:pt idx="7">
                  <c:v>24.071250000000006</c:v>
                </c:pt>
                <c:pt idx="8">
                  <c:v>24.071249999999999</c:v>
                </c:pt>
                <c:pt idx="9">
                  <c:v>24.071250000000003</c:v>
                </c:pt>
                <c:pt idx="10">
                  <c:v>22.788125000000001</c:v>
                </c:pt>
                <c:pt idx="11">
                  <c:v>22.788125000000001</c:v>
                </c:pt>
                <c:pt idx="12">
                  <c:v>22.788125000000004</c:v>
                </c:pt>
                <c:pt idx="13">
                  <c:v>22.520000000000003</c:v>
                </c:pt>
              </c:numCache>
            </c:numRef>
          </c:val>
          <c:smooth val="0"/>
          <c:extLst xmlns:c16r2="http://schemas.microsoft.com/office/drawing/2015/06/chart">
            <c:ext xmlns:c16="http://schemas.microsoft.com/office/drawing/2014/chart" uri="{C3380CC4-5D6E-409C-BE32-E72D297353CC}">
              <c16:uniqueId val="{00000000-7850-473D-8735-EC3B9AD8424C}"/>
            </c:ext>
          </c:extLst>
        </c:ser>
        <c:ser>
          <c:idx val="1"/>
          <c:order val="1"/>
          <c:tx>
            <c:strRef>
              <c:f>IV!$C$3</c:f>
              <c:strCache>
                <c:ptCount val="1"/>
                <c:pt idx="0">
                  <c:v>Put_IV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IV!$A$4:$A$19</c:f>
              <c:strCache>
                <c:ptCount val="15"/>
                <c:pt idx="0">
                  <c:v> 13:14</c:v>
                </c:pt>
                <c:pt idx="1">
                  <c:v> 13:17</c:v>
                </c:pt>
                <c:pt idx="2">
                  <c:v> 13:19</c:v>
                </c:pt>
                <c:pt idx="3">
                  <c:v> 13:23</c:v>
                </c:pt>
                <c:pt idx="4">
                  <c:v> 13:24</c:v>
                </c:pt>
                <c:pt idx="5">
                  <c:v> 13:28</c:v>
                </c:pt>
                <c:pt idx="6">
                  <c:v> 13:32</c:v>
                </c:pt>
                <c:pt idx="7">
                  <c:v> 13:33</c:v>
                </c:pt>
                <c:pt idx="8">
                  <c:v> 13:36</c:v>
                </c:pt>
                <c:pt idx="9">
                  <c:v> 13:39</c:v>
                </c:pt>
                <c:pt idx="10">
                  <c:v> 13:42</c:v>
                </c:pt>
                <c:pt idx="11">
                  <c:v> 13:44</c:v>
                </c:pt>
                <c:pt idx="12">
                  <c:v> 13:47</c:v>
                </c:pt>
                <c:pt idx="13">
                  <c:v> 13:51</c:v>
                </c:pt>
                <c:pt idx="14">
                  <c:v>(blank)</c:v>
                </c:pt>
              </c:strCache>
            </c:strRef>
          </c:cat>
          <c:val>
            <c:numRef>
              <c:f>IV!$C$4:$C$19</c:f>
              <c:numCache>
                <c:formatCode>General</c:formatCode>
                <c:ptCount val="15"/>
                <c:pt idx="0">
                  <c:v>25.2225</c:v>
                </c:pt>
                <c:pt idx="1">
                  <c:v>25.222499999999993</c:v>
                </c:pt>
                <c:pt idx="2">
                  <c:v>25.222499999999997</c:v>
                </c:pt>
                <c:pt idx="3">
                  <c:v>22.35466666666667</c:v>
                </c:pt>
                <c:pt idx="4">
                  <c:v>22.35466666666667</c:v>
                </c:pt>
                <c:pt idx="5">
                  <c:v>22.35466666666667</c:v>
                </c:pt>
                <c:pt idx="6">
                  <c:v>20.995000000000001</c:v>
                </c:pt>
                <c:pt idx="7">
                  <c:v>20.995000000000001</c:v>
                </c:pt>
                <c:pt idx="8">
                  <c:v>20.995000000000001</c:v>
                </c:pt>
                <c:pt idx="9">
                  <c:v>20.994999999999997</c:v>
                </c:pt>
                <c:pt idx="10">
                  <c:v>23.028750000000002</c:v>
                </c:pt>
                <c:pt idx="11">
                  <c:v>23.028750000000002</c:v>
                </c:pt>
                <c:pt idx="12">
                  <c:v>23.028749999999999</c:v>
                </c:pt>
                <c:pt idx="13">
                  <c:v>23.048750000000005</c:v>
                </c:pt>
              </c:numCache>
            </c:numRef>
          </c:val>
          <c:smooth val="0"/>
          <c:extLst xmlns:c16r2="http://schemas.microsoft.com/office/drawing/2015/06/chart">
            <c:ext xmlns:c16="http://schemas.microsoft.com/office/drawing/2014/chart" uri="{C3380CC4-5D6E-409C-BE32-E72D297353CC}">
              <c16:uniqueId val="{00000001-7850-473D-8735-EC3B9AD8424C}"/>
            </c:ext>
          </c:extLst>
        </c:ser>
        <c:dLbls>
          <c:showLegendKey val="0"/>
          <c:showVal val="0"/>
          <c:showCatName val="0"/>
          <c:showSerName val="0"/>
          <c:showPercent val="0"/>
          <c:showBubbleSize val="0"/>
        </c:dLbls>
        <c:marker val="1"/>
        <c:smooth val="0"/>
        <c:axId val="-1805684944"/>
        <c:axId val="-1805681136"/>
      </c:lineChart>
      <c:catAx>
        <c:axId val="-180568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05681136"/>
        <c:crosses val="autoZero"/>
        <c:auto val="1"/>
        <c:lblAlgn val="ctr"/>
        <c:lblOffset val="5"/>
        <c:tickMarkSkip val="5"/>
        <c:noMultiLvlLbl val="0"/>
      </c:catAx>
      <c:valAx>
        <c:axId val="-1805681136"/>
        <c:scaling>
          <c:orientation val="minMax"/>
          <c:max val="50"/>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05684944"/>
        <c:crosses val="autoZero"/>
        <c:crossBetween val="between"/>
      </c:valAx>
      <c:spPr>
        <a:noFill/>
        <a:ln>
          <a:noFill/>
        </a:ln>
        <a:effectLst/>
      </c:spPr>
    </c:plotArea>
    <c:legend>
      <c:legendPos val="b"/>
      <c:layout>
        <c:manualLayout>
          <c:xMode val="edge"/>
          <c:yMode val="edge"/>
          <c:x val="0.26300315200325985"/>
          <c:y val="8.8073128789935742E-2"/>
          <c:w val="0.72759861624276567"/>
          <c:h val="0.1453918780985710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[Bank_OI.xlsm]PCR!PivotTable2</c:name>
    <c:fmtId val="91"/>
  </c:pivotSource>
  <c:chart>
    <c:autoTitleDeleted val="1"/>
    <c:pivotFmts>
      <c:pivotFmt>
        <c:idx val="0"/>
        <c:spPr>
          <a:solidFill>
            <a:schemeClr val="dk1">
              <a:tint val="88500"/>
            </a:schemeClr>
          </a:solidFill>
          <a:ln>
            <a:noFill/>
          </a:ln>
          <a:effectLst/>
        </c:spPr>
        <c:marker>
          <c:symbol val="none"/>
        </c:marker>
      </c:pivotFmt>
      <c:pivotFmt>
        <c:idx val="1"/>
        <c:spPr>
          <a:solidFill>
            <a:schemeClr val="dk1">
              <a:tint val="88500"/>
            </a:schemeClr>
          </a:solidFill>
          <a:ln>
            <a:noFill/>
          </a:ln>
          <a:effectLst/>
        </c:spPr>
        <c:marker>
          <c:symbol val="none"/>
        </c:marker>
      </c:pivotFmt>
      <c:pivotFmt>
        <c:idx val="2"/>
        <c:spPr>
          <a:solidFill>
            <a:schemeClr val="bg1"/>
          </a:solidFill>
          <a:ln>
            <a:solidFill>
              <a:schemeClr val="bg1"/>
            </a:solidFill>
          </a:ln>
          <a:effectLst/>
        </c:spPr>
        <c:marker>
          <c:symbol val="none"/>
        </c:marker>
      </c:pivotFmt>
    </c:pivotFmts>
    <c:plotArea>
      <c:layout>
        <c:manualLayout>
          <c:layoutTarget val="inner"/>
          <c:xMode val="edge"/>
          <c:yMode val="edge"/>
          <c:x val="0.18666141732283464"/>
          <c:y val="0.15167901480669346"/>
          <c:w val="0.74667191601049865"/>
          <c:h val="0.53809229542509718"/>
        </c:manualLayout>
      </c:layout>
      <c:barChart>
        <c:barDir val="col"/>
        <c:grouping val="clustered"/>
        <c:varyColors val="0"/>
        <c:ser>
          <c:idx val="0"/>
          <c:order val="0"/>
          <c:tx>
            <c:strRef>
              <c:f>PCR!$B$3</c:f>
              <c:strCache>
                <c:ptCount val="1"/>
                <c:pt idx="0">
                  <c:v>Total</c:v>
                </c:pt>
              </c:strCache>
            </c:strRef>
          </c:tx>
          <c:spPr>
            <a:solidFill>
              <a:schemeClr val="bg1"/>
            </a:solidFill>
            <a:ln>
              <a:solidFill>
                <a:schemeClr val="bg1"/>
              </a:solidFill>
            </a:ln>
            <a:effectLst/>
          </c:spPr>
          <c:invertIfNegative val="0"/>
          <c:cat>
            <c:strRef>
              <c:f>PCR!$A$4:$A$19</c:f>
              <c:strCache>
                <c:ptCount val="15"/>
                <c:pt idx="0">
                  <c:v> 13:14</c:v>
                </c:pt>
                <c:pt idx="1">
                  <c:v> 13:17</c:v>
                </c:pt>
                <c:pt idx="2">
                  <c:v> 13:19</c:v>
                </c:pt>
                <c:pt idx="3">
                  <c:v> 13:23</c:v>
                </c:pt>
                <c:pt idx="4">
                  <c:v> 13:24</c:v>
                </c:pt>
                <c:pt idx="5">
                  <c:v> 13:28</c:v>
                </c:pt>
                <c:pt idx="6">
                  <c:v> 13:32</c:v>
                </c:pt>
                <c:pt idx="7">
                  <c:v> 13:33</c:v>
                </c:pt>
                <c:pt idx="8">
                  <c:v> 13:36</c:v>
                </c:pt>
                <c:pt idx="9">
                  <c:v> 13:39</c:v>
                </c:pt>
                <c:pt idx="10">
                  <c:v> 13:42</c:v>
                </c:pt>
                <c:pt idx="11">
                  <c:v> 13:44</c:v>
                </c:pt>
                <c:pt idx="12">
                  <c:v> 13:47</c:v>
                </c:pt>
                <c:pt idx="13">
                  <c:v> 13:51</c:v>
                </c:pt>
                <c:pt idx="14">
                  <c:v>(blank)</c:v>
                </c:pt>
              </c:strCache>
            </c:strRef>
          </c:cat>
          <c:val>
            <c:numRef>
              <c:f>PCR!$B$4:$B$19</c:f>
              <c:numCache>
                <c:formatCode>0.00</c:formatCode>
                <c:ptCount val="15"/>
                <c:pt idx="0">
                  <c:v>0.85058208178344274</c:v>
                </c:pt>
                <c:pt idx="1">
                  <c:v>0.85064246625782447</c:v>
                </c:pt>
                <c:pt idx="2">
                  <c:v>0.86581178101530654</c:v>
                </c:pt>
                <c:pt idx="3">
                  <c:v>0.86687978442482039</c:v>
                </c:pt>
                <c:pt idx="4">
                  <c:v>0.86650754601539792</c:v>
                </c:pt>
                <c:pt idx="5">
                  <c:v>0.86832785548676394</c:v>
                </c:pt>
                <c:pt idx="6">
                  <c:v>0.86249877163117861</c:v>
                </c:pt>
                <c:pt idx="7">
                  <c:v>0.85990588041163829</c:v>
                </c:pt>
                <c:pt idx="8">
                  <c:v>0.84151928387232877</c:v>
                </c:pt>
                <c:pt idx="9">
                  <c:v>0.83738113393031566</c:v>
                </c:pt>
                <c:pt idx="10">
                  <c:v>0.83667617257000093</c:v>
                </c:pt>
                <c:pt idx="11">
                  <c:v>0.83668248179787763</c:v>
                </c:pt>
                <c:pt idx="12">
                  <c:v>0.83496534203180384</c:v>
                </c:pt>
                <c:pt idx="13">
                  <c:v>0.83480357360634672</c:v>
                </c:pt>
              </c:numCache>
            </c:numRef>
          </c:val>
          <c:extLst xmlns:c16r2="http://schemas.microsoft.com/office/drawing/2015/06/chart">
            <c:ext xmlns:c16="http://schemas.microsoft.com/office/drawing/2014/chart" uri="{C3380CC4-5D6E-409C-BE32-E72D297353CC}">
              <c16:uniqueId val="{00000000-EDF3-4573-9702-74F195B9DAF4}"/>
            </c:ext>
          </c:extLst>
        </c:ser>
        <c:dLbls>
          <c:showLegendKey val="0"/>
          <c:showVal val="0"/>
          <c:showCatName val="0"/>
          <c:showSerName val="0"/>
          <c:showPercent val="0"/>
          <c:showBubbleSize val="0"/>
        </c:dLbls>
        <c:gapWidth val="219"/>
        <c:overlap val="-27"/>
        <c:axId val="-1805682768"/>
        <c:axId val="-1805687664"/>
      </c:barChart>
      <c:catAx>
        <c:axId val="-1805682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05687664"/>
        <c:crosses val="autoZero"/>
        <c:auto val="1"/>
        <c:lblAlgn val="ctr"/>
        <c:lblOffset val="100"/>
        <c:noMultiLvlLbl val="0"/>
      </c:catAx>
      <c:valAx>
        <c:axId val="-180568766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05682768"/>
        <c:crosses val="autoZero"/>
        <c:crossBetween val="between"/>
      </c:valAx>
      <c:spPr>
        <a:noFill/>
        <a:ln>
          <a:noFill/>
        </a:ln>
        <a:effectLst/>
      </c:spPr>
    </c:plotArea>
    <c:plotVisOnly val="1"/>
    <c:dispBlanksAs val="gap"/>
    <c:showDLblsOverMax val="0"/>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3"/>
  <c:extLst xmlns:c16r2="http://schemas.microsoft.com/office/drawing/2015/06/chart">
    <c:ext xmlns:c14="http://schemas.microsoft.com/office/drawing/2007/8/2/chart" uri="{781A3756-C4B2-4CAC-9D66-4F8BD8637D16}">
      <c14:pivotOptions>
        <c14:dropZoneFilter val="1"/>
        <c14:dropZoneCategories val="1"/>
        <c14:dropZoneData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12</xdr:col>
      <xdr:colOff>486832</xdr:colOff>
      <xdr:row>24</xdr:row>
      <xdr:rowOff>155576</xdr:rowOff>
    </xdr:from>
    <xdr:to>
      <xdr:col>19</xdr:col>
      <xdr:colOff>0</xdr:colOff>
      <xdr:row>43</xdr:row>
      <xdr:rowOff>179917</xdr:rowOff>
    </xdr:to>
    <xdr:graphicFrame macro="">
      <xdr:nvGraphicFramePr>
        <xdr:cNvPr id="5" name="Chart 4">
          <a:extLst>
            <a:ext uri="{FF2B5EF4-FFF2-40B4-BE49-F238E27FC236}">
              <a16:creationId xmlns=""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24</xdr:row>
      <xdr:rowOff>152400</xdr:rowOff>
    </xdr:from>
    <xdr:to>
      <xdr:col>11</xdr:col>
      <xdr:colOff>158750</xdr:colOff>
      <xdr:row>43</xdr:row>
      <xdr:rowOff>179917</xdr:rowOff>
    </xdr:to>
    <xdr:graphicFrame macro="">
      <xdr:nvGraphicFramePr>
        <xdr:cNvPr id="6" name="Chart 5">
          <a:extLst>
            <a:ext uri="{FF2B5EF4-FFF2-40B4-BE49-F238E27FC236}">
              <a16:creationId xmlns=""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46</xdr:row>
      <xdr:rowOff>105832</xdr:rowOff>
    </xdr:from>
    <xdr:to>
      <xdr:col>11</xdr:col>
      <xdr:colOff>190499</xdr:colOff>
      <xdr:row>65</xdr:row>
      <xdr:rowOff>10583</xdr:rowOff>
    </xdr:to>
    <xdr:graphicFrame macro="">
      <xdr:nvGraphicFramePr>
        <xdr:cNvPr id="7" name="Chart 6">
          <a:extLst>
            <a:ext uri="{FF2B5EF4-FFF2-40B4-BE49-F238E27FC236}">
              <a16:creationId xmlns=""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497416</xdr:colOff>
      <xdr:row>46</xdr:row>
      <xdr:rowOff>116417</xdr:rowOff>
    </xdr:from>
    <xdr:to>
      <xdr:col>19</xdr:col>
      <xdr:colOff>0</xdr:colOff>
      <xdr:row>65</xdr:row>
      <xdr:rowOff>63500</xdr:rowOff>
    </xdr:to>
    <xdr:graphicFrame macro="">
      <xdr:nvGraphicFramePr>
        <xdr:cNvPr id="8" name="Chart 7">
          <a:extLst>
            <a:ext uri="{FF2B5EF4-FFF2-40B4-BE49-F238E27FC236}">
              <a16:creationId xmlns=""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0</xdr:rowOff>
    </xdr:from>
    <xdr:to>
      <xdr:col>8</xdr:col>
      <xdr:colOff>314324</xdr:colOff>
      <xdr:row>22</xdr:row>
      <xdr:rowOff>47625</xdr:rowOff>
    </xdr:to>
    <xdr:graphicFrame macro="">
      <xdr:nvGraphicFramePr>
        <xdr:cNvPr id="4" name="Chart 3">
          <a:extLst>
            <a:ext uri="{FF2B5EF4-FFF2-40B4-BE49-F238E27FC236}">
              <a16:creationId xmlns=""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xdr:colOff>
      <xdr:row>1</xdr:row>
      <xdr:rowOff>9525</xdr:rowOff>
    </xdr:from>
    <xdr:to>
      <xdr:col>8</xdr:col>
      <xdr:colOff>304800</xdr:colOff>
      <xdr:row>2</xdr:row>
      <xdr:rowOff>85725</xdr:rowOff>
    </xdr:to>
    <xdr:sp macro="" textlink="">
      <xdr:nvSpPr>
        <xdr:cNvPr id="2" name="Rectangle 1">
          <a:extLst>
            <a:ext uri="{FF2B5EF4-FFF2-40B4-BE49-F238E27FC236}">
              <a16:creationId xmlns="" xmlns:a16="http://schemas.microsoft.com/office/drawing/2014/main" id="{00000000-0008-0000-0200-000002000000}"/>
            </a:ext>
          </a:extLst>
        </xdr:cNvPr>
        <xdr:cNvSpPr/>
      </xdr:nvSpPr>
      <xdr:spPr>
        <a:xfrm>
          <a:off x="9525" y="9525"/>
          <a:ext cx="5172075" cy="266700"/>
        </a:xfrm>
        <a:prstGeom prst="rect">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Call</a:t>
          </a:r>
        </a:p>
      </xdr:txBody>
    </xdr:sp>
    <xdr:clientData/>
  </xdr:twoCellAnchor>
  <xdr:twoCellAnchor>
    <xdr:from>
      <xdr:col>8</xdr:col>
      <xdr:colOff>304800</xdr:colOff>
      <xdr:row>0</xdr:row>
      <xdr:rowOff>304799</xdr:rowOff>
    </xdr:from>
    <xdr:to>
      <xdr:col>17</xdr:col>
      <xdr:colOff>38100</xdr:colOff>
      <xdr:row>22</xdr:row>
      <xdr:rowOff>76200</xdr:rowOff>
    </xdr:to>
    <xdr:grpSp>
      <xdr:nvGrpSpPr>
        <xdr:cNvPr id="10" name="Group 9">
          <a:extLst>
            <a:ext uri="{FF2B5EF4-FFF2-40B4-BE49-F238E27FC236}">
              <a16:creationId xmlns="" xmlns:a16="http://schemas.microsoft.com/office/drawing/2014/main" id="{00000000-0008-0000-0200-00000A000000}"/>
            </a:ext>
          </a:extLst>
        </xdr:cNvPr>
        <xdr:cNvGrpSpPr/>
      </xdr:nvGrpSpPr>
      <xdr:grpSpPr>
        <a:xfrm>
          <a:off x="5181600" y="304799"/>
          <a:ext cx="5219700" cy="4076701"/>
          <a:chOff x="5210175" y="28574"/>
          <a:chExt cx="5219700" cy="4076701"/>
        </a:xfrm>
      </xdr:grpSpPr>
      <xdr:graphicFrame macro="">
        <xdr:nvGraphicFramePr>
          <xdr:cNvPr id="5" name="Chart 4">
            <a:extLst>
              <a:ext uri="{FF2B5EF4-FFF2-40B4-BE49-F238E27FC236}">
                <a16:creationId xmlns="" xmlns:a16="http://schemas.microsoft.com/office/drawing/2014/main" id="{00000000-0008-0000-0200-000005000000}"/>
              </a:ext>
            </a:extLst>
          </xdr:cNvPr>
          <xdr:cNvGraphicFramePr>
            <a:graphicFrameLocks/>
          </xdr:cNvGraphicFramePr>
        </xdr:nvGraphicFramePr>
        <xdr:xfrm>
          <a:off x="5210175" y="28574"/>
          <a:ext cx="5219700" cy="4076701"/>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7" name="Rectangle 6">
            <a:extLst>
              <a:ext uri="{FF2B5EF4-FFF2-40B4-BE49-F238E27FC236}">
                <a16:creationId xmlns="" xmlns:a16="http://schemas.microsoft.com/office/drawing/2014/main" id="{00000000-0008-0000-0200-000007000000}"/>
              </a:ext>
            </a:extLst>
          </xdr:cNvPr>
          <xdr:cNvSpPr/>
        </xdr:nvSpPr>
        <xdr:spPr>
          <a:xfrm>
            <a:off x="5219700" y="38100"/>
            <a:ext cx="5172075" cy="266700"/>
          </a:xfrm>
          <a:prstGeom prst="rect">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Put</a:t>
            </a:r>
          </a:p>
        </xdr:txBody>
      </xdr:sp>
    </xdr:grpSp>
    <xdr:clientData/>
  </xdr:twoCellAnchor>
  <xdr:twoCellAnchor>
    <xdr:from>
      <xdr:col>17</xdr:col>
      <xdr:colOff>57150</xdr:colOff>
      <xdr:row>0</xdr:row>
      <xdr:rowOff>304799</xdr:rowOff>
    </xdr:from>
    <xdr:to>
      <xdr:col>20</xdr:col>
      <xdr:colOff>314325</xdr:colOff>
      <xdr:row>16</xdr:row>
      <xdr:rowOff>180974</xdr:rowOff>
    </xdr:to>
    <xdr:grpSp>
      <xdr:nvGrpSpPr>
        <xdr:cNvPr id="9" name="Group 8">
          <a:extLst>
            <a:ext uri="{FF2B5EF4-FFF2-40B4-BE49-F238E27FC236}">
              <a16:creationId xmlns="" xmlns:a16="http://schemas.microsoft.com/office/drawing/2014/main" id="{00000000-0008-0000-0200-000009000000}"/>
            </a:ext>
          </a:extLst>
        </xdr:cNvPr>
        <xdr:cNvGrpSpPr/>
      </xdr:nvGrpSpPr>
      <xdr:grpSpPr>
        <a:xfrm>
          <a:off x="10420350" y="304799"/>
          <a:ext cx="2085975" cy="3038475"/>
          <a:chOff x="10439400" y="57149"/>
          <a:chExt cx="1895475" cy="3277456"/>
        </a:xfrm>
      </xdr:grpSpPr>
      <xdr:graphicFrame macro="">
        <xdr:nvGraphicFramePr>
          <xdr:cNvPr id="6" name="Chart 5">
            <a:extLst>
              <a:ext uri="{FF2B5EF4-FFF2-40B4-BE49-F238E27FC236}">
                <a16:creationId xmlns="" xmlns:a16="http://schemas.microsoft.com/office/drawing/2014/main" id="{00000000-0008-0000-0200-000006000000}"/>
              </a:ext>
            </a:extLst>
          </xdr:cNvPr>
          <xdr:cNvGraphicFramePr>
            <a:graphicFrameLocks/>
          </xdr:cNvGraphicFramePr>
        </xdr:nvGraphicFramePr>
        <xdr:xfrm>
          <a:off x="10439400" y="57149"/>
          <a:ext cx="1895475" cy="3277456"/>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8" name="Rectangle 7">
            <a:extLst>
              <a:ext uri="{FF2B5EF4-FFF2-40B4-BE49-F238E27FC236}">
                <a16:creationId xmlns="" xmlns:a16="http://schemas.microsoft.com/office/drawing/2014/main" id="{00000000-0008-0000-0200-000008000000}"/>
              </a:ext>
            </a:extLst>
          </xdr:cNvPr>
          <xdr:cNvSpPr/>
        </xdr:nvSpPr>
        <xdr:spPr>
          <a:xfrm>
            <a:off x="10458450" y="114300"/>
            <a:ext cx="1857375" cy="477106"/>
          </a:xfrm>
          <a:prstGeom prst="rect">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IV</a:t>
            </a:r>
          </a:p>
        </xdr:txBody>
      </xdr:sp>
    </xdr:grpSp>
    <xdr:clientData/>
  </xdr:twoCellAnchor>
  <xdr:twoCellAnchor>
    <xdr:from>
      <xdr:col>17</xdr:col>
      <xdr:colOff>57150</xdr:colOff>
      <xdr:row>14</xdr:row>
      <xdr:rowOff>180975</xdr:rowOff>
    </xdr:from>
    <xdr:to>
      <xdr:col>20</xdr:col>
      <xdr:colOff>323850</xdr:colOff>
      <xdr:row>26</xdr:row>
      <xdr:rowOff>152400</xdr:rowOff>
    </xdr:to>
    <xdr:graphicFrame macro="">
      <xdr:nvGraphicFramePr>
        <xdr:cNvPr id="11" name="Chart 10">
          <a:extLst>
            <a:ext uri="{FF2B5EF4-FFF2-40B4-BE49-F238E27FC236}">
              <a16:creationId xmlns=""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47625</xdr:colOff>
      <xdr:row>20</xdr:row>
      <xdr:rowOff>9525</xdr:rowOff>
    </xdr:from>
    <xdr:to>
      <xdr:col>17</xdr:col>
      <xdr:colOff>123825</xdr:colOff>
      <xdr:row>24</xdr:row>
      <xdr:rowOff>171450</xdr:rowOff>
    </xdr:to>
    <mc:AlternateContent xmlns:mc="http://schemas.openxmlformats.org/markup-compatibility/2006" xmlns:a14="http://schemas.microsoft.com/office/drawing/2010/main">
      <mc:Choice Requires="a14">
        <xdr:graphicFrame macro="">
          <xdr:nvGraphicFramePr>
            <xdr:cNvPr id="3" name="strike">
              <a:extLst>
                <a:ext uri="{FF2B5EF4-FFF2-40B4-BE49-F238E27FC236}">
                  <a16:creationId xmlns=""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strike"/>
            </a:graphicData>
          </a:graphic>
        </xdr:graphicFrame>
      </mc:Choice>
      <mc:Fallback xmlns="">
        <xdr:sp macro="" textlink="">
          <xdr:nvSpPr>
            <xdr:cNvPr id="0" name=""/>
            <xdr:cNvSpPr>
              <a:spLocks noTextEdit="1"/>
            </xdr:cNvSpPr>
          </xdr:nvSpPr>
          <xdr:spPr>
            <a:xfrm>
              <a:off x="47625" y="3933825"/>
              <a:ext cx="10439400" cy="923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cdr:x>
      <cdr:y>0.02672</cdr:y>
    </cdr:from>
    <cdr:to>
      <cdr:x>0.97545</cdr:x>
      <cdr:y>0.11111</cdr:y>
    </cdr:to>
    <cdr:sp macro="" textlink="">
      <cdr:nvSpPr>
        <cdr:cNvPr id="2" name="Rectangle 1"/>
        <cdr:cNvSpPr/>
      </cdr:nvSpPr>
      <cdr:spPr>
        <a:xfrm xmlns:a="http://schemas.openxmlformats.org/drawingml/2006/main">
          <a:off x="0" y="60317"/>
          <a:ext cx="2044055" cy="190504"/>
        </a:xfrm>
        <a:prstGeom xmlns:a="http://schemas.openxmlformats.org/drawingml/2006/main" prst="rect">
          <a:avLst/>
        </a:prstGeom>
        <a:solidFill xmlns:a="http://schemas.openxmlformats.org/drawingml/2006/main">
          <a:schemeClr val="tx1">
            <a:lumMod val="85000"/>
            <a:lumOff val="15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600" b="1">
              <a:solidFill>
                <a:schemeClr val="bg1"/>
              </a:solidFill>
            </a:rPr>
            <a:t>PCR</a:t>
          </a:r>
        </a:p>
      </cdr:txBody>
    </cdr: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38100</xdr:colOff>
          <xdr:row>0</xdr:row>
          <xdr:rowOff>238125</xdr:rowOff>
        </xdr:to>
        <xdr:sp macro="" textlink="">
          <xdr:nvSpPr>
            <xdr:cNvPr id="7169" name="Button 1" hidden="1">
              <a:extLst>
                <a:ext uri="{63B3BB69-23CF-44E3-9099-C40C66FF867C}">
                  <a14:compatExt spid="_x0000_s7169"/>
                </a:ext>
                <a:ext uri="{FF2B5EF4-FFF2-40B4-BE49-F238E27FC236}">
                  <a16:creationId xmlns=""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8000"/>
                  </a:solidFill>
                  <a:latin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257175</xdr:rowOff>
        </xdr:from>
        <xdr:to>
          <xdr:col>1</xdr:col>
          <xdr:colOff>9525</xdr:colOff>
          <xdr:row>0</xdr:row>
          <xdr:rowOff>495300</xdr:rowOff>
        </xdr:to>
        <xdr:sp macro="" textlink="">
          <xdr:nvSpPr>
            <xdr:cNvPr id="7170" name="Button 2" hidden="1">
              <a:extLst>
                <a:ext uri="{63B3BB69-23CF-44E3-9099-C40C66FF867C}">
                  <a14:compatExt spid="_x0000_s7170"/>
                </a:ext>
                <a:ext uri="{FF2B5EF4-FFF2-40B4-BE49-F238E27FC236}">
                  <a16:creationId xmlns=""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400050</xdr:rowOff>
        </xdr:from>
        <xdr:to>
          <xdr:col>2</xdr:col>
          <xdr:colOff>19050</xdr:colOff>
          <xdr:row>0</xdr:row>
          <xdr:rowOff>581025</xdr:rowOff>
        </xdr:to>
        <xdr:sp macro="" textlink="">
          <xdr:nvSpPr>
            <xdr:cNvPr id="7171" name="Button 3" hidden="1">
              <a:extLst>
                <a:ext uri="{63B3BB69-23CF-44E3-9099-C40C66FF867C}">
                  <a14:compatExt spid="_x0000_s7171"/>
                </a:ext>
                <a:ext uri="{FF2B5EF4-FFF2-40B4-BE49-F238E27FC236}">
                  <a16:creationId xmlns="" xmlns:a16="http://schemas.microsoft.com/office/drawing/2014/main" id="{00000000-0008-0000-03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Copy_BN</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Administrator" refreshedDate="43858.619247222225" createdVersion="5" refreshedVersion="5" minRefreshableVersion="3" recordCount="1536">
  <cacheSource type="worksheet">
    <worksheetSource ref="B1:T2677" sheet="BankNifty_2"/>
  </cacheSource>
  <cacheFields count="19">
    <cacheField name="Time" numFmtId="0">
      <sharedItems containsBlank="1" containsMixedTypes="1" containsNumber="1" minValue="8.3000000000000007" maxValue="8.3000000000000007" count="16">
        <s v=" 13:14"/>
        <s v=" 13:17"/>
        <s v=" 13:19"/>
        <s v=" 13:23"/>
        <s v=" 13:24"/>
        <s v=" 13:28"/>
        <s v=" 13:32"/>
        <s v=" 13:33"/>
        <s v=" 13:36"/>
        <s v=" 13:39"/>
        <s v=" 13:42"/>
        <s v=" 13:44"/>
        <s v=" 13:47"/>
        <s v=" 13:51"/>
        <m/>
        <n v="8.3000000000000007" u="1"/>
      </sharedItems>
    </cacheField>
    <cacheField name="Interpretation" numFmtId="0">
      <sharedItems containsBlank="1" containsMixedTypes="1" containsNumber="1" minValue="0.83480357360634672" maxValue="0.86832785548676394"/>
    </cacheField>
    <cacheField name="OI change_up or down" numFmtId="0">
      <sharedItems containsBlank="1"/>
    </cacheField>
    <cacheField name="Call Volume" numFmtId="0">
      <sharedItems containsString="0" containsBlank="1" containsNumber="1" containsInteger="1" minValue="161" maxValue="614557"/>
    </cacheField>
    <cacheField name="Call Net OI" numFmtId="0">
      <sharedItems containsString="0" containsBlank="1" containsNumber="1" containsInteger="1" minValue="1440" maxValue="6395780"/>
    </cacheField>
    <cacheField name="Call change in OI" numFmtId="0">
      <sharedItems containsString="0" containsBlank="1" containsNumber="1" containsInteger="1" minValue="580" maxValue="298820"/>
    </cacheField>
    <cacheField name="Call IV" numFmtId="0">
      <sharedItems containsBlank="1" containsMixedTypes="1" containsNumber="1" minValue="18.75" maxValue="34.840000000000003"/>
    </cacheField>
    <cacheField name="Call Price change" numFmtId="0">
      <sharedItems containsString="0" containsBlank="1" containsNumber="1" minValue="-9.6999999999999993" maxValue="170.35"/>
    </cacheField>
    <cacheField name="Call LTP" numFmtId="0">
      <sharedItems containsString="0" containsBlank="1" containsNumber="1" minValue="20" maxValue="861.15"/>
    </cacheField>
    <cacheField name="strike" numFmtId="0">
      <sharedItems containsBlank="1" containsMixedTypes="1" containsNumber="1" containsInteger="1" minValue="15000" maxValue="33200" count="69">
        <n v="30200"/>
        <n v="30300"/>
        <n v="30400"/>
        <n v="30500"/>
        <n v="30600"/>
        <n v="30700"/>
        <n v="30800"/>
        <n v="30900"/>
        <n v="31000"/>
        <n v="31100"/>
        <n v="31200"/>
        <n v="31300"/>
        <n v="31400"/>
        <n v="31500"/>
        <n v="31600"/>
        <n v="31700"/>
        <s v="PCR"/>
        <m/>
        <n v="32400" u="1"/>
        <n v="16100" u="1"/>
        <n v="29600" u="1"/>
        <n v="15400" u="1"/>
        <n v="28900" u="1"/>
        <n v="28200" u="1"/>
        <n v="32500" u="1"/>
        <n v="32800" u="1"/>
        <n v="31800" u="1"/>
        <n v="15800" u="1"/>
        <n v="29700" u="1"/>
        <n v="29000" u="1"/>
        <n v="32900" u="1"/>
        <n v="15100" u="1"/>
        <n v="28300" u="1"/>
        <n v="32600" u="1"/>
        <n v="33000" u="1"/>
        <n v="31900" u="1"/>
        <n v="16200" u="1"/>
        <n v="29800" u="1"/>
        <n v="15500" u="1"/>
        <n v="29100" u="1"/>
        <n v="33100" u="1"/>
        <n v="28400" u="1"/>
        <n v="32700" u="1"/>
        <n v="33200" u="1"/>
        <n v="32000" u="1"/>
        <n v="16400" u="1"/>
        <n v="15900" u="1"/>
        <n v="29900" u="1"/>
        <n v="29200" u="1"/>
        <n v="15200" u="1"/>
        <n v="28500" u="1"/>
        <n v="32100" u="1"/>
        <n v="16300" u="1"/>
        <n v="16500" u="1"/>
        <n v="30000" u="1"/>
        <n v="15600" u="1"/>
        <n v="29300" u="1"/>
        <n v="28600" u="1"/>
        <n v="32200" u="1"/>
        <n v="16000" u="1"/>
        <n v="30100" u="1"/>
        <n v="29400" u="1"/>
        <n v="15300" u="1"/>
        <n v="28700" u="1"/>
        <n v="32300" u="1"/>
        <n v="15700" u="1"/>
        <n v="29500" u="1"/>
        <n v="28800" u="1"/>
        <n v="15000" u="1"/>
      </sharedItems>
    </cacheField>
    <cacheField name="Put LTP" numFmtId="0">
      <sharedItems containsString="0" containsBlank="1" containsNumber="1" minValue="17.899999999999999" maxValue="768.55"/>
    </cacheField>
    <cacheField name="Put Price Change" numFmtId="0">
      <sharedItems containsString="0" containsBlank="1" containsNumber="1" minValue="-173.7" maxValue="-19.100000000000001"/>
    </cacheField>
    <cacheField name="Put IV" numFmtId="0">
      <sharedItems containsBlank="1" containsMixedTypes="1" containsNumber="1" minValue="12.8" maxValue="29.09"/>
    </cacheField>
    <cacheField name="Put Change in OI" numFmtId="0">
      <sharedItems containsBlank="1" containsMixedTypes="1" containsNumber="1" containsInteger="1" minValue="-16040" maxValue="395960"/>
    </cacheField>
    <cacheField name="Put Net OI" numFmtId="0">
      <sharedItems containsString="0" containsBlank="1" containsNumber="1" containsInteger="1" minValue="10100" maxValue="5456020"/>
    </cacheField>
    <cacheField name="Put Volume" numFmtId="0">
      <sharedItems containsString="0" containsBlank="1" containsNumber="1" containsInteger="1" minValue="266" maxValue="648532"/>
    </cacheField>
    <cacheField name="OI change_up or down2" numFmtId="0">
      <sharedItems containsBlank="1"/>
    </cacheField>
    <cacheField name="Interpretation2" numFmtId="0">
      <sharedItems containsBlank="1"/>
    </cacheField>
    <cacheField name="BankNifty" numFmtId="0">
      <sharedItems containsString="0" containsBlank="1" containsNumber="1" minValue="30953.15" maxValue="31025.4"/>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1536">
  <r>
    <x v="0"/>
    <s v="n"/>
    <s v="UP"/>
    <n v="161"/>
    <n v="1500"/>
    <n v="1080"/>
    <s v="-"/>
    <n v="140.19999999999999"/>
    <n v="861.15"/>
    <x v="0"/>
    <n v="17.95"/>
    <n v="-22.2"/>
    <n v="25.27"/>
    <n v="56440"/>
    <n v="270500"/>
    <n v="142556"/>
    <s v="UP"/>
    <s v="Short Buildup"/>
    <n v="31025.4"/>
  </r>
  <r>
    <x v="0"/>
    <s v="Long Buildup"/>
    <s v="UP"/>
    <n v="586"/>
    <n v="5000"/>
    <n v="2840"/>
    <s v="-"/>
    <n v="170.35"/>
    <n v="800"/>
    <x v="1"/>
    <n v="23.25"/>
    <n v="-29.4"/>
    <n v="24.8"/>
    <n v="88720"/>
    <n v="235020"/>
    <n v="184780"/>
    <s v="UP"/>
    <s v="Short Buildup"/>
    <n v="31025.4"/>
  </r>
  <r>
    <x v="0"/>
    <s v="Long Buildup"/>
    <s v="UP"/>
    <n v="868"/>
    <n v="2220"/>
    <n v="820"/>
    <n v="18.75"/>
    <n v="121.7"/>
    <n v="675.05"/>
    <x v="2"/>
    <n v="31.2"/>
    <n v="-38.549999999999997"/>
    <n v="24.54"/>
    <n v="151920"/>
    <n v="283240"/>
    <n v="269555"/>
    <s v="UP"/>
    <s v="Short Buildup"/>
    <n v="31025.4"/>
  </r>
  <r>
    <x v="0"/>
    <s v="Long Buildup"/>
    <s v="UP"/>
    <n v="12213"/>
    <n v="54900"/>
    <n v="6880"/>
    <n v="18.89"/>
    <n v="106.45"/>
    <n v="580"/>
    <x v="3"/>
    <n v="42.65"/>
    <n v="-49.6"/>
    <n v="24.42"/>
    <n v="350980"/>
    <n v="889320"/>
    <n v="579318"/>
    <s v="UP"/>
    <s v="Short Buildup"/>
    <n v="31025.4"/>
  </r>
  <r>
    <x v="0"/>
    <s v="Long Buildup"/>
    <s v="UP"/>
    <n v="9970"/>
    <n v="20460"/>
    <n v="4080"/>
    <n v="19.420000000000002"/>
    <n v="92.95"/>
    <n v="496.5"/>
    <x v="4"/>
    <n v="57.05"/>
    <n v="-61.2"/>
    <n v="24.28"/>
    <n v="228000"/>
    <n v="401820"/>
    <n v="337776"/>
    <s v="UP"/>
    <s v="Short Buildup"/>
    <n v="31025.4"/>
  </r>
  <r>
    <x v="0"/>
    <s v="Long Buildup"/>
    <s v="UP"/>
    <n v="44784"/>
    <n v="56980"/>
    <n v="28780"/>
    <n v="19.79"/>
    <n v="84.6"/>
    <n v="417.05"/>
    <x v="5"/>
    <n v="76.099999999999994"/>
    <n v="-76.099999999999994"/>
    <n v="24.03"/>
    <n v="313980"/>
    <n v="486460"/>
    <n v="397821"/>
    <s v="UP"/>
    <s v="Short Buildup"/>
    <n v="31025.4"/>
  </r>
  <r>
    <x v="0"/>
    <s v="Long Buildup"/>
    <s v="UP"/>
    <n v="145942"/>
    <n v="222420"/>
    <n v="79800"/>
    <n v="20.46"/>
    <n v="73.5"/>
    <n v="347.15"/>
    <x v="6"/>
    <n v="101.45"/>
    <n v="-89.7"/>
    <n v="23.85"/>
    <n v="334420"/>
    <n v="592060"/>
    <n v="401097"/>
    <s v="UP"/>
    <s v="Short Buildup"/>
    <n v="31025.4"/>
  </r>
  <r>
    <x v="0"/>
    <s v="Long Buildup"/>
    <s v="UP"/>
    <n v="256623"/>
    <n v="401560"/>
    <n v="181360"/>
    <n v="20.61"/>
    <n v="56.6"/>
    <n v="277.45"/>
    <x v="7"/>
    <n v="134"/>
    <n v="-102.5"/>
    <n v="24.05"/>
    <n v="316820"/>
    <n v="525540"/>
    <n v="347208"/>
    <s v="UP"/>
    <s v="Short Buildup"/>
    <n v="31025.4"/>
  </r>
  <r>
    <x v="0"/>
    <s v="Long Buildup"/>
    <s v="UP"/>
    <n v="548504"/>
    <n v="1077080"/>
    <n v="298820"/>
    <n v="20.97"/>
    <n v="41.45"/>
    <n v="219.25"/>
    <x v="8"/>
    <n v="174.5"/>
    <n v="-117.45"/>
    <n v="24.06"/>
    <n v="321480"/>
    <n v="772700"/>
    <n v="328041"/>
    <s v="UP"/>
    <s v="Short Buildup"/>
    <n v="31025.4"/>
  </r>
  <r>
    <x v="0"/>
    <s v="Long Buildup"/>
    <s v="UP"/>
    <n v="344303"/>
    <n v="467200"/>
    <n v="97280"/>
    <n v="21.21"/>
    <n v="29.95"/>
    <n v="170.2"/>
    <x v="9"/>
    <n v="224.6"/>
    <n v="-128.85"/>
    <n v="24.48"/>
    <n v="41540"/>
    <n v="145800"/>
    <n v="76201"/>
    <s v="UP"/>
    <s v="Short Buildup"/>
    <n v="31025.4"/>
  </r>
  <r>
    <x v="0"/>
    <s v="Long Buildup"/>
    <s v="UP"/>
    <n v="526145"/>
    <n v="690720"/>
    <n v="131320"/>
    <n v="21.39"/>
    <n v="20"/>
    <n v="130.85"/>
    <x v="10"/>
    <n v="284.39999999999998"/>
    <n v="-140.85"/>
    <n v="24.69"/>
    <n v="10440"/>
    <n v="115540"/>
    <n v="39920"/>
    <s v="UP"/>
    <s v="Short Buildup"/>
    <n v="31025.4"/>
  </r>
  <r>
    <x v="0"/>
    <s v="Long Buildup"/>
    <s v="UP"/>
    <n v="368355"/>
    <n v="599180"/>
    <n v="151500"/>
    <n v="21.55"/>
    <n v="11.45"/>
    <n v="97"/>
    <x v="11"/>
    <n v="350.65"/>
    <n v="-158.05000000000001"/>
    <n v="25.78"/>
    <n v="-15740"/>
    <n v="87440"/>
    <n v="10648"/>
    <s v="DOWN"/>
    <s v="Long Liquidation"/>
    <n v="31025.4"/>
  </r>
  <r>
    <x v="0"/>
    <s v="Long Buildup"/>
    <s v="UP"/>
    <n v="331292"/>
    <n v="551600"/>
    <n v="158440"/>
    <n v="21.66"/>
    <n v="5.55"/>
    <n v="71.400000000000006"/>
    <x v="12"/>
    <n v="430.55"/>
    <n v="-151.4"/>
    <n v="25.51"/>
    <n v="4280"/>
    <n v="54760"/>
    <n v="3740"/>
    <s v="UP"/>
    <s v="Short Buildup"/>
    <n v="31025.4"/>
  </r>
  <r>
    <x v="0"/>
    <s v="Long Buildup"/>
    <s v="UP"/>
    <n v="484979"/>
    <n v="1421160"/>
    <n v="226800"/>
    <n v="22.04"/>
    <n v="2.2999999999999998"/>
    <n v="52.25"/>
    <x v="13"/>
    <n v="508.95"/>
    <n v="-158.35"/>
    <n v="28.05"/>
    <n v="3740"/>
    <n v="471840"/>
    <n v="5941"/>
    <s v="UP"/>
    <s v="Short Buildup"/>
    <n v="31025.4"/>
  </r>
  <r>
    <x v="0"/>
    <s v="Short Buildup"/>
    <s v="UP"/>
    <n v="191338"/>
    <n v="360020"/>
    <n v="75800"/>
    <n v="22.28"/>
    <n v="-0.5"/>
    <n v="37.25"/>
    <x v="14"/>
    <n v="590"/>
    <n v="-170.85"/>
    <n v="26.66"/>
    <n v="20"/>
    <n v="17680"/>
    <n v="266"/>
    <s v="UP"/>
    <s v="Short Buildup"/>
    <n v="31025.4"/>
  </r>
  <r>
    <x v="0"/>
    <s v="Short Buildup"/>
    <s v="UP"/>
    <n v="125182"/>
    <n v="369520"/>
    <n v="11560"/>
    <n v="22.71"/>
    <n v="-1.95"/>
    <n v="26.2"/>
    <x v="15"/>
    <n v="670"/>
    <n v="-173.7"/>
    <n v="29.09"/>
    <n v="-1100"/>
    <n v="10240"/>
    <n v="298"/>
    <s v="DOWN"/>
    <s v="Long Liquidation"/>
    <n v="31025.4"/>
  </r>
  <r>
    <x v="0"/>
    <n v="0.85058208178344274"/>
    <m/>
    <m/>
    <n v="6301520"/>
    <m/>
    <m/>
    <m/>
    <m/>
    <x v="16"/>
    <m/>
    <m/>
    <m/>
    <m/>
    <n v="5359960"/>
    <m/>
    <m/>
    <m/>
    <m/>
  </r>
  <r>
    <x v="1"/>
    <s v="n"/>
    <s v="UP"/>
    <n v="165"/>
    <n v="1440"/>
    <n v="1020"/>
    <s v="-"/>
    <n v="129.05000000000001"/>
    <n v="850"/>
    <x v="0"/>
    <n v="18.100000000000001"/>
    <n v="-22.05"/>
    <n v="25.27"/>
    <n v="56440"/>
    <n v="270500"/>
    <n v="144864"/>
    <s v="UP"/>
    <s v="Short Buildup"/>
    <n v="31011.25"/>
  </r>
  <r>
    <x v="1"/>
    <s v="Long Buildup"/>
    <s v="UP"/>
    <n v="586"/>
    <n v="5000"/>
    <n v="2840"/>
    <s v="-"/>
    <n v="170.35"/>
    <n v="800"/>
    <x v="1"/>
    <n v="23.6"/>
    <n v="-29.05"/>
    <n v="24.8"/>
    <n v="88720"/>
    <n v="235020"/>
    <n v="187074"/>
    <s v="UP"/>
    <s v="Short Buildup"/>
    <n v="31011.25"/>
  </r>
  <r>
    <x v="1"/>
    <s v="Long Buildup"/>
    <s v="UP"/>
    <n v="871"/>
    <n v="2160"/>
    <n v="760"/>
    <n v="18.75"/>
    <n v="134.80000000000001"/>
    <n v="688.15"/>
    <x v="2"/>
    <n v="32.15"/>
    <n v="-37.6"/>
    <n v="24.54"/>
    <n v="151920"/>
    <n v="283240"/>
    <n v="272863"/>
    <s v="UP"/>
    <s v="Short Buildup"/>
    <n v="31011.25"/>
  </r>
  <r>
    <x v="1"/>
    <s v="Long Buildup"/>
    <s v="UP"/>
    <n v="12290"/>
    <n v="55180"/>
    <n v="7160"/>
    <n v="18.89"/>
    <n v="111.45"/>
    <n v="585"/>
    <x v="3"/>
    <n v="43.85"/>
    <n v="-48.4"/>
    <n v="24.42"/>
    <n v="350980"/>
    <n v="889320"/>
    <n v="588620"/>
    <s v="UP"/>
    <s v="Short Buildup"/>
    <n v="31011.25"/>
  </r>
  <r>
    <x v="1"/>
    <s v="Long Buildup"/>
    <s v="UP"/>
    <n v="9980"/>
    <n v="20160"/>
    <n v="3780"/>
    <n v="19.420000000000002"/>
    <n v="94.9"/>
    <n v="498.45"/>
    <x v="4"/>
    <n v="59"/>
    <n v="-59.25"/>
    <n v="24.28"/>
    <n v="228000"/>
    <n v="401820"/>
    <n v="341463"/>
    <s v="UP"/>
    <s v="Short Buildup"/>
    <n v="31011.25"/>
  </r>
  <r>
    <x v="1"/>
    <s v="Long Buildup"/>
    <s v="UP"/>
    <n v="45178"/>
    <n v="56320"/>
    <n v="28120"/>
    <n v="19.79"/>
    <n v="84.15"/>
    <n v="416.6"/>
    <x v="5"/>
    <n v="78.8"/>
    <n v="-73.400000000000006"/>
    <n v="24.03"/>
    <n v="313980"/>
    <n v="486460"/>
    <n v="402092"/>
    <s v="UP"/>
    <s v="Short Buildup"/>
    <n v="31011.25"/>
  </r>
  <r>
    <x v="1"/>
    <s v="Long Buildup"/>
    <s v="UP"/>
    <n v="146981"/>
    <n v="222420"/>
    <n v="79800"/>
    <n v="20.46"/>
    <n v="68.849999999999994"/>
    <n v="342.5"/>
    <x v="6"/>
    <n v="104.8"/>
    <n v="-86.35"/>
    <n v="23.85"/>
    <n v="334420"/>
    <n v="592060"/>
    <n v="407643"/>
    <s v="UP"/>
    <s v="Short Buildup"/>
    <n v="31011.25"/>
  </r>
  <r>
    <x v="1"/>
    <s v="Long Buildup"/>
    <s v="UP"/>
    <n v="259624"/>
    <n v="401560"/>
    <n v="181360"/>
    <n v="20.61"/>
    <n v="55.25"/>
    <n v="276.10000000000002"/>
    <x v="7"/>
    <n v="137"/>
    <n v="-99.5"/>
    <n v="24.05"/>
    <n v="316820"/>
    <n v="525540"/>
    <n v="351480"/>
    <s v="UP"/>
    <s v="Short Buildup"/>
    <n v="31011.25"/>
  </r>
  <r>
    <x v="1"/>
    <s v="Long Buildup"/>
    <s v="UP"/>
    <n v="555104"/>
    <n v="1077080"/>
    <n v="298820"/>
    <n v="20.97"/>
    <n v="39.700000000000003"/>
    <n v="217.5"/>
    <x v="8"/>
    <n v="176.9"/>
    <n v="-115.05"/>
    <n v="24.06"/>
    <n v="321480"/>
    <n v="772700"/>
    <n v="333844"/>
    <s v="UP"/>
    <s v="Short Buildup"/>
    <n v="31011.25"/>
  </r>
  <r>
    <x v="1"/>
    <s v="Long Buildup"/>
    <s v="UP"/>
    <n v="349410"/>
    <n v="467200"/>
    <n v="97280"/>
    <n v="21.21"/>
    <n v="29.2"/>
    <n v="169.45"/>
    <x v="9"/>
    <n v="229"/>
    <n v="-124.45"/>
    <n v="24.48"/>
    <n v="41540"/>
    <n v="145800"/>
    <n v="77288"/>
    <s v="UP"/>
    <s v="Short Buildup"/>
    <n v="31011.25"/>
  </r>
  <r>
    <x v="1"/>
    <s v="Long Buildup"/>
    <s v="UP"/>
    <n v="532654"/>
    <n v="690720"/>
    <n v="131320"/>
    <n v="21.39"/>
    <n v="17.850000000000001"/>
    <n v="128.69999999999999"/>
    <x v="10"/>
    <n v="290.35000000000002"/>
    <n v="-134.9"/>
    <n v="24.69"/>
    <n v="10440"/>
    <n v="115540"/>
    <n v="40724"/>
    <s v="UP"/>
    <s v="Short Buildup"/>
    <n v="31011.25"/>
  </r>
  <r>
    <x v="1"/>
    <s v="Long Buildup"/>
    <s v="UP"/>
    <n v="374133"/>
    <n v="599180"/>
    <n v="151500"/>
    <n v="21.55"/>
    <n v="11.15"/>
    <n v="96.7"/>
    <x v="11"/>
    <n v="358.1"/>
    <n v="-150.6"/>
    <n v="25.78"/>
    <n v="-16040"/>
    <n v="87140"/>
    <n v="10884"/>
    <s v="DOWN"/>
    <s v="Long Liquidation"/>
    <n v="31011.25"/>
  </r>
  <r>
    <x v="1"/>
    <s v="Long Buildup"/>
    <s v="UP"/>
    <n v="335454"/>
    <n v="551600"/>
    <n v="158440"/>
    <n v="21.66"/>
    <n v="4.8"/>
    <n v="70.650000000000006"/>
    <x v="12"/>
    <n v="431.8"/>
    <n v="-150.15"/>
    <n v="25.51"/>
    <n v="4280"/>
    <n v="54760"/>
    <n v="3814"/>
    <s v="UP"/>
    <s v="Short Buildup"/>
    <n v="31011.25"/>
  </r>
  <r>
    <x v="1"/>
    <s v="Long Buildup"/>
    <s v="UP"/>
    <n v="492426"/>
    <n v="1421160"/>
    <n v="226800"/>
    <n v="22.04"/>
    <n v="1.25"/>
    <n v="51.2"/>
    <x v="13"/>
    <n v="518"/>
    <n v="-149.30000000000001"/>
    <n v="28.05"/>
    <n v="3740"/>
    <n v="471840"/>
    <n v="6111"/>
    <s v="UP"/>
    <s v="Short Buildup"/>
    <n v="31011.25"/>
  </r>
  <r>
    <x v="1"/>
    <s v="Short Buildup"/>
    <s v="UP"/>
    <n v="193767"/>
    <n v="360020"/>
    <n v="75800"/>
    <n v="22.28"/>
    <n v="-1.75"/>
    <n v="36"/>
    <x v="14"/>
    <n v="590"/>
    <n v="-170.85"/>
    <n v="26.66"/>
    <n v="20"/>
    <n v="17680"/>
    <n v="266"/>
    <s v="UP"/>
    <s v="Short Buildup"/>
    <n v="31011.25"/>
  </r>
  <r>
    <x v="1"/>
    <s v="Short Buildup"/>
    <s v="UP"/>
    <n v="127303"/>
    <n v="369520"/>
    <n v="11560"/>
    <n v="22.71"/>
    <n v="-2.25"/>
    <n v="25.9"/>
    <x v="15"/>
    <n v="670"/>
    <n v="-173.7"/>
    <n v="29.09"/>
    <n v="-1100"/>
    <n v="10240"/>
    <n v="298"/>
    <s v="DOWN"/>
    <s v="Long Liquidation"/>
    <n v="31011.25"/>
  </r>
  <r>
    <x v="1"/>
    <n v="0.85064246625782447"/>
    <m/>
    <m/>
    <n v="6300720"/>
    <m/>
    <m/>
    <m/>
    <m/>
    <x v="16"/>
    <m/>
    <m/>
    <m/>
    <m/>
    <n v="5359660"/>
    <m/>
    <m/>
    <m/>
    <m/>
  </r>
  <r>
    <x v="1"/>
    <s v="n"/>
    <s v="UP"/>
    <n v="165"/>
    <n v="1440"/>
    <n v="1020"/>
    <s v="-"/>
    <n v="129.05000000000001"/>
    <n v="850"/>
    <x v="0"/>
    <n v="18.100000000000001"/>
    <n v="-22.05"/>
    <n v="25.27"/>
    <n v="56440"/>
    <n v="270500"/>
    <n v="144864"/>
    <s v="UP"/>
    <s v="Short Buildup"/>
    <n v="31011.25"/>
  </r>
  <r>
    <x v="1"/>
    <s v="Long Buildup"/>
    <s v="UP"/>
    <n v="586"/>
    <n v="5000"/>
    <n v="2840"/>
    <s v="-"/>
    <n v="170.35"/>
    <n v="800"/>
    <x v="1"/>
    <n v="23.6"/>
    <n v="-29.05"/>
    <n v="24.8"/>
    <n v="88720"/>
    <n v="235020"/>
    <n v="187074"/>
    <s v="UP"/>
    <s v="Short Buildup"/>
    <n v="31011.25"/>
  </r>
  <r>
    <x v="1"/>
    <s v="Long Buildup"/>
    <s v="UP"/>
    <n v="871"/>
    <n v="2160"/>
    <n v="760"/>
    <n v="18.75"/>
    <n v="134.80000000000001"/>
    <n v="688.15"/>
    <x v="2"/>
    <n v="32.15"/>
    <n v="-37.6"/>
    <n v="24.54"/>
    <n v="151920"/>
    <n v="283240"/>
    <n v="272863"/>
    <s v="UP"/>
    <s v="Short Buildup"/>
    <n v="31011.25"/>
  </r>
  <r>
    <x v="1"/>
    <s v="Long Buildup"/>
    <s v="UP"/>
    <n v="12290"/>
    <n v="55180"/>
    <n v="7160"/>
    <n v="18.89"/>
    <n v="111.45"/>
    <n v="585"/>
    <x v="3"/>
    <n v="43.85"/>
    <n v="-48.4"/>
    <n v="24.42"/>
    <n v="350980"/>
    <n v="889320"/>
    <n v="588620"/>
    <s v="UP"/>
    <s v="Short Buildup"/>
    <n v="31011.25"/>
  </r>
  <r>
    <x v="1"/>
    <s v="Long Buildup"/>
    <s v="UP"/>
    <n v="9980"/>
    <n v="20160"/>
    <n v="3780"/>
    <n v="19.420000000000002"/>
    <n v="94.9"/>
    <n v="498.45"/>
    <x v="4"/>
    <n v="59"/>
    <n v="-59.25"/>
    <n v="24.28"/>
    <n v="228000"/>
    <n v="401820"/>
    <n v="341463"/>
    <s v="UP"/>
    <s v="Short Buildup"/>
    <n v="31011.25"/>
  </r>
  <r>
    <x v="1"/>
    <s v="Long Buildup"/>
    <s v="UP"/>
    <n v="45178"/>
    <n v="56320"/>
    <n v="28120"/>
    <n v="19.79"/>
    <n v="84.15"/>
    <n v="416.6"/>
    <x v="5"/>
    <n v="78.8"/>
    <n v="-73.400000000000006"/>
    <n v="24.03"/>
    <n v="313980"/>
    <n v="486460"/>
    <n v="402092"/>
    <s v="UP"/>
    <s v="Short Buildup"/>
    <n v="31011.25"/>
  </r>
  <r>
    <x v="1"/>
    <s v="Long Buildup"/>
    <s v="UP"/>
    <n v="146981"/>
    <n v="222420"/>
    <n v="79800"/>
    <n v="20.46"/>
    <n v="68.849999999999994"/>
    <n v="342.5"/>
    <x v="6"/>
    <n v="104.8"/>
    <n v="-86.35"/>
    <n v="23.85"/>
    <n v="334420"/>
    <n v="592060"/>
    <n v="407643"/>
    <s v="UP"/>
    <s v="Short Buildup"/>
    <n v="31011.25"/>
  </r>
  <r>
    <x v="1"/>
    <s v="Long Buildup"/>
    <s v="UP"/>
    <n v="259624"/>
    <n v="401560"/>
    <n v="181360"/>
    <n v="20.61"/>
    <n v="55.25"/>
    <n v="276.10000000000002"/>
    <x v="7"/>
    <n v="137"/>
    <n v="-99.5"/>
    <n v="24.05"/>
    <n v="316820"/>
    <n v="525540"/>
    <n v="351480"/>
    <s v="UP"/>
    <s v="Short Buildup"/>
    <n v="31011.25"/>
  </r>
  <r>
    <x v="1"/>
    <s v="Long Buildup"/>
    <s v="UP"/>
    <n v="555104"/>
    <n v="1077080"/>
    <n v="298820"/>
    <n v="20.97"/>
    <n v="39.700000000000003"/>
    <n v="217.5"/>
    <x v="8"/>
    <n v="176.9"/>
    <n v="-115.05"/>
    <n v="24.06"/>
    <n v="321480"/>
    <n v="772700"/>
    <n v="333844"/>
    <s v="UP"/>
    <s v="Short Buildup"/>
    <n v="31011.25"/>
  </r>
  <r>
    <x v="1"/>
    <s v="Long Buildup"/>
    <s v="UP"/>
    <n v="349410"/>
    <n v="467200"/>
    <n v="97280"/>
    <n v="21.21"/>
    <n v="29.2"/>
    <n v="169.45"/>
    <x v="9"/>
    <n v="229"/>
    <n v="-124.45"/>
    <n v="24.48"/>
    <n v="41540"/>
    <n v="145800"/>
    <n v="77288"/>
    <s v="UP"/>
    <s v="Short Buildup"/>
    <n v="31011.25"/>
  </r>
  <r>
    <x v="1"/>
    <s v="Long Buildup"/>
    <s v="UP"/>
    <n v="532654"/>
    <n v="690720"/>
    <n v="131320"/>
    <n v="21.39"/>
    <n v="17.850000000000001"/>
    <n v="128.69999999999999"/>
    <x v="10"/>
    <n v="290.35000000000002"/>
    <n v="-134.9"/>
    <n v="24.69"/>
    <n v="10440"/>
    <n v="115540"/>
    <n v="40724"/>
    <s v="UP"/>
    <s v="Short Buildup"/>
    <n v="31011.25"/>
  </r>
  <r>
    <x v="1"/>
    <s v="Long Buildup"/>
    <s v="UP"/>
    <n v="374133"/>
    <n v="599180"/>
    <n v="151500"/>
    <n v="21.55"/>
    <n v="11.15"/>
    <n v="96.7"/>
    <x v="11"/>
    <n v="358.1"/>
    <n v="-150.6"/>
    <n v="25.78"/>
    <n v="-16040"/>
    <n v="87140"/>
    <n v="10884"/>
    <s v="DOWN"/>
    <s v="Long Liquidation"/>
    <n v="31011.25"/>
  </r>
  <r>
    <x v="1"/>
    <s v="Long Buildup"/>
    <s v="UP"/>
    <n v="335454"/>
    <n v="551600"/>
    <n v="158440"/>
    <n v="21.66"/>
    <n v="4.8"/>
    <n v="70.650000000000006"/>
    <x v="12"/>
    <n v="431.8"/>
    <n v="-150.15"/>
    <n v="25.51"/>
    <n v="4280"/>
    <n v="54760"/>
    <n v="3814"/>
    <s v="UP"/>
    <s v="Short Buildup"/>
    <n v="31011.25"/>
  </r>
  <r>
    <x v="1"/>
    <s v="Long Buildup"/>
    <s v="UP"/>
    <n v="492426"/>
    <n v="1421160"/>
    <n v="226800"/>
    <n v="22.04"/>
    <n v="1.25"/>
    <n v="51.2"/>
    <x v="13"/>
    <n v="518"/>
    <n v="-149.30000000000001"/>
    <n v="28.05"/>
    <n v="3740"/>
    <n v="471840"/>
    <n v="6111"/>
    <s v="UP"/>
    <s v="Short Buildup"/>
    <n v="31011.25"/>
  </r>
  <r>
    <x v="1"/>
    <s v="Short Buildup"/>
    <s v="UP"/>
    <n v="193767"/>
    <n v="360020"/>
    <n v="75800"/>
    <n v="22.28"/>
    <n v="-1.75"/>
    <n v="36"/>
    <x v="14"/>
    <n v="590"/>
    <n v="-170.85"/>
    <n v="26.66"/>
    <n v="20"/>
    <n v="17680"/>
    <n v="266"/>
    <s v="UP"/>
    <s v="Short Buildup"/>
    <n v="31011.25"/>
  </r>
  <r>
    <x v="1"/>
    <s v="Short Buildup"/>
    <s v="UP"/>
    <n v="127303"/>
    <n v="369520"/>
    <n v="11560"/>
    <n v="22.71"/>
    <n v="-2.25"/>
    <n v="25.9"/>
    <x v="15"/>
    <n v="670"/>
    <n v="-173.7"/>
    <n v="29.09"/>
    <n v="-1100"/>
    <n v="10240"/>
    <n v="298"/>
    <s v="DOWN"/>
    <s v="Long Liquidation"/>
    <n v="31011.25"/>
  </r>
  <r>
    <x v="1"/>
    <n v="0.85064246625782447"/>
    <m/>
    <m/>
    <n v="6300720"/>
    <m/>
    <m/>
    <m/>
    <m/>
    <x v="16"/>
    <m/>
    <m/>
    <m/>
    <m/>
    <n v="5359660"/>
    <m/>
    <m/>
    <m/>
    <m/>
  </r>
  <r>
    <x v="1"/>
    <s v="n"/>
    <s v="UP"/>
    <n v="165"/>
    <n v="1440"/>
    <n v="1020"/>
    <s v="-"/>
    <n v="129.05000000000001"/>
    <n v="850"/>
    <x v="0"/>
    <n v="18.100000000000001"/>
    <n v="-22.05"/>
    <n v="25.27"/>
    <n v="56440"/>
    <n v="270500"/>
    <n v="144864"/>
    <s v="UP"/>
    <s v="Short Buildup"/>
    <n v="31011.25"/>
  </r>
  <r>
    <x v="1"/>
    <s v="Long Buildup"/>
    <s v="UP"/>
    <n v="586"/>
    <n v="5000"/>
    <n v="2840"/>
    <s v="-"/>
    <n v="170.35"/>
    <n v="800"/>
    <x v="1"/>
    <n v="23.6"/>
    <n v="-29.05"/>
    <n v="24.8"/>
    <n v="88720"/>
    <n v="235020"/>
    <n v="187074"/>
    <s v="UP"/>
    <s v="Short Buildup"/>
    <n v="31011.25"/>
  </r>
  <r>
    <x v="1"/>
    <s v="Long Buildup"/>
    <s v="UP"/>
    <n v="871"/>
    <n v="2160"/>
    <n v="760"/>
    <n v="18.75"/>
    <n v="134.80000000000001"/>
    <n v="688.15"/>
    <x v="2"/>
    <n v="32.15"/>
    <n v="-37.6"/>
    <n v="24.54"/>
    <n v="151920"/>
    <n v="283240"/>
    <n v="272863"/>
    <s v="UP"/>
    <s v="Short Buildup"/>
    <n v="31011.25"/>
  </r>
  <r>
    <x v="1"/>
    <s v="Long Buildup"/>
    <s v="UP"/>
    <n v="12290"/>
    <n v="55180"/>
    <n v="7160"/>
    <n v="18.89"/>
    <n v="111.45"/>
    <n v="585"/>
    <x v="3"/>
    <n v="43.85"/>
    <n v="-48.4"/>
    <n v="24.42"/>
    <n v="350980"/>
    <n v="889320"/>
    <n v="588620"/>
    <s v="UP"/>
    <s v="Short Buildup"/>
    <n v="31011.25"/>
  </r>
  <r>
    <x v="1"/>
    <s v="Long Buildup"/>
    <s v="UP"/>
    <n v="9980"/>
    <n v="20160"/>
    <n v="3780"/>
    <n v="19.420000000000002"/>
    <n v="94.9"/>
    <n v="498.45"/>
    <x v="4"/>
    <n v="59"/>
    <n v="-59.25"/>
    <n v="24.28"/>
    <n v="228000"/>
    <n v="401820"/>
    <n v="341463"/>
    <s v="UP"/>
    <s v="Short Buildup"/>
    <n v="31011.25"/>
  </r>
  <r>
    <x v="1"/>
    <s v="Long Buildup"/>
    <s v="UP"/>
    <n v="45178"/>
    <n v="56320"/>
    <n v="28120"/>
    <n v="19.79"/>
    <n v="84.15"/>
    <n v="416.6"/>
    <x v="5"/>
    <n v="78.8"/>
    <n v="-73.400000000000006"/>
    <n v="24.03"/>
    <n v="313980"/>
    <n v="486460"/>
    <n v="402092"/>
    <s v="UP"/>
    <s v="Short Buildup"/>
    <n v="31011.25"/>
  </r>
  <r>
    <x v="1"/>
    <s v="Long Buildup"/>
    <s v="UP"/>
    <n v="146981"/>
    <n v="222420"/>
    <n v="79800"/>
    <n v="20.46"/>
    <n v="68.849999999999994"/>
    <n v="342.5"/>
    <x v="6"/>
    <n v="104.8"/>
    <n v="-86.35"/>
    <n v="23.85"/>
    <n v="334420"/>
    <n v="592060"/>
    <n v="407643"/>
    <s v="UP"/>
    <s v="Short Buildup"/>
    <n v="31011.25"/>
  </r>
  <r>
    <x v="1"/>
    <s v="Long Buildup"/>
    <s v="UP"/>
    <n v="259624"/>
    <n v="401560"/>
    <n v="181360"/>
    <n v="20.61"/>
    <n v="55.25"/>
    <n v="276.10000000000002"/>
    <x v="7"/>
    <n v="137"/>
    <n v="-99.5"/>
    <n v="24.05"/>
    <n v="316820"/>
    <n v="525540"/>
    <n v="351480"/>
    <s v="UP"/>
    <s v="Short Buildup"/>
    <n v="31011.25"/>
  </r>
  <r>
    <x v="1"/>
    <s v="Long Buildup"/>
    <s v="UP"/>
    <n v="555104"/>
    <n v="1077080"/>
    <n v="298820"/>
    <n v="20.97"/>
    <n v="39.700000000000003"/>
    <n v="217.5"/>
    <x v="8"/>
    <n v="176.9"/>
    <n v="-115.05"/>
    <n v="24.06"/>
    <n v="321480"/>
    <n v="772700"/>
    <n v="333844"/>
    <s v="UP"/>
    <s v="Short Buildup"/>
    <n v="31011.25"/>
  </r>
  <r>
    <x v="1"/>
    <s v="Long Buildup"/>
    <s v="UP"/>
    <n v="349410"/>
    <n v="467200"/>
    <n v="97280"/>
    <n v="21.21"/>
    <n v="29.2"/>
    <n v="169.45"/>
    <x v="9"/>
    <n v="229"/>
    <n v="-124.45"/>
    <n v="24.48"/>
    <n v="41540"/>
    <n v="145800"/>
    <n v="77288"/>
    <s v="UP"/>
    <s v="Short Buildup"/>
    <n v="31011.25"/>
  </r>
  <r>
    <x v="1"/>
    <s v="Long Buildup"/>
    <s v="UP"/>
    <n v="532654"/>
    <n v="690720"/>
    <n v="131320"/>
    <n v="21.39"/>
    <n v="17.850000000000001"/>
    <n v="128.69999999999999"/>
    <x v="10"/>
    <n v="290.35000000000002"/>
    <n v="-134.9"/>
    <n v="24.69"/>
    <n v="10440"/>
    <n v="115540"/>
    <n v="40724"/>
    <s v="UP"/>
    <s v="Short Buildup"/>
    <n v="31011.25"/>
  </r>
  <r>
    <x v="1"/>
    <s v="Long Buildup"/>
    <s v="UP"/>
    <n v="374133"/>
    <n v="599180"/>
    <n v="151500"/>
    <n v="21.55"/>
    <n v="11.15"/>
    <n v="96.7"/>
    <x v="11"/>
    <n v="358.1"/>
    <n v="-150.6"/>
    <n v="25.78"/>
    <n v="-16040"/>
    <n v="87140"/>
    <n v="10884"/>
    <s v="DOWN"/>
    <s v="Long Liquidation"/>
    <n v="31011.25"/>
  </r>
  <r>
    <x v="1"/>
    <s v="Long Buildup"/>
    <s v="UP"/>
    <n v="335454"/>
    <n v="551600"/>
    <n v="158440"/>
    <n v="21.66"/>
    <n v="4.8"/>
    <n v="70.650000000000006"/>
    <x v="12"/>
    <n v="431.8"/>
    <n v="-150.15"/>
    <n v="25.51"/>
    <n v="4280"/>
    <n v="54760"/>
    <n v="3814"/>
    <s v="UP"/>
    <s v="Short Buildup"/>
    <n v="31011.25"/>
  </r>
  <r>
    <x v="1"/>
    <s v="Long Buildup"/>
    <s v="UP"/>
    <n v="492426"/>
    <n v="1421160"/>
    <n v="226800"/>
    <n v="22.04"/>
    <n v="1.25"/>
    <n v="51.2"/>
    <x v="13"/>
    <n v="518"/>
    <n v="-149.30000000000001"/>
    <n v="28.05"/>
    <n v="3740"/>
    <n v="471840"/>
    <n v="6111"/>
    <s v="UP"/>
    <s v="Short Buildup"/>
    <n v="31011.25"/>
  </r>
  <r>
    <x v="1"/>
    <s v="Short Buildup"/>
    <s v="UP"/>
    <n v="193767"/>
    <n v="360020"/>
    <n v="75800"/>
    <n v="22.28"/>
    <n v="-1.75"/>
    <n v="36"/>
    <x v="14"/>
    <n v="590"/>
    <n v="-170.85"/>
    <n v="26.66"/>
    <n v="20"/>
    <n v="17680"/>
    <n v="266"/>
    <s v="UP"/>
    <s v="Short Buildup"/>
    <n v="31011.25"/>
  </r>
  <r>
    <x v="1"/>
    <s v="Short Buildup"/>
    <s v="UP"/>
    <n v="127303"/>
    <n v="369520"/>
    <n v="11560"/>
    <n v="22.71"/>
    <n v="-2.25"/>
    <n v="25.9"/>
    <x v="15"/>
    <n v="670"/>
    <n v="-173.7"/>
    <n v="29.09"/>
    <n v="-1100"/>
    <n v="10240"/>
    <n v="298"/>
    <s v="DOWN"/>
    <s v="Long Liquidation"/>
    <n v="31011.25"/>
  </r>
  <r>
    <x v="1"/>
    <n v="0.85064246625782447"/>
    <m/>
    <m/>
    <n v="6300720"/>
    <m/>
    <m/>
    <m/>
    <m/>
    <x v="16"/>
    <m/>
    <m/>
    <m/>
    <m/>
    <n v="5359660"/>
    <m/>
    <m/>
    <m/>
    <m/>
  </r>
  <r>
    <x v="2"/>
    <s v="n"/>
    <s v="UP"/>
    <n v="165"/>
    <n v="1440"/>
    <n v="1020"/>
    <s v="-"/>
    <n v="129.05000000000001"/>
    <n v="850"/>
    <x v="0"/>
    <n v="18.350000000000001"/>
    <n v="-21.8"/>
    <n v="25.27"/>
    <n v="49560"/>
    <n v="263620"/>
    <n v="146607"/>
    <s v="UP"/>
    <s v="Short Buildup"/>
    <n v="31006.15"/>
  </r>
  <r>
    <x v="2"/>
    <s v="Long Buildup"/>
    <s v="UP"/>
    <n v="586"/>
    <n v="4960"/>
    <n v="2800"/>
    <s v="-"/>
    <n v="170.35"/>
    <n v="800"/>
    <x v="1"/>
    <n v="24.3"/>
    <n v="-28.35"/>
    <n v="24.8"/>
    <n v="92360"/>
    <n v="238660"/>
    <n v="187968"/>
    <s v="UP"/>
    <s v="Short Buildup"/>
    <n v="31006.15"/>
  </r>
  <r>
    <x v="2"/>
    <s v="Long Buildup"/>
    <s v="UP"/>
    <n v="872"/>
    <n v="2100"/>
    <n v="700"/>
    <n v="18.75"/>
    <n v="112.25"/>
    <n v="665.6"/>
    <x v="2"/>
    <n v="33.200000000000003"/>
    <n v="-36.549999999999997"/>
    <n v="24.54"/>
    <n v="152660"/>
    <n v="283980"/>
    <n v="274354"/>
    <s v="UP"/>
    <s v="Short Buildup"/>
    <n v="31006.15"/>
  </r>
  <r>
    <x v="2"/>
    <s v="Long Buildup"/>
    <s v="UP"/>
    <n v="12309"/>
    <n v="55860"/>
    <n v="7840"/>
    <n v="18.89"/>
    <n v="106.1"/>
    <n v="579.65"/>
    <x v="3"/>
    <n v="46.3"/>
    <n v="-45.95"/>
    <n v="24.42"/>
    <n v="385500"/>
    <n v="923840"/>
    <n v="590579"/>
    <s v="UP"/>
    <s v="Short Buildup"/>
    <n v="31006.15"/>
  </r>
  <r>
    <x v="2"/>
    <s v="Long Buildup"/>
    <s v="UP"/>
    <n v="10009"/>
    <n v="20260"/>
    <n v="3880"/>
    <n v="19.420000000000002"/>
    <n v="74"/>
    <n v="477.55"/>
    <x v="4"/>
    <n v="62.35"/>
    <n v="-55.9"/>
    <n v="24.28"/>
    <n v="229120"/>
    <n v="402940"/>
    <n v="342658"/>
    <s v="UP"/>
    <s v="Short Buildup"/>
    <n v="31006.15"/>
  </r>
  <r>
    <x v="2"/>
    <s v="Long Buildup"/>
    <s v="UP"/>
    <n v="45226"/>
    <n v="54020"/>
    <n v="25820"/>
    <n v="19.79"/>
    <n v="73.05"/>
    <n v="405.5"/>
    <x v="5"/>
    <n v="84.15"/>
    <n v="-68.05"/>
    <n v="24.03"/>
    <n v="323400"/>
    <n v="495880"/>
    <n v="403742"/>
    <s v="UP"/>
    <s v="Short Buildup"/>
    <n v="31006.15"/>
  </r>
  <r>
    <x v="2"/>
    <s v="Long Buildup"/>
    <s v="UP"/>
    <n v="147499"/>
    <n v="220860"/>
    <n v="78240"/>
    <n v="20.46"/>
    <n v="52.7"/>
    <n v="326.35000000000002"/>
    <x v="6"/>
    <n v="111.05"/>
    <n v="-80.099999999999994"/>
    <n v="23.85"/>
    <n v="350180"/>
    <n v="607820"/>
    <n v="409414"/>
    <s v="UP"/>
    <s v="Short Buildup"/>
    <n v="31006.15"/>
  </r>
  <r>
    <x v="2"/>
    <s v="Long Buildup"/>
    <s v="UP"/>
    <n v="260657"/>
    <n v="398320"/>
    <n v="178120"/>
    <n v="20.61"/>
    <n v="38.15"/>
    <n v="259"/>
    <x v="7"/>
    <n v="145.75"/>
    <n v="-90.75"/>
    <n v="24.05"/>
    <n v="321820"/>
    <n v="530540"/>
    <n v="353453"/>
    <s v="UP"/>
    <s v="Short Buildup"/>
    <n v="31006.15"/>
  </r>
  <r>
    <x v="2"/>
    <s v="Long Buildup"/>
    <s v="UP"/>
    <n v="558728"/>
    <n v="1067280"/>
    <n v="289020"/>
    <n v="20.97"/>
    <n v="26.15"/>
    <n v="203.95"/>
    <x v="8"/>
    <n v="189.95"/>
    <n v="-102"/>
    <n v="24.06"/>
    <n v="340160"/>
    <n v="791380"/>
    <n v="336439"/>
    <s v="UP"/>
    <s v="Short Buildup"/>
    <n v="31006.15"/>
  </r>
  <r>
    <x v="2"/>
    <s v="Long Buildup"/>
    <s v="UP"/>
    <n v="351024"/>
    <n v="473200"/>
    <n v="103280"/>
    <n v="21.21"/>
    <n v="17"/>
    <n v="157.25"/>
    <x v="9"/>
    <n v="241"/>
    <n v="-112.45"/>
    <n v="24.48"/>
    <n v="42080"/>
    <n v="146340"/>
    <n v="77738"/>
    <s v="UP"/>
    <s v="Short Buildup"/>
    <n v="31006.15"/>
  </r>
  <r>
    <x v="2"/>
    <s v="Long Buildup"/>
    <s v="UP"/>
    <n v="535452"/>
    <n v="698480"/>
    <n v="139080"/>
    <n v="21.39"/>
    <n v="8.75"/>
    <n v="119.6"/>
    <x v="10"/>
    <n v="303.5"/>
    <n v="-121.75"/>
    <n v="24.69"/>
    <n v="12320"/>
    <n v="117420"/>
    <n v="41067"/>
    <s v="UP"/>
    <s v="Short Buildup"/>
    <n v="31006.15"/>
  </r>
  <r>
    <x v="2"/>
    <s v="Long Buildup"/>
    <s v="UP"/>
    <n v="376104"/>
    <n v="599920"/>
    <n v="152240"/>
    <n v="21.55"/>
    <n v="2.5"/>
    <n v="88.05"/>
    <x v="11"/>
    <n v="362.55"/>
    <n v="-146.15"/>
    <n v="25.78"/>
    <n v="-15120"/>
    <n v="88060"/>
    <n v="10903"/>
    <s v="DOWN"/>
    <s v="Long Liquidation"/>
    <n v="31006.15"/>
  </r>
  <r>
    <x v="2"/>
    <s v="Short Buildup"/>
    <s v="UP"/>
    <n v="337300"/>
    <n v="547560"/>
    <n v="154400"/>
    <n v="21.66"/>
    <n v="-1.4"/>
    <n v="64.45"/>
    <x v="12"/>
    <n v="440"/>
    <n v="-141.94999999999999"/>
    <n v="25.51"/>
    <n v="4440"/>
    <n v="54920"/>
    <n v="3830"/>
    <s v="UP"/>
    <s v="Short Buildup"/>
    <n v="31006.15"/>
  </r>
  <r>
    <x v="2"/>
    <s v="Short Buildup"/>
    <s v="UP"/>
    <n v="495211"/>
    <n v="1418280"/>
    <n v="223920"/>
    <n v="22.04"/>
    <n v="-2.4500000000000002"/>
    <n v="47.5"/>
    <x v="13"/>
    <n v="531.65"/>
    <n v="-135.65"/>
    <n v="28.05"/>
    <n v="4640"/>
    <n v="472740"/>
    <n v="6171"/>
    <s v="UP"/>
    <s v="Short Buildup"/>
    <n v="31006.15"/>
  </r>
  <r>
    <x v="2"/>
    <s v="Short Buildup"/>
    <s v="UP"/>
    <n v="194418"/>
    <n v="355700"/>
    <n v="71480"/>
    <n v="22.28"/>
    <n v="-3.3"/>
    <n v="34.450000000000003"/>
    <x v="14"/>
    <n v="590"/>
    <n v="-170.85"/>
    <n v="26.66"/>
    <n v="20"/>
    <n v="17680"/>
    <n v="266"/>
    <s v="UP"/>
    <s v="Short Buildup"/>
    <n v="31006.15"/>
  </r>
  <r>
    <x v="2"/>
    <s v="Short Buildup"/>
    <s v="UP"/>
    <n v="127925"/>
    <n v="371880"/>
    <n v="13920"/>
    <n v="22.71"/>
    <n v="-4.6500000000000004"/>
    <n v="23.5"/>
    <x v="15"/>
    <n v="670"/>
    <n v="-173.7"/>
    <n v="29.09"/>
    <n v="-1100"/>
    <n v="10240"/>
    <n v="298"/>
    <s v="DOWN"/>
    <s v="Long Liquidation"/>
    <n v="31006.15"/>
  </r>
  <r>
    <x v="2"/>
    <n v="0.86581178101530654"/>
    <m/>
    <m/>
    <n v="6290120"/>
    <m/>
    <m/>
    <m/>
    <m/>
    <x v="16"/>
    <m/>
    <m/>
    <m/>
    <m/>
    <n v="5446060"/>
    <m/>
    <m/>
    <m/>
    <m/>
  </r>
  <r>
    <x v="2"/>
    <s v="n"/>
    <s v="UP"/>
    <n v="165"/>
    <n v="1440"/>
    <n v="1020"/>
    <s v="-"/>
    <n v="129.05000000000001"/>
    <n v="850"/>
    <x v="0"/>
    <n v="18.350000000000001"/>
    <n v="-21.8"/>
    <n v="25.27"/>
    <n v="49560"/>
    <n v="263620"/>
    <n v="146607"/>
    <s v="UP"/>
    <s v="Short Buildup"/>
    <n v="31006.15"/>
  </r>
  <r>
    <x v="2"/>
    <s v="Long Buildup"/>
    <s v="UP"/>
    <n v="586"/>
    <n v="4960"/>
    <n v="2800"/>
    <s v="-"/>
    <n v="170.35"/>
    <n v="800"/>
    <x v="1"/>
    <n v="24.3"/>
    <n v="-28.35"/>
    <n v="24.8"/>
    <n v="92360"/>
    <n v="238660"/>
    <n v="187968"/>
    <s v="UP"/>
    <s v="Short Buildup"/>
    <n v="31006.15"/>
  </r>
  <r>
    <x v="2"/>
    <s v="Long Buildup"/>
    <s v="UP"/>
    <n v="872"/>
    <n v="2100"/>
    <n v="700"/>
    <n v="18.75"/>
    <n v="112.25"/>
    <n v="665.6"/>
    <x v="2"/>
    <n v="33.200000000000003"/>
    <n v="-36.549999999999997"/>
    <n v="24.54"/>
    <n v="152660"/>
    <n v="283980"/>
    <n v="274354"/>
    <s v="UP"/>
    <s v="Short Buildup"/>
    <n v="31006.15"/>
  </r>
  <r>
    <x v="2"/>
    <s v="Long Buildup"/>
    <s v="UP"/>
    <n v="12309"/>
    <n v="55860"/>
    <n v="7840"/>
    <n v="18.89"/>
    <n v="106.1"/>
    <n v="579.65"/>
    <x v="3"/>
    <n v="46.3"/>
    <n v="-45.95"/>
    <n v="24.42"/>
    <n v="385500"/>
    <n v="923840"/>
    <n v="590579"/>
    <s v="UP"/>
    <s v="Short Buildup"/>
    <n v="31006.15"/>
  </r>
  <r>
    <x v="2"/>
    <s v="Long Buildup"/>
    <s v="UP"/>
    <n v="10009"/>
    <n v="20260"/>
    <n v="3880"/>
    <n v="19.420000000000002"/>
    <n v="74"/>
    <n v="477.55"/>
    <x v="4"/>
    <n v="62.35"/>
    <n v="-55.9"/>
    <n v="24.28"/>
    <n v="229120"/>
    <n v="402940"/>
    <n v="342658"/>
    <s v="UP"/>
    <s v="Short Buildup"/>
    <n v="31006.15"/>
  </r>
  <r>
    <x v="2"/>
    <s v="Long Buildup"/>
    <s v="UP"/>
    <n v="45226"/>
    <n v="54020"/>
    <n v="25820"/>
    <n v="19.79"/>
    <n v="73.05"/>
    <n v="405.5"/>
    <x v="5"/>
    <n v="84.15"/>
    <n v="-68.05"/>
    <n v="24.03"/>
    <n v="323400"/>
    <n v="495880"/>
    <n v="403742"/>
    <s v="UP"/>
    <s v="Short Buildup"/>
    <n v="31006.15"/>
  </r>
  <r>
    <x v="2"/>
    <s v="Long Buildup"/>
    <s v="UP"/>
    <n v="147499"/>
    <n v="220860"/>
    <n v="78240"/>
    <n v="20.46"/>
    <n v="52.7"/>
    <n v="326.35000000000002"/>
    <x v="6"/>
    <n v="111.05"/>
    <n v="-80.099999999999994"/>
    <n v="23.85"/>
    <n v="350180"/>
    <n v="607820"/>
    <n v="409414"/>
    <s v="UP"/>
    <s v="Short Buildup"/>
    <n v="31006.15"/>
  </r>
  <r>
    <x v="2"/>
    <s v="Long Buildup"/>
    <s v="UP"/>
    <n v="260657"/>
    <n v="398320"/>
    <n v="178120"/>
    <n v="20.61"/>
    <n v="38.15"/>
    <n v="259"/>
    <x v="7"/>
    <n v="145.75"/>
    <n v="-90.75"/>
    <n v="24.05"/>
    <n v="321820"/>
    <n v="530540"/>
    <n v="353453"/>
    <s v="UP"/>
    <s v="Short Buildup"/>
    <n v="31006.15"/>
  </r>
  <r>
    <x v="2"/>
    <s v="Long Buildup"/>
    <s v="UP"/>
    <n v="558728"/>
    <n v="1067280"/>
    <n v="289020"/>
    <n v="20.97"/>
    <n v="26.15"/>
    <n v="203.95"/>
    <x v="8"/>
    <n v="189.95"/>
    <n v="-102"/>
    <n v="24.06"/>
    <n v="340160"/>
    <n v="791380"/>
    <n v="336439"/>
    <s v="UP"/>
    <s v="Short Buildup"/>
    <n v="31006.15"/>
  </r>
  <r>
    <x v="2"/>
    <s v="Long Buildup"/>
    <s v="UP"/>
    <n v="351024"/>
    <n v="473200"/>
    <n v="103280"/>
    <n v="21.21"/>
    <n v="17"/>
    <n v="157.25"/>
    <x v="9"/>
    <n v="241"/>
    <n v="-112.45"/>
    <n v="24.48"/>
    <n v="42080"/>
    <n v="146340"/>
    <n v="77738"/>
    <s v="UP"/>
    <s v="Short Buildup"/>
    <n v="31006.15"/>
  </r>
  <r>
    <x v="2"/>
    <s v="Long Buildup"/>
    <s v="UP"/>
    <n v="535452"/>
    <n v="698480"/>
    <n v="139080"/>
    <n v="21.39"/>
    <n v="8.75"/>
    <n v="119.6"/>
    <x v="10"/>
    <n v="303.5"/>
    <n v="-121.75"/>
    <n v="24.69"/>
    <n v="12320"/>
    <n v="117420"/>
    <n v="41067"/>
    <s v="UP"/>
    <s v="Short Buildup"/>
    <n v="31006.15"/>
  </r>
  <r>
    <x v="2"/>
    <s v="Long Buildup"/>
    <s v="UP"/>
    <n v="376104"/>
    <n v="599920"/>
    <n v="152240"/>
    <n v="21.55"/>
    <n v="2.5"/>
    <n v="88.05"/>
    <x v="11"/>
    <n v="362.55"/>
    <n v="-146.15"/>
    <n v="25.78"/>
    <n v="-15120"/>
    <n v="88060"/>
    <n v="10903"/>
    <s v="DOWN"/>
    <s v="Long Liquidation"/>
    <n v="31006.15"/>
  </r>
  <r>
    <x v="2"/>
    <s v="Short Buildup"/>
    <s v="UP"/>
    <n v="337300"/>
    <n v="547560"/>
    <n v="154400"/>
    <n v="21.66"/>
    <n v="-1.4"/>
    <n v="64.45"/>
    <x v="12"/>
    <n v="440"/>
    <n v="-141.94999999999999"/>
    <n v="25.51"/>
    <n v="4440"/>
    <n v="54920"/>
    <n v="3830"/>
    <s v="UP"/>
    <s v="Short Buildup"/>
    <n v="31006.15"/>
  </r>
  <r>
    <x v="2"/>
    <s v="Short Buildup"/>
    <s v="UP"/>
    <n v="495211"/>
    <n v="1418280"/>
    <n v="223920"/>
    <n v="22.04"/>
    <n v="-2.4500000000000002"/>
    <n v="47.5"/>
    <x v="13"/>
    <n v="531.65"/>
    <n v="-135.65"/>
    <n v="28.05"/>
    <n v="4640"/>
    <n v="472740"/>
    <n v="6171"/>
    <s v="UP"/>
    <s v="Short Buildup"/>
    <n v="31006.15"/>
  </r>
  <r>
    <x v="2"/>
    <s v="Short Buildup"/>
    <s v="UP"/>
    <n v="194418"/>
    <n v="355700"/>
    <n v="71480"/>
    <n v="22.28"/>
    <n v="-3.3"/>
    <n v="34.450000000000003"/>
    <x v="14"/>
    <n v="590"/>
    <n v="-170.85"/>
    <n v="26.66"/>
    <n v="20"/>
    <n v="17680"/>
    <n v="266"/>
    <s v="UP"/>
    <s v="Short Buildup"/>
    <n v="31006.15"/>
  </r>
  <r>
    <x v="2"/>
    <s v="Short Buildup"/>
    <s v="UP"/>
    <n v="127925"/>
    <n v="371880"/>
    <n v="13920"/>
    <n v="22.71"/>
    <n v="-4.6500000000000004"/>
    <n v="23.5"/>
    <x v="15"/>
    <n v="670"/>
    <n v="-173.7"/>
    <n v="29.09"/>
    <n v="-1100"/>
    <n v="10240"/>
    <n v="298"/>
    <s v="DOWN"/>
    <s v="Long Liquidation"/>
    <n v="31006.15"/>
  </r>
  <r>
    <x v="2"/>
    <n v="0.86581178101530654"/>
    <m/>
    <m/>
    <n v="6290120"/>
    <m/>
    <m/>
    <m/>
    <m/>
    <x v="16"/>
    <m/>
    <m/>
    <m/>
    <m/>
    <n v="5446060"/>
    <m/>
    <m/>
    <m/>
    <m/>
  </r>
  <r>
    <x v="3"/>
    <s v="n"/>
    <s v="UP"/>
    <n v="165"/>
    <n v="1440"/>
    <n v="1020"/>
    <n v="27.55"/>
    <n v="129.05000000000001"/>
    <n v="850"/>
    <x v="0"/>
    <n v="18.8"/>
    <n v="-21.35"/>
    <n v="24.97"/>
    <n v="33380"/>
    <n v="247440"/>
    <n v="148171"/>
    <s v="UP"/>
    <s v="Short Buildup"/>
    <n v="30995.15"/>
  </r>
  <r>
    <x v="3"/>
    <s v="Long Buildup"/>
    <s v="UP"/>
    <n v="588"/>
    <n v="4960"/>
    <n v="2800"/>
    <n v="34.840000000000003"/>
    <n v="109.5"/>
    <n v="739.15"/>
    <x v="1"/>
    <n v="25.45"/>
    <n v="-27.2"/>
    <n v="24.25"/>
    <n v="99200"/>
    <n v="245500"/>
    <n v="190598"/>
    <s v="UP"/>
    <s v="Short Buildup"/>
    <n v="30995.15"/>
  </r>
  <r>
    <x v="3"/>
    <s v="Long Buildup"/>
    <s v="UP"/>
    <n v="875"/>
    <n v="2100"/>
    <n v="700"/>
    <n v="25.7"/>
    <n v="95.45"/>
    <n v="648.79999999999995"/>
    <x v="2"/>
    <n v="35.25"/>
    <n v="-34.5"/>
    <n v="23.74"/>
    <n v="161060"/>
    <n v="292380"/>
    <n v="278564"/>
    <s v="UP"/>
    <s v="Short Buildup"/>
    <n v="30995.15"/>
  </r>
  <r>
    <x v="3"/>
    <s v="Long Buildup"/>
    <s v="UP"/>
    <n v="12461"/>
    <n v="55600"/>
    <n v="7580"/>
    <n v="25.27"/>
    <n v="91.85"/>
    <n v="565.4"/>
    <x v="3"/>
    <n v="48"/>
    <n v="-44.25"/>
    <n v="23.47"/>
    <n v="383100"/>
    <n v="921440"/>
    <n v="595848"/>
    <s v="UP"/>
    <s v="Short Buildup"/>
    <n v="30995.15"/>
  </r>
  <r>
    <x v="3"/>
    <s v="Long Buildup"/>
    <s v="UP"/>
    <n v="10138"/>
    <n v="20080"/>
    <n v="3700"/>
    <n v="21.81"/>
    <n v="77.349999999999994"/>
    <n v="480.9"/>
    <x v="4"/>
    <n v="64.25"/>
    <n v="-54"/>
    <n v="23.01"/>
    <n v="232560"/>
    <n v="406380"/>
    <n v="345403"/>
    <s v="UP"/>
    <s v="Short Buildup"/>
    <n v="30995.15"/>
  </r>
  <r>
    <x v="3"/>
    <s v="Long Buildup"/>
    <s v="UP"/>
    <n v="45600"/>
    <n v="56060"/>
    <n v="27860"/>
    <n v="22.48"/>
    <n v="68.5"/>
    <n v="400.95"/>
    <x v="5"/>
    <n v="84.8"/>
    <n v="-67.400000000000006"/>
    <n v="22.7"/>
    <n v="319120"/>
    <n v="491600"/>
    <n v="406619"/>
    <s v="UP"/>
    <s v="Short Buildup"/>
    <n v="30995.15"/>
  </r>
  <r>
    <x v="3"/>
    <s v="Long Buildup"/>
    <s v="UP"/>
    <n v="148220"/>
    <n v="221620"/>
    <n v="79000"/>
    <n v="21.36"/>
    <n v="53.3"/>
    <n v="326.95"/>
    <x v="6"/>
    <n v="112"/>
    <n v="-79.150000000000006"/>
    <n v="22.3"/>
    <n v="352420"/>
    <n v="610060"/>
    <n v="413399"/>
    <s v="UP"/>
    <s v="Short Buildup"/>
    <n v="30995.15"/>
  </r>
  <r>
    <x v="3"/>
    <s v="Long Buildup"/>
    <s v="UP"/>
    <n v="262053"/>
    <n v="395700"/>
    <n v="175500"/>
    <n v="20.92"/>
    <n v="42.15"/>
    <n v="263"/>
    <x v="7"/>
    <n v="145.65"/>
    <n v="-90.85"/>
    <n v="22.03"/>
    <n v="330160"/>
    <n v="538880"/>
    <n v="357019"/>
    <s v="UP"/>
    <s v="Short Buildup"/>
    <n v="30995.15"/>
  </r>
  <r>
    <x v="3"/>
    <s v="Long Buildup"/>
    <s v="UP"/>
    <n v="563653"/>
    <n v="1059480"/>
    <n v="281220"/>
    <n v="20.99"/>
    <n v="29.15"/>
    <n v="206.95"/>
    <x v="8"/>
    <n v="190.1"/>
    <n v="-101.85"/>
    <n v="21.99"/>
    <n v="340780"/>
    <n v="792000"/>
    <n v="341258"/>
    <s v="UP"/>
    <s v="Short Buildup"/>
    <n v="30995.15"/>
  </r>
  <r>
    <x v="3"/>
    <s v="Long Buildup"/>
    <s v="UP"/>
    <n v="354129"/>
    <n v="470560"/>
    <n v="100640"/>
    <n v="21.08"/>
    <n v="20.75"/>
    <n v="161"/>
    <x v="9"/>
    <n v="245.25"/>
    <n v="-108.2"/>
    <n v="21.84"/>
    <n v="41540"/>
    <n v="145800"/>
    <n v="78494"/>
    <s v="UP"/>
    <s v="Short Buildup"/>
    <n v="30995.15"/>
  </r>
  <r>
    <x v="3"/>
    <s v="Long Buildup"/>
    <s v="UP"/>
    <n v="540118"/>
    <n v="695960"/>
    <n v="136560"/>
    <n v="21.28"/>
    <n v="11.5"/>
    <n v="122.35"/>
    <x v="10"/>
    <n v="304.55"/>
    <n v="-120.7"/>
    <n v="22.11"/>
    <n v="13060"/>
    <n v="118160"/>
    <n v="41879"/>
    <s v="UP"/>
    <s v="Short Buildup"/>
    <n v="30995.15"/>
  </r>
  <r>
    <x v="3"/>
    <s v="Long Buildup"/>
    <s v="UP"/>
    <n v="380707"/>
    <n v="602680"/>
    <n v="155000"/>
    <n v="21.33"/>
    <n v="5.35"/>
    <n v="90.9"/>
    <x v="11"/>
    <n v="374.7"/>
    <n v="-134"/>
    <n v="21.04"/>
    <n v="-14320"/>
    <n v="88860"/>
    <n v="11035"/>
    <s v="DOWN"/>
    <s v="Long Liquidation"/>
    <n v="30995.15"/>
  </r>
  <r>
    <x v="3"/>
    <s v="Long Buildup"/>
    <s v="UP"/>
    <n v="339393"/>
    <n v="548780"/>
    <n v="155620"/>
    <n v="21.54"/>
    <n v="0.15"/>
    <n v="66"/>
    <x v="12"/>
    <n v="447.55"/>
    <n v="-134.4"/>
    <n v="21.38"/>
    <n v="4280"/>
    <n v="54760"/>
    <n v="3843"/>
    <s v="UP"/>
    <s v="Short Buildup"/>
    <n v="30995.15"/>
  </r>
  <r>
    <x v="3"/>
    <s v="Short Buildup"/>
    <s v="UP"/>
    <n v="499337"/>
    <n v="1427360"/>
    <n v="233000"/>
    <n v="21.96"/>
    <n v="-1.85"/>
    <n v="48.1"/>
    <x v="13"/>
    <n v="533.35"/>
    <n v="-133.94999999999999"/>
    <n v="23.2"/>
    <n v="6720"/>
    <n v="474820"/>
    <n v="6306"/>
    <s v="UP"/>
    <s v="Short Buildup"/>
    <n v="30995.15"/>
  </r>
  <r>
    <x v="3"/>
    <s v="Short Buildup"/>
    <s v="UP"/>
    <n v="196740"/>
    <n v="361060"/>
    <n v="76840"/>
    <n v="22.32"/>
    <n v="-3.75"/>
    <n v="34"/>
    <x v="14"/>
    <n v="615"/>
    <n v="-145.85"/>
    <n v="17.29"/>
    <s v="-"/>
    <n v="17660"/>
    <n v="267"/>
    <s v="UP"/>
    <s v="Short Buildup"/>
    <n v="30995.15"/>
  </r>
  <r>
    <x v="3"/>
    <s v="Short Buildup"/>
    <s v="UP"/>
    <n v="129550"/>
    <n v="370420"/>
    <n v="12460"/>
    <n v="22.38"/>
    <n v="-4.0999999999999996"/>
    <n v="24.05"/>
    <x v="15"/>
    <n v="706"/>
    <n v="-137.69999999999999"/>
    <s v="-"/>
    <n v="-1060"/>
    <n v="10280"/>
    <n v="305"/>
    <s v="DOWN"/>
    <s v="Long Liquidation"/>
    <n v="30995.15"/>
  </r>
  <r>
    <x v="3"/>
    <n v="0.86687978442482039"/>
    <m/>
    <m/>
    <n v="6293860"/>
    <m/>
    <m/>
    <m/>
    <m/>
    <x v="16"/>
    <m/>
    <m/>
    <m/>
    <m/>
    <n v="5456020"/>
    <m/>
    <m/>
    <m/>
    <m/>
  </r>
  <r>
    <x v="4"/>
    <s v="n"/>
    <s v="UP"/>
    <n v="165"/>
    <n v="1440"/>
    <n v="1020"/>
    <n v="27.55"/>
    <n v="129.05000000000001"/>
    <n v="850"/>
    <x v="0"/>
    <n v="18.75"/>
    <n v="-21.4"/>
    <n v="24.97"/>
    <n v="36500"/>
    <n v="250560"/>
    <n v="148775"/>
    <s v="UP"/>
    <s v="Short Buildup"/>
    <n v="31010.400000000001"/>
  </r>
  <r>
    <x v="4"/>
    <s v="Long Buildup"/>
    <s v="UP"/>
    <n v="588"/>
    <n v="4960"/>
    <n v="2800"/>
    <n v="34.840000000000003"/>
    <n v="109.5"/>
    <n v="739.15"/>
    <x v="1"/>
    <n v="25.35"/>
    <n v="-27.3"/>
    <n v="24.25"/>
    <n v="98720"/>
    <n v="245020"/>
    <n v="191385"/>
    <s v="UP"/>
    <s v="Short Buildup"/>
    <n v="31010.400000000001"/>
  </r>
  <r>
    <x v="4"/>
    <s v="Long Buildup"/>
    <s v="UP"/>
    <n v="876"/>
    <n v="2100"/>
    <n v="700"/>
    <n v="25.7"/>
    <n v="107.6"/>
    <n v="660.95"/>
    <x v="2"/>
    <n v="34.5"/>
    <n v="-35.25"/>
    <n v="23.74"/>
    <n v="158600"/>
    <n v="289920"/>
    <n v="280025"/>
    <s v="UP"/>
    <s v="Short Buildup"/>
    <n v="31010.400000000001"/>
  </r>
  <r>
    <x v="4"/>
    <s v="Long Buildup"/>
    <s v="UP"/>
    <n v="12521"/>
    <n v="56000"/>
    <n v="7980"/>
    <n v="25.27"/>
    <n v="94.4"/>
    <n v="567.95000000000005"/>
    <x v="3"/>
    <n v="46.9"/>
    <n v="-45.35"/>
    <n v="23.47"/>
    <n v="391620"/>
    <n v="929960"/>
    <n v="598903"/>
    <s v="UP"/>
    <s v="Short Buildup"/>
    <n v="31010.400000000001"/>
  </r>
  <r>
    <x v="4"/>
    <s v="Long Buildup"/>
    <s v="UP"/>
    <n v="10190"/>
    <n v="19160"/>
    <n v="2780"/>
    <n v="21.81"/>
    <n v="84.45"/>
    <n v="488"/>
    <x v="4"/>
    <n v="62.7"/>
    <n v="-55.55"/>
    <n v="23.01"/>
    <n v="236880"/>
    <n v="410700"/>
    <n v="347668"/>
    <s v="UP"/>
    <s v="Short Buildup"/>
    <n v="31010.400000000001"/>
  </r>
  <r>
    <x v="4"/>
    <s v="Long Buildup"/>
    <s v="UP"/>
    <n v="45774"/>
    <n v="54600"/>
    <n v="26400"/>
    <n v="22.48"/>
    <n v="74.900000000000006"/>
    <n v="407.35"/>
    <x v="5"/>
    <n v="83.4"/>
    <n v="-68.8"/>
    <n v="22.7"/>
    <n v="321380"/>
    <n v="493860"/>
    <n v="408654"/>
    <s v="UP"/>
    <s v="Short Buildup"/>
    <n v="31010.400000000001"/>
  </r>
  <r>
    <x v="4"/>
    <s v="Long Buildup"/>
    <s v="UP"/>
    <n v="148681"/>
    <n v="214720"/>
    <n v="72100"/>
    <n v="21.36"/>
    <n v="61.05"/>
    <n v="334.7"/>
    <x v="6"/>
    <n v="110"/>
    <n v="-81.150000000000006"/>
    <n v="22.3"/>
    <n v="321080"/>
    <n v="578720"/>
    <n v="417299"/>
    <s v="UP"/>
    <s v="Short Buildup"/>
    <n v="31010.400000000001"/>
  </r>
  <r>
    <x v="4"/>
    <s v="Long Buildup"/>
    <s v="UP"/>
    <n v="263095"/>
    <n v="390980"/>
    <n v="170780"/>
    <n v="20.92"/>
    <n v="49.05"/>
    <n v="269.89999999999998"/>
    <x v="7"/>
    <n v="143.55000000000001"/>
    <n v="-92.95"/>
    <n v="22.03"/>
    <n v="329240"/>
    <n v="537960"/>
    <n v="358706"/>
    <s v="UP"/>
    <s v="Short Buildup"/>
    <n v="31010.400000000001"/>
  </r>
  <r>
    <x v="4"/>
    <s v="Long Buildup"/>
    <s v="UP"/>
    <n v="567331"/>
    <n v="1049520"/>
    <n v="271260"/>
    <n v="20.99"/>
    <n v="33.450000000000003"/>
    <n v="211.25"/>
    <x v="8"/>
    <n v="186.15"/>
    <n v="-105.8"/>
    <n v="21.99"/>
    <n v="337840"/>
    <n v="789060"/>
    <n v="343475"/>
    <s v="UP"/>
    <s v="Short Buildup"/>
    <n v="31010.400000000001"/>
  </r>
  <r>
    <x v="4"/>
    <s v="Long Buildup"/>
    <s v="UP"/>
    <n v="355814"/>
    <n v="471400"/>
    <n v="101480"/>
    <n v="21.08"/>
    <n v="23.2"/>
    <n v="163.44999999999999"/>
    <x v="9"/>
    <n v="238.6"/>
    <n v="-114.85"/>
    <n v="21.84"/>
    <n v="40180"/>
    <n v="144440"/>
    <n v="79106"/>
    <s v="UP"/>
    <s v="Short Buildup"/>
    <n v="31010.400000000001"/>
  </r>
  <r>
    <x v="4"/>
    <s v="Long Buildup"/>
    <s v="UP"/>
    <n v="543192"/>
    <n v="694400"/>
    <n v="135000"/>
    <n v="21.28"/>
    <n v="14.15"/>
    <n v="125"/>
    <x v="10"/>
    <n v="300.85000000000002"/>
    <n v="-124.4"/>
    <n v="22.11"/>
    <n v="16920"/>
    <n v="122020"/>
    <n v="42234"/>
    <s v="UP"/>
    <s v="Short Buildup"/>
    <n v="31010.400000000001"/>
  </r>
  <r>
    <x v="4"/>
    <s v="Long Buildup"/>
    <s v="UP"/>
    <n v="383883"/>
    <n v="604040"/>
    <n v="156360"/>
    <n v="21.33"/>
    <n v="7.45"/>
    <n v="93"/>
    <x v="11"/>
    <n v="367.6"/>
    <n v="-141.1"/>
    <n v="21.04"/>
    <n v="-14420"/>
    <n v="88760"/>
    <n v="11094"/>
    <s v="DOWN"/>
    <s v="Long Liquidation"/>
    <n v="31010.400000000001"/>
  </r>
  <r>
    <x v="4"/>
    <s v="Long Buildup"/>
    <s v="UP"/>
    <n v="341470"/>
    <n v="541480"/>
    <n v="148320"/>
    <n v="21.54"/>
    <n v="2.15"/>
    <n v="68"/>
    <x v="12"/>
    <n v="439.2"/>
    <n v="-142.75"/>
    <n v="21.38"/>
    <n v="4280"/>
    <n v="54760"/>
    <n v="3846"/>
    <s v="UP"/>
    <s v="Short Buildup"/>
    <n v="31010.400000000001"/>
  </r>
  <r>
    <x v="4"/>
    <s v="Short Buildup"/>
    <s v="UP"/>
    <n v="502213"/>
    <n v="1432080"/>
    <n v="237720"/>
    <n v="21.96"/>
    <n v="-0.5"/>
    <n v="49.45"/>
    <x v="13"/>
    <n v="525.70000000000005"/>
    <n v="-141.6"/>
    <n v="23.2"/>
    <n v="6620"/>
    <n v="474720"/>
    <n v="6321"/>
    <s v="UP"/>
    <s v="Short Buildup"/>
    <n v="31010.400000000001"/>
  </r>
  <r>
    <x v="4"/>
    <s v="Short Buildup"/>
    <s v="UP"/>
    <n v="197805"/>
    <n v="354200"/>
    <n v="69980"/>
    <n v="22.32"/>
    <n v="-3.05"/>
    <n v="34.700000000000003"/>
    <x v="14"/>
    <n v="615"/>
    <n v="-145.85"/>
    <n v="17.29"/>
    <s v="-"/>
    <n v="17660"/>
    <n v="267"/>
    <s v="UP"/>
    <s v="Short Buildup"/>
    <n v="31010.400000000001"/>
  </r>
  <r>
    <x v="4"/>
    <s v="Short Buildup"/>
    <s v="UP"/>
    <n v="131031"/>
    <n v="385080"/>
    <n v="27120"/>
    <n v="22.38"/>
    <n v="-3.4"/>
    <n v="24.75"/>
    <x v="15"/>
    <n v="700"/>
    <n v="-143.69999999999999"/>
    <s v="-"/>
    <n v="-1120"/>
    <n v="10220"/>
    <n v="311"/>
    <s v="DOWN"/>
    <s v="Long Liquidation"/>
    <n v="31010.400000000001"/>
  </r>
  <r>
    <x v="4"/>
    <n v="0.86650754601539792"/>
    <m/>
    <m/>
    <n v="6276160"/>
    <m/>
    <m/>
    <m/>
    <m/>
    <x v="16"/>
    <m/>
    <m/>
    <m/>
    <m/>
    <n v="5438340"/>
    <m/>
    <m/>
    <m/>
    <m/>
  </r>
  <r>
    <x v="4"/>
    <s v="n"/>
    <s v="UP"/>
    <n v="165"/>
    <n v="1440"/>
    <n v="1020"/>
    <n v="27.55"/>
    <n v="129.05000000000001"/>
    <n v="850"/>
    <x v="0"/>
    <n v="18.75"/>
    <n v="-21.4"/>
    <n v="24.97"/>
    <n v="36500"/>
    <n v="250560"/>
    <n v="148775"/>
    <s v="UP"/>
    <s v="Short Buildup"/>
    <n v="31010.400000000001"/>
  </r>
  <r>
    <x v="4"/>
    <s v="Long Buildup"/>
    <s v="UP"/>
    <n v="588"/>
    <n v="4960"/>
    <n v="2800"/>
    <n v="34.840000000000003"/>
    <n v="109.5"/>
    <n v="739.15"/>
    <x v="1"/>
    <n v="25.35"/>
    <n v="-27.3"/>
    <n v="24.25"/>
    <n v="98720"/>
    <n v="245020"/>
    <n v="191385"/>
    <s v="UP"/>
    <s v="Short Buildup"/>
    <n v="31010.400000000001"/>
  </r>
  <r>
    <x v="4"/>
    <s v="Long Buildup"/>
    <s v="UP"/>
    <n v="876"/>
    <n v="2100"/>
    <n v="700"/>
    <n v="25.7"/>
    <n v="107.6"/>
    <n v="660.95"/>
    <x v="2"/>
    <n v="34.5"/>
    <n v="-35.25"/>
    <n v="23.74"/>
    <n v="158600"/>
    <n v="289920"/>
    <n v="280025"/>
    <s v="UP"/>
    <s v="Short Buildup"/>
    <n v="31010.400000000001"/>
  </r>
  <r>
    <x v="4"/>
    <s v="Long Buildup"/>
    <s v="UP"/>
    <n v="12521"/>
    <n v="56000"/>
    <n v="7980"/>
    <n v="25.27"/>
    <n v="94.4"/>
    <n v="567.95000000000005"/>
    <x v="3"/>
    <n v="46.9"/>
    <n v="-45.35"/>
    <n v="23.47"/>
    <n v="391620"/>
    <n v="929960"/>
    <n v="598903"/>
    <s v="UP"/>
    <s v="Short Buildup"/>
    <n v="31010.400000000001"/>
  </r>
  <r>
    <x v="4"/>
    <s v="Long Buildup"/>
    <s v="UP"/>
    <n v="10190"/>
    <n v="19160"/>
    <n v="2780"/>
    <n v="21.81"/>
    <n v="84.45"/>
    <n v="488"/>
    <x v="4"/>
    <n v="62.7"/>
    <n v="-55.55"/>
    <n v="23.01"/>
    <n v="236880"/>
    <n v="410700"/>
    <n v="347668"/>
    <s v="UP"/>
    <s v="Short Buildup"/>
    <n v="31010.400000000001"/>
  </r>
  <r>
    <x v="4"/>
    <s v="Long Buildup"/>
    <s v="UP"/>
    <n v="45774"/>
    <n v="54600"/>
    <n v="26400"/>
    <n v="22.48"/>
    <n v="74.900000000000006"/>
    <n v="407.35"/>
    <x v="5"/>
    <n v="83.4"/>
    <n v="-68.8"/>
    <n v="22.7"/>
    <n v="321380"/>
    <n v="493860"/>
    <n v="408654"/>
    <s v="UP"/>
    <s v="Short Buildup"/>
    <n v="31010.400000000001"/>
  </r>
  <r>
    <x v="4"/>
    <s v="Long Buildup"/>
    <s v="UP"/>
    <n v="148681"/>
    <n v="214720"/>
    <n v="72100"/>
    <n v="21.36"/>
    <n v="61.05"/>
    <n v="334.7"/>
    <x v="6"/>
    <n v="110"/>
    <n v="-81.150000000000006"/>
    <n v="22.3"/>
    <n v="321080"/>
    <n v="578720"/>
    <n v="417299"/>
    <s v="UP"/>
    <s v="Short Buildup"/>
    <n v="31010.400000000001"/>
  </r>
  <r>
    <x v="4"/>
    <s v="Long Buildup"/>
    <s v="UP"/>
    <n v="263095"/>
    <n v="390980"/>
    <n v="170780"/>
    <n v="20.92"/>
    <n v="49.05"/>
    <n v="269.89999999999998"/>
    <x v="7"/>
    <n v="143.55000000000001"/>
    <n v="-92.95"/>
    <n v="22.03"/>
    <n v="329240"/>
    <n v="537960"/>
    <n v="358706"/>
    <s v="UP"/>
    <s v="Short Buildup"/>
    <n v="31010.400000000001"/>
  </r>
  <r>
    <x v="4"/>
    <s v="Long Buildup"/>
    <s v="UP"/>
    <n v="567331"/>
    <n v="1049520"/>
    <n v="271260"/>
    <n v="20.99"/>
    <n v="33.450000000000003"/>
    <n v="211.25"/>
    <x v="8"/>
    <n v="186.15"/>
    <n v="-105.8"/>
    <n v="21.99"/>
    <n v="337840"/>
    <n v="789060"/>
    <n v="343475"/>
    <s v="UP"/>
    <s v="Short Buildup"/>
    <n v="31010.400000000001"/>
  </r>
  <r>
    <x v="4"/>
    <s v="Long Buildup"/>
    <s v="UP"/>
    <n v="355814"/>
    <n v="471400"/>
    <n v="101480"/>
    <n v="21.08"/>
    <n v="23.2"/>
    <n v="163.44999999999999"/>
    <x v="9"/>
    <n v="238.6"/>
    <n v="-114.85"/>
    <n v="21.84"/>
    <n v="40180"/>
    <n v="144440"/>
    <n v="79106"/>
    <s v="UP"/>
    <s v="Short Buildup"/>
    <n v="31010.400000000001"/>
  </r>
  <r>
    <x v="4"/>
    <s v="Long Buildup"/>
    <s v="UP"/>
    <n v="543192"/>
    <n v="694400"/>
    <n v="135000"/>
    <n v="21.28"/>
    <n v="14.15"/>
    <n v="125"/>
    <x v="10"/>
    <n v="300.85000000000002"/>
    <n v="-124.4"/>
    <n v="22.11"/>
    <n v="16920"/>
    <n v="122020"/>
    <n v="42234"/>
    <s v="UP"/>
    <s v="Short Buildup"/>
    <n v="31010.400000000001"/>
  </r>
  <r>
    <x v="4"/>
    <s v="Long Buildup"/>
    <s v="UP"/>
    <n v="383883"/>
    <n v="604040"/>
    <n v="156360"/>
    <n v="21.33"/>
    <n v="7.45"/>
    <n v="93"/>
    <x v="11"/>
    <n v="367.6"/>
    <n v="-141.1"/>
    <n v="21.04"/>
    <n v="-14420"/>
    <n v="88760"/>
    <n v="11094"/>
    <s v="DOWN"/>
    <s v="Long Liquidation"/>
    <n v="31010.400000000001"/>
  </r>
  <r>
    <x v="4"/>
    <s v="Long Buildup"/>
    <s v="UP"/>
    <n v="341470"/>
    <n v="541480"/>
    <n v="148320"/>
    <n v="21.54"/>
    <n v="2.15"/>
    <n v="68"/>
    <x v="12"/>
    <n v="439.2"/>
    <n v="-142.75"/>
    <n v="21.38"/>
    <n v="4280"/>
    <n v="54760"/>
    <n v="3846"/>
    <s v="UP"/>
    <s v="Short Buildup"/>
    <n v="31010.400000000001"/>
  </r>
  <r>
    <x v="4"/>
    <s v="Short Buildup"/>
    <s v="UP"/>
    <n v="502213"/>
    <n v="1432080"/>
    <n v="237720"/>
    <n v="21.96"/>
    <n v="-0.5"/>
    <n v="49.45"/>
    <x v="13"/>
    <n v="525.70000000000005"/>
    <n v="-141.6"/>
    <n v="23.2"/>
    <n v="6620"/>
    <n v="474720"/>
    <n v="6321"/>
    <s v="UP"/>
    <s v="Short Buildup"/>
    <n v="31010.400000000001"/>
  </r>
  <r>
    <x v="4"/>
    <s v="Short Buildup"/>
    <s v="UP"/>
    <n v="197805"/>
    <n v="354200"/>
    <n v="69980"/>
    <n v="22.32"/>
    <n v="-3.05"/>
    <n v="34.700000000000003"/>
    <x v="14"/>
    <n v="615"/>
    <n v="-145.85"/>
    <n v="17.29"/>
    <s v="-"/>
    <n v="17660"/>
    <n v="267"/>
    <s v="UP"/>
    <s v="Short Buildup"/>
    <n v="31010.400000000001"/>
  </r>
  <r>
    <x v="4"/>
    <s v="Short Buildup"/>
    <s v="UP"/>
    <n v="131031"/>
    <n v="385080"/>
    <n v="27120"/>
    <n v="22.38"/>
    <n v="-3.4"/>
    <n v="24.75"/>
    <x v="15"/>
    <n v="700"/>
    <n v="-143.69999999999999"/>
    <s v="-"/>
    <n v="-1120"/>
    <n v="10220"/>
    <n v="311"/>
    <s v="DOWN"/>
    <s v="Long Liquidation"/>
    <n v="31010.400000000001"/>
  </r>
  <r>
    <x v="4"/>
    <n v="0.86650754601539792"/>
    <m/>
    <m/>
    <n v="6276160"/>
    <m/>
    <m/>
    <m/>
    <m/>
    <x v="16"/>
    <m/>
    <m/>
    <m/>
    <m/>
    <n v="5438340"/>
    <m/>
    <m/>
    <m/>
    <m/>
  </r>
  <r>
    <x v="5"/>
    <s v="n"/>
    <s v="UP"/>
    <n v="165"/>
    <n v="1440"/>
    <n v="1020"/>
    <n v="27.55"/>
    <n v="129.05000000000001"/>
    <n v="850"/>
    <x v="0"/>
    <n v="17.899999999999999"/>
    <n v="-22.25"/>
    <n v="24.97"/>
    <n v="39000"/>
    <n v="253060"/>
    <n v="149860"/>
    <s v="UP"/>
    <s v="Short Buildup"/>
    <n v="31019.45"/>
  </r>
  <r>
    <x v="5"/>
    <s v="Long Buildup"/>
    <s v="UP"/>
    <n v="589"/>
    <n v="4960"/>
    <n v="2800"/>
    <n v="34.840000000000003"/>
    <n v="130.35"/>
    <n v="760"/>
    <x v="1"/>
    <n v="23.7"/>
    <n v="-28.95"/>
    <n v="24.25"/>
    <n v="95500"/>
    <n v="241800"/>
    <n v="192325"/>
    <s v="UP"/>
    <s v="Short Buildup"/>
    <n v="31019.45"/>
  </r>
  <r>
    <x v="5"/>
    <s v="Long Buildup"/>
    <s v="UP"/>
    <n v="881"/>
    <n v="2060"/>
    <n v="660"/>
    <n v="25.7"/>
    <n v="135.44999999999999"/>
    <n v="688.8"/>
    <x v="2"/>
    <n v="32.200000000000003"/>
    <n v="-37.549999999999997"/>
    <n v="23.74"/>
    <n v="161940"/>
    <n v="293260"/>
    <n v="281727"/>
    <s v="UP"/>
    <s v="Short Buildup"/>
    <n v="31019.45"/>
  </r>
  <r>
    <x v="5"/>
    <s v="Long Buildup"/>
    <s v="UP"/>
    <n v="12566"/>
    <n v="55820"/>
    <n v="7800"/>
    <n v="25.27"/>
    <n v="112.1"/>
    <n v="585.65"/>
    <x v="3"/>
    <n v="43.55"/>
    <n v="-48.7"/>
    <n v="23.47"/>
    <n v="395960"/>
    <n v="934300"/>
    <n v="601742"/>
    <s v="UP"/>
    <s v="Short Buildup"/>
    <n v="31019.45"/>
  </r>
  <r>
    <x v="5"/>
    <s v="Long Buildup"/>
    <s v="UP"/>
    <n v="10243"/>
    <n v="19500"/>
    <n v="3120"/>
    <n v="21.81"/>
    <n v="104.35"/>
    <n v="507.9"/>
    <x v="4"/>
    <n v="58.35"/>
    <n v="-59.9"/>
    <n v="23.01"/>
    <n v="236400"/>
    <n v="410220"/>
    <n v="349812"/>
    <s v="UP"/>
    <s v="Short Buildup"/>
    <n v="31019.45"/>
  </r>
  <r>
    <x v="5"/>
    <s v="Long Buildup"/>
    <s v="UP"/>
    <n v="45918"/>
    <n v="54400"/>
    <n v="26200"/>
    <n v="22.48"/>
    <n v="90.45"/>
    <n v="422.9"/>
    <x v="5"/>
    <n v="77.55"/>
    <n v="-74.650000000000006"/>
    <n v="22.7"/>
    <n v="324420"/>
    <n v="496900"/>
    <n v="411227"/>
    <s v="UP"/>
    <s v="Short Buildup"/>
    <n v="31019.45"/>
  </r>
  <r>
    <x v="5"/>
    <s v="Long Buildup"/>
    <s v="UP"/>
    <n v="149468"/>
    <n v="213800"/>
    <n v="71180"/>
    <n v="21.36"/>
    <n v="73.099999999999994"/>
    <n v="346.75"/>
    <x v="6"/>
    <n v="102.95"/>
    <n v="-88.2"/>
    <n v="22.3"/>
    <n v="320520"/>
    <n v="578160"/>
    <n v="420425"/>
    <s v="UP"/>
    <s v="Short Buildup"/>
    <n v="31019.45"/>
  </r>
  <r>
    <x v="5"/>
    <s v="Long Buildup"/>
    <s v="UP"/>
    <n v="264339"/>
    <n v="391200"/>
    <n v="171000"/>
    <n v="20.92"/>
    <n v="59.15"/>
    <n v="280"/>
    <x v="7"/>
    <n v="135.19999999999999"/>
    <n v="-101.3"/>
    <n v="22.03"/>
    <n v="327600"/>
    <n v="536320"/>
    <n v="360984"/>
    <s v="UP"/>
    <s v="Short Buildup"/>
    <n v="31019.45"/>
  </r>
  <r>
    <x v="5"/>
    <s v="Long Buildup"/>
    <s v="UP"/>
    <n v="572296"/>
    <n v="1048240"/>
    <n v="269980"/>
    <n v="20.99"/>
    <n v="42.2"/>
    <n v="220"/>
    <x v="8"/>
    <n v="177.05"/>
    <n v="-114.9"/>
    <n v="21.99"/>
    <n v="349420"/>
    <n v="800640"/>
    <n v="346910"/>
    <s v="UP"/>
    <s v="Short Buildup"/>
    <n v="31019.45"/>
  </r>
  <r>
    <x v="5"/>
    <s v="Long Buildup"/>
    <s v="UP"/>
    <n v="358003"/>
    <n v="467960"/>
    <n v="98040"/>
    <n v="21.08"/>
    <n v="30.6"/>
    <n v="170.85"/>
    <x v="9"/>
    <n v="226.15"/>
    <n v="-127.3"/>
    <n v="21.84"/>
    <n v="43220"/>
    <n v="147480"/>
    <n v="79780"/>
    <s v="UP"/>
    <s v="Short Buildup"/>
    <n v="31019.45"/>
  </r>
  <r>
    <x v="5"/>
    <s v="Long Buildup"/>
    <s v="UP"/>
    <n v="547672"/>
    <n v="698300"/>
    <n v="138900"/>
    <n v="21.28"/>
    <n v="18.850000000000001"/>
    <n v="129.69999999999999"/>
    <x v="10"/>
    <n v="286.10000000000002"/>
    <n v="-139.15"/>
    <n v="22.11"/>
    <n v="12220"/>
    <n v="117320"/>
    <n v="43208"/>
    <s v="UP"/>
    <s v="Short Buildup"/>
    <n v="31019.45"/>
  </r>
  <r>
    <x v="5"/>
    <s v="Long Buildup"/>
    <s v="UP"/>
    <n v="387892"/>
    <n v="612100"/>
    <n v="164420"/>
    <n v="21.33"/>
    <n v="11.4"/>
    <n v="96.95"/>
    <x v="11"/>
    <n v="354.65"/>
    <n v="-154.05000000000001"/>
    <n v="21.04"/>
    <n v="-14660"/>
    <n v="88520"/>
    <n v="11193"/>
    <s v="DOWN"/>
    <s v="Long Liquidation"/>
    <n v="31019.45"/>
  </r>
  <r>
    <x v="5"/>
    <s v="Long Buildup"/>
    <s v="UP"/>
    <n v="343521"/>
    <n v="537820"/>
    <n v="144660"/>
    <n v="21.54"/>
    <n v="5"/>
    <n v="70.849999999999994"/>
    <x v="12"/>
    <n v="427.55"/>
    <n v="-154.4"/>
    <n v="21.38"/>
    <n v="3920"/>
    <n v="54400"/>
    <n v="3869"/>
    <s v="UP"/>
    <s v="Short Buildup"/>
    <n v="31019.45"/>
  </r>
  <r>
    <x v="5"/>
    <s v="Long Buildup"/>
    <s v="UP"/>
    <n v="506886"/>
    <n v="1426260"/>
    <n v="231900"/>
    <n v="21.96"/>
    <n v="1.5"/>
    <n v="51.45"/>
    <x v="13"/>
    <n v="504"/>
    <n v="-163.30000000000001"/>
    <n v="23.2"/>
    <n v="4600"/>
    <n v="472700"/>
    <n v="6436"/>
    <s v="UP"/>
    <s v="Short Buildup"/>
    <n v="31019.45"/>
  </r>
  <r>
    <x v="5"/>
    <s v="Short Buildup"/>
    <s v="UP"/>
    <n v="199415"/>
    <n v="356460"/>
    <n v="72240"/>
    <n v="22.32"/>
    <n v="-1.45"/>
    <n v="36.299999999999997"/>
    <x v="14"/>
    <n v="589.54999999999995"/>
    <n v="-171.3"/>
    <n v="17.29"/>
    <s v="-"/>
    <n v="17660"/>
    <n v="270"/>
    <s v="UP"/>
    <s v="Short Buildup"/>
    <n v="31019.45"/>
  </r>
  <r>
    <x v="5"/>
    <s v="Short Buildup"/>
    <s v="UP"/>
    <n v="131731"/>
    <n v="389520"/>
    <n v="31560"/>
    <n v="22.38"/>
    <n v="-2.7"/>
    <n v="25.45"/>
    <x v="15"/>
    <n v="689.7"/>
    <n v="-154"/>
    <s v="-"/>
    <n v="-1120"/>
    <n v="10220"/>
    <n v="315"/>
    <s v="DOWN"/>
    <s v="Long Liquidation"/>
    <n v="31019.45"/>
  </r>
  <r>
    <x v="5"/>
    <n v="0.86832785548676394"/>
    <m/>
    <m/>
    <n v="6279840"/>
    <m/>
    <m/>
    <m/>
    <m/>
    <x v="16"/>
    <m/>
    <m/>
    <m/>
    <m/>
    <n v="5452960"/>
    <m/>
    <m/>
    <m/>
    <m/>
  </r>
  <r>
    <x v="6"/>
    <s v="n"/>
    <s v="UP"/>
    <n v="168"/>
    <n v="1440"/>
    <n v="1020"/>
    <n v="29.83"/>
    <n v="100.2"/>
    <n v="821.15"/>
    <x v="0"/>
    <n v="20.6"/>
    <n v="-19.55"/>
    <n v="24.94"/>
    <n v="36560"/>
    <n v="250620"/>
    <n v="151695"/>
    <s v="UP"/>
    <s v="Short Buildup"/>
    <n v="30966.1"/>
  </r>
  <r>
    <x v="6"/>
    <s v="Long Buildup"/>
    <s v="UP"/>
    <n v="592"/>
    <n v="4900"/>
    <n v="2740"/>
    <n v="29.19"/>
    <n v="92.4"/>
    <n v="722.05"/>
    <x v="1"/>
    <n v="27.7"/>
    <n v="-24.95"/>
    <n v="24.23"/>
    <n v="94220"/>
    <n v="240520"/>
    <n v="194478"/>
    <s v="UP"/>
    <s v="Short Buildup"/>
    <n v="30966.1"/>
  </r>
  <r>
    <x v="6"/>
    <s v="Long Buildup"/>
    <s v="UP"/>
    <n v="882"/>
    <n v="2060"/>
    <n v="660"/>
    <n v="31.26"/>
    <n v="71.45"/>
    <n v="624.79999999999995"/>
    <x v="2"/>
    <n v="38.1"/>
    <n v="-31.65"/>
    <n v="23.73"/>
    <n v="158880"/>
    <n v="290200"/>
    <n v="286205"/>
    <s v="UP"/>
    <s v="Short Buildup"/>
    <n v="30966.1"/>
  </r>
  <r>
    <x v="6"/>
    <s v="Long Buildup"/>
    <s v="UP"/>
    <n v="12863"/>
    <n v="56380"/>
    <n v="8360"/>
    <n v="24.24"/>
    <n v="69"/>
    <n v="542.54999999999995"/>
    <x v="3"/>
    <n v="51.4"/>
    <n v="-40.85"/>
    <n v="23.21"/>
    <n v="393680"/>
    <n v="932020"/>
    <n v="610624"/>
    <s v="UP"/>
    <s v="Short Buildup"/>
    <n v="30966.1"/>
  </r>
  <r>
    <x v="6"/>
    <s v="Long Buildup"/>
    <s v="UP"/>
    <n v="10384"/>
    <n v="19380"/>
    <n v="3000"/>
    <n v="24.32"/>
    <n v="61.55"/>
    <n v="465.1"/>
    <x v="4"/>
    <n v="69.099999999999994"/>
    <n v="-49.15"/>
    <n v="22.73"/>
    <n v="235100"/>
    <n v="408920"/>
    <n v="354823"/>
    <s v="UP"/>
    <s v="Short Buildup"/>
    <n v="30966.1"/>
  </r>
  <r>
    <x v="6"/>
    <s v="Long Buildup"/>
    <s v="UP"/>
    <n v="46424"/>
    <n v="53540"/>
    <n v="25340"/>
    <n v="23.48"/>
    <n v="52.85"/>
    <n v="385.3"/>
    <x v="5"/>
    <n v="91.2"/>
    <n v="-61"/>
    <n v="22.33"/>
    <n v="321660"/>
    <n v="494140"/>
    <n v="416913"/>
    <s v="UP"/>
    <s v="Short Buildup"/>
    <n v="30966.1"/>
  </r>
  <r>
    <x v="6"/>
    <s v="Long Buildup"/>
    <s v="UP"/>
    <n v="151231"/>
    <n v="215580"/>
    <n v="72960"/>
    <n v="22.99"/>
    <n v="41.6"/>
    <n v="315.25"/>
    <x v="6"/>
    <n v="121.3"/>
    <n v="-69.849999999999994"/>
    <n v="21.91"/>
    <n v="323220"/>
    <n v="580860"/>
    <n v="427570"/>
    <s v="UP"/>
    <s v="Short Buildup"/>
    <n v="30966.1"/>
  </r>
  <r>
    <x v="6"/>
    <s v="Long Buildup"/>
    <s v="UP"/>
    <n v="267466"/>
    <n v="391440"/>
    <n v="171240"/>
    <n v="22.23"/>
    <n v="30.65"/>
    <n v="251.5"/>
    <x v="7"/>
    <n v="156.85"/>
    <n v="-79.650000000000006"/>
    <n v="21.47"/>
    <n v="326000"/>
    <n v="534720"/>
    <n v="366828"/>
    <s v="UP"/>
    <s v="Short Buildup"/>
    <n v="30966.1"/>
  </r>
  <r>
    <x v="6"/>
    <s v="Long Buildup"/>
    <s v="UP"/>
    <n v="582414"/>
    <n v="1050780"/>
    <n v="272520"/>
    <n v="21.97"/>
    <n v="19.25"/>
    <n v="197.05"/>
    <x v="8"/>
    <n v="201.1"/>
    <n v="-90.85"/>
    <n v="21.34"/>
    <n v="348480"/>
    <n v="799700"/>
    <n v="356355"/>
    <s v="UP"/>
    <s v="Short Buildup"/>
    <n v="30966.1"/>
  </r>
  <r>
    <x v="6"/>
    <s v="Long Buildup"/>
    <s v="UP"/>
    <n v="363487"/>
    <n v="468840"/>
    <n v="98920"/>
    <n v="21.92"/>
    <n v="11.45"/>
    <n v="151.69999999999999"/>
    <x v="9"/>
    <n v="257"/>
    <n v="-96.45"/>
    <n v="21.09"/>
    <n v="44460"/>
    <n v="148720"/>
    <n v="81587"/>
    <s v="UP"/>
    <s v="Short Buildup"/>
    <n v="30966.1"/>
  </r>
  <r>
    <x v="6"/>
    <s v="Long Buildup"/>
    <s v="UP"/>
    <n v="558113"/>
    <n v="708260"/>
    <n v="148860"/>
    <n v="21.97"/>
    <n v="4.2"/>
    <n v="115.05"/>
    <x v="10"/>
    <n v="321.55"/>
    <n v="-103.7"/>
    <n v="21.31"/>
    <n v="12420"/>
    <n v="117520"/>
    <n v="44722"/>
    <s v="UP"/>
    <s v="Short Buildup"/>
    <n v="30966.1"/>
  </r>
  <r>
    <x v="6"/>
    <s v="Long Buildup"/>
    <s v="UP"/>
    <n v="395991"/>
    <n v="613520"/>
    <n v="165840"/>
    <n v="22.01"/>
    <n v="0.75"/>
    <n v="86.3"/>
    <x v="11"/>
    <n v="392.05"/>
    <n v="-116.65"/>
    <n v="21.05"/>
    <n v="-14640"/>
    <n v="88540"/>
    <n v="11571"/>
    <s v="DOWN"/>
    <s v="Long Liquidation"/>
    <n v="30966.1"/>
  </r>
  <r>
    <x v="6"/>
    <s v="Short Buildup"/>
    <s v="UP"/>
    <n v="349332"/>
    <n v="543520"/>
    <n v="150360"/>
    <n v="22.13"/>
    <n v="-3.15"/>
    <n v="62.7"/>
    <x v="12"/>
    <n v="464.3"/>
    <n v="-117.65"/>
    <n v="20.55"/>
    <n v="4280"/>
    <n v="54760"/>
    <n v="3950"/>
    <s v="UP"/>
    <s v="Short Buildup"/>
    <n v="30966.1"/>
  </r>
  <r>
    <x v="6"/>
    <s v="Short Buildup"/>
    <s v="UP"/>
    <n v="515803"/>
    <n v="1430380"/>
    <n v="236020"/>
    <n v="22.41"/>
    <n v="-4.95"/>
    <n v="45"/>
    <x v="13"/>
    <n v="548.45000000000005"/>
    <n v="-118.85"/>
    <n v="18.47"/>
    <n v="4560"/>
    <n v="472660"/>
    <n v="6491"/>
    <s v="UP"/>
    <s v="Short Buildup"/>
    <n v="30966.1"/>
  </r>
  <r>
    <x v="6"/>
    <s v="Short Buildup"/>
    <s v="UP"/>
    <n v="203273"/>
    <n v="356280"/>
    <n v="72060"/>
    <n v="22.58"/>
    <n v="-6.05"/>
    <n v="31.7"/>
    <x v="14"/>
    <n v="642.95000000000005"/>
    <n v="-117.9"/>
    <n v="12.8"/>
    <s v="-"/>
    <n v="17660"/>
    <n v="273"/>
    <s v="UP"/>
    <s v="Short Buildup"/>
    <n v="30966.1"/>
  </r>
  <r>
    <x v="6"/>
    <s v="Short Buildup"/>
    <s v="UP"/>
    <n v="134190"/>
    <n v="392880"/>
    <n v="34920"/>
    <n v="22.61"/>
    <n v="-6.15"/>
    <n v="22"/>
    <x v="15"/>
    <n v="736.95"/>
    <n v="-106.75"/>
    <n v="14.76"/>
    <n v="-1240"/>
    <n v="10100"/>
    <n v="316"/>
    <s v="DOWN"/>
    <s v="Long Liquidation"/>
    <n v="30966.1"/>
  </r>
  <r>
    <x v="6"/>
    <n v="0.86249877163117872"/>
    <m/>
    <m/>
    <n v="6309180"/>
    <m/>
    <m/>
    <m/>
    <m/>
    <x v="16"/>
    <m/>
    <m/>
    <m/>
    <m/>
    <n v="5441660"/>
    <m/>
    <m/>
    <m/>
    <m/>
  </r>
  <r>
    <x v="6"/>
    <s v="n"/>
    <s v="UP"/>
    <n v="168"/>
    <n v="1440"/>
    <n v="1020"/>
    <n v="29.83"/>
    <n v="100.2"/>
    <n v="821.15"/>
    <x v="0"/>
    <n v="20.6"/>
    <n v="-19.55"/>
    <n v="24.94"/>
    <n v="36560"/>
    <n v="250620"/>
    <n v="151695"/>
    <s v="UP"/>
    <s v="Short Buildup"/>
    <n v="30966.1"/>
  </r>
  <r>
    <x v="6"/>
    <s v="Long Buildup"/>
    <s v="UP"/>
    <n v="592"/>
    <n v="4900"/>
    <n v="2740"/>
    <n v="29.19"/>
    <n v="92.4"/>
    <n v="722.05"/>
    <x v="1"/>
    <n v="27.7"/>
    <n v="-24.95"/>
    <n v="24.23"/>
    <n v="94220"/>
    <n v="240520"/>
    <n v="194478"/>
    <s v="UP"/>
    <s v="Short Buildup"/>
    <n v="30966.1"/>
  </r>
  <r>
    <x v="6"/>
    <s v="Long Buildup"/>
    <s v="UP"/>
    <n v="882"/>
    <n v="2060"/>
    <n v="660"/>
    <n v="31.26"/>
    <n v="71.45"/>
    <n v="624.79999999999995"/>
    <x v="2"/>
    <n v="38.1"/>
    <n v="-31.65"/>
    <n v="23.73"/>
    <n v="158880"/>
    <n v="290200"/>
    <n v="286205"/>
    <s v="UP"/>
    <s v="Short Buildup"/>
    <n v="30966.1"/>
  </r>
  <r>
    <x v="6"/>
    <s v="Long Buildup"/>
    <s v="UP"/>
    <n v="12863"/>
    <n v="56380"/>
    <n v="8360"/>
    <n v="24.24"/>
    <n v="69"/>
    <n v="542.54999999999995"/>
    <x v="3"/>
    <n v="51.4"/>
    <n v="-40.85"/>
    <n v="23.21"/>
    <n v="393680"/>
    <n v="932020"/>
    <n v="610624"/>
    <s v="UP"/>
    <s v="Short Buildup"/>
    <n v="30966.1"/>
  </r>
  <r>
    <x v="6"/>
    <s v="Long Buildup"/>
    <s v="UP"/>
    <n v="10384"/>
    <n v="19380"/>
    <n v="3000"/>
    <n v="24.32"/>
    <n v="61.55"/>
    <n v="465.1"/>
    <x v="4"/>
    <n v="69.099999999999994"/>
    <n v="-49.15"/>
    <n v="22.73"/>
    <n v="235100"/>
    <n v="408920"/>
    <n v="354823"/>
    <s v="UP"/>
    <s v="Short Buildup"/>
    <n v="30966.1"/>
  </r>
  <r>
    <x v="6"/>
    <s v="Long Buildup"/>
    <s v="UP"/>
    <n v="46424"/>
    <n v="53540"/>
    <n v="25340"/>
    <n v="23.48"/>
    <n v="52.85"/>
    <n v="385.3"/>
    <x v="5"/>
    <n v="91.2"/>
    <n v="-61"/>
    <n v="22.33"/>
    <n v="321660"/>
    <n v="494140"/>
    <n v="416913"/>
    <s v="UP"/>
    <s v="Short Buildup"/>
    <n v="30966.1"/>
  </r>
  <r>
    <x v="6"/>
    <s v="Long Buildup"/>
    <s v="UP"/>
    <n v="151231"/>
    <n v="215580"/>
    <n v="72960"/>
    <n v="22.99"/>
    <n v="41.6"/>
    <n v="315.25"/>
    <x v="6"/>
    <n v="121.3"/>
    <n v="-69.849999999999994"/>
    <n v="21.91"/>
    <n v="323220"/>
    <n v="580860"/>
    <n v="427570"/>
    <s v="UP"/>
    <s v="Short Buildup"/>
    <n v="30966.1"/>
  </r>
  <r>
    <x v="6"/>
    <s v="Long Buildup"/>
    <s v="UP"/>
    <n v="267466"/>
    <n v="391440"/>
    <n v="171240"/>
    <n v="22.23"/>
    <n v="30.65"/>
    <n v="251.5"/>
    <x v="7"/>
    <n v="156.85"/>
    <n v="-79.650000000000006"/>
    <n v="21.47"/>
    <n v="326000"/>
    <n v="534720"/>
    <n v="366828"/>
    <s v="UP"/>
    <s v="Short Buildup"/>
    <n v="30966.1"/>
  </r>
  <r>
    <x v="6"/>
    <s v="Long Buildup"/>
    <s v="UP"/>
    <n v="582414"/>
    <n v="1050780"/>
    <n v="272520"/>
    <n v="21.97"/>
    <n v="19.25"/>
    <n v="197.05"/>
    <x v="8"/>
    <n v="201.1"/>
    <n v="-90.85"/>
    <n v="21.34"/>
    <n v="348480"/>
    <n v="799700"/>
    <n v="356355"/>
    <s v="UP"/>
    <s v="Short Buildup"/>
    <n v="30966.1"/>
  </r>
  <r>
    <x v="6"/>
    <s v="Long Buildup"/>
    <s v="UP"/>
    <n v="363487"/>
    <n v="468840"/>
    <n v="98920"/>
    <n v="21.92"/>
    <n v="11.45"/>
    <n v="151.69999999999999"/>
    <x v="9"/>
    <n v="257"/>
    <n v="-96.45"/>
    <n v="21.09"/>
    <n v="44460"/>
    <n v="148720"/>
    <n v="81587"/>
    <s v="UP"/>
    <s v="Short Buildup"/>
    <n v="30966.1"/>
  </r>
  <r>
    <x v="6"/>
    <s v="Long Buildup"/>
    <s v="UP"/>
    <n v="558113"/>
    <n v="708260"/>
    <n v="148860"/>
    <n v="21.97"/>
    <n v="4.2"/>
    <n v="115.05"/>
    <x v="10"/>
    <n v="321.55"/>
    <n v="-103.7"/>
    <n v="21.31"/>
    <n v="12420"/>
    <n v="117520"/>
    <n v="44722"/>
    <s v="UP"/>
    <s v="Short Buildup"/>
    <n v="30966.1"/>
  </r>
  <r>
    <x v="6"/>
    <s v="Long Buildup"/>
    <s v="UP"/>
    <n v="395991"/>
    <n v="613520"/>
    <n v="165840"/>
    <n v="22.01"/>
    <n v="0.75"/>
    <n v="86.3"/>
    <x v="11"/>
    <n v="392.05"/>
    <n v="-116.65"/>
    <n v="21.05"/>
    <n v="-14640"/>
    <n v="88540"/>
    <n v="11571"/>
    <s v="DOWN"/>
    <s v="Long Liquidation"/>
    <n v="30966.1"/>
  </r>
  <r>
    <x v="6"/>
    <s v="Short Buildup"/>
    <s v="UP"/>
    <n v="349332"/>
    <n v="543520"/>
    <n v="150360"/>
    <n v="22.13"/>
    <n v="-3.15"/>
    <n v="62.7"/>
    <x v="12"/>
    <n v="464.3"/>
    <n v="-117.65"/>
    <n v="20.55"/>
    <n v="4280"/>
    <n v="54760"/>
    <n v="3950"/>
    <s v="UP"/>
    <s v="Short Buildup"/>
    <n v="30966.1"/>
  </r>
  <r>
    <x v="6"/>
    <s v="Short Buildup"/>
    <s v="UP"/>
    <n v="515803"/>
    <n v="1430380"/>
    <n v="236020"/>
    <n v="22.41"/>
    <n v="-4.95"/>
    <n v="45"/>
    <x v="13"/>
    <n v="548.45000000000005"/>
    <n v="-118.85"/>
    <n v="18.47"/>
    <n v="4560"/>
    <n v="472660"/>
    <n v="6491"/>
    <s v="UP"/>
    <s v="Short Buildup"/>
    <n v="30966.1"/>
  </r>
  <r>
    <x v="6"/>
    <s v="Short Buildup"/>
    <s v="UP"/>
    <n v="203273"/>
    <n v="356280"/>
    <n v="72060"/>
    <n v="22.58"/>
    <n v="-6.05"/>
    <n v="31.7"/>
    <x v="14"/>
    <n v="642.95000000000005"/>
    <n v="-117.9"/>
    <n v="12.8"/>
    <s v="-"/>
    <n v="17660"/>
    <n v="273"/>
    <s v="UP"/>
    <s v="Short Buildup"/>
    <n v="30966.1"/>
  </r>
  <r>
    <x v="6"/>
    <s v="Short Buildup"/>
    <s v="UP"/>
    <n v="134190"/>
    <n v="392880"/>
    <n v="34920"/>
    <n v="22.61"/>
    <n v="-6.15"/>
    <n v="22"/>
    <x v="15"/>
    <n v="736.95"/>
    <n v="-106.75"/>
    <n v="14.76"/>
    <n v="-1240"/>
    <n v="10100"/>
    <n v="316"/>
    <s v="DOWN"/>
    <s v="Long Liquidation"/>
    <n v="30966.1"/>
  </r>
  <r>
    <x v="6"/>
    <n v="0.86249877163117872"/>
    <m/>
    <m/>
    <n v="6309180"/>
    <m/>
    <m/>
    <m/>
    <m/>
    <x v="16"/>
    <m/>
    <m/>
    <m/>
    <m/>
    <n v="5441660"/>
    <m/>
    <m/>
    <m/>
    <m/>
  </r>
  <r>
    <x v="6"/>
    <s v="n"/>
    <s v="UP"/>
    <n v="168"/>
    <n v="1440"/>
    <n v="1020"/>
    <n v="29.83"/>
    <n v="100.2"/>
    <n v="821.15"/>
    <x v="0"/>
    <n v="20.6"/>
    <n v="-19.55"/>
    <n v="24.94"/>
    <n v="36560"/>
    <n v="250620"/>
    <n v="151695"/>
    <s v="UP"/>
    <s v="Short Buildup"/>
    <n v="30966.1"/>
  </r>
  <r>
    <x v="6"/>
    <s v="Long Buildup"/>
    <s v="UP"/>
    <n v="592"/>
    <n v="4900"/>
    <n v="2740"/>
    <n v="29.19"/>
    <n v="92.4"/>
    <n v="722.05"/>
    <x v="1"/>
    <n v="27.7"/>
    <n v="-24.95"/>
    <n v="24.23"/>
    <n v="94220"/>
    <n v="240520"/>
    <n v="194478"/>
    <s v="UP"/>
    <s v="Short Buildup"/>
    <n v="30966.1"/>
  </r>
  <r>
    <x v="6"/>
    <s v="Long Buildup"/>
    <s v="UP"/>
    <n v="882"/>
    <n v="2060"/>
    <n v="660"/>
    <n v="31.26"/>
    <n v="71.45"/>
    <n v="624.79999999999995"/>
    <x v="2"/>
    <n v="38.1"/>
    <n v="-31.65"/>
    <n v="23.73"/>
    <n v="158880"/>
    <n v="290200"/>
    <n v="286205"/>
    <s v="UP"/>
    <s v="Short Buildup"/>
    <n v="30966.1"/>
  </r>
  <r>
    <x v="6"/>
    <s v="Long Buildup"/>
    <s v="UP"/>
    <n v="12863"/>
    <n v="56380"/>
    <n v="8360"/>
    <n v="24.24"/>
    <n v="69"/>
    <n v="542.54999999999995"/>
    <x v="3"/>
    <n v="51.4"/>
    <n v="-40.85"/>
    <n v="23.21"/>
    <n v="393680"/>
    <n v="932020"/>
    <n v="610624"/>
    <s v="UP"/>
    <s v="Short Buildup"/>
    <n v="30966.1"/>
  </r>
  <r>
    <x v="6"/>
    <s v="Long Buildup"/>
    <s v="UP"/>
    <n v="10384"/>
    <n v="19380"/>
    <n v="3000"/>
    <n v="24.32"/>
    <n v="61.55"/>
    <n v="465.1"/>
    <x v="4"/>
    <n v="69.099999999999994"/>
    <n v="-49.15"/>
    <n v="22.73"/>
    <n v="235100"/>
    <n v="408920"/>
    <n v="354823"/>
    <s v="UP"/>
    <s v="Short Buildup"/>
    <n v="30966.1"/>
  </r>
  <r>
    <x v="6"/>
    <s v="Long Buildup"/>
    <s v="UP"/>
    <n v="46424"/>
    <n v="53540"/>
    <n v="25340"/>
    <n v="23.48"/>
    <n v="52.85"/>
    <n v="385.3"/>
    <x v="5"/>
    <n v="91.2"/>
    <n v="-61"/>
    <n v="22.33"/>
    <n v="321660"/>
    <n v="494140"/>
    <n v="416913"/>
    <s v="UP"/>
    <s v="Short Buildup"/>
    <n v="30966.1"/>
  </r>
  <r>
    <x v="6"/>
    <s v="Long Buildup"/>
    <s v="UP"/>
    <n v="151231"/>
    <n v="215580"/>
    <n v="72960"/>
    <n v="22.99"/>
    <n v="41.6"/>
    <n v="315.25"/>
    <x v="6"/>
    <n v="121.3"/>
    <n v="-69.849999999999994"/>
    <n v="21.91"/>
    <n v="323220"/>
    <n v="580860"/>
    <n v="427570"/>
    <s v="UP"/>
    <s v="Short Buildup"/>
    <n v="30966.1"/>
  </r>
  <r>
    <x v="6"/>
    <s v="Long Buildup"/>
    <s v="UP"/>
    <n v="267466"/>
    <n v="391440"/>
    <n v="171240"/>
    <n v="22.23"/>
    <n v="30.65"/>
    <n v="251.5"/>
    <x v="7"/>
    <n v="156.85"/>
    <n v="-79.650000000000006"/>
    <n v="21.47"/>
    <n v="326000"/>
    <n v="534720"/>
    <n v="366828"/>
    <s v="UP"/>
    <s v="Short Buildup"/>
    <n v="30966.1"/>
  </r>
  <r>
    <x v="6"/>
    <s v="Long Buildup"/>
    <s v="UP"/>
    <n v="582414"/>
    <n v="1050780"/>
    <n v="272520"/>
    <n v="21.97"/>
    <n v="19.25"/>
    <n v="197.05"/>
    <x v="8"/>
    <n v="201.1"/>
    <n v="-90.85"/>
    <n v="21.34"/>
    <n v="348480"/>
    <n v="799700"/>
    <n v="356355"/>
    <s v="UP"/>
    <s v="Short Buildup"/>
    <n v="30966.1"/>
  </r>
  <r>
    <x v="6"/>
    <s v="Long Buildup"/>
    <s v="UP"/>
    <n v="363487"/>
    <n v="468840"/>
    <n v="98920"/>
    <n v="21.92"/>
    <n v="11.45"/>
    <n v="151.69999999999999"/>
    <x v="9"/>
    <n v="257"/>
    <n v="-96.45"/>
    <n v="21.09"/>
    <n v="44460"/>
    <n v="148720"/>
    <n v="81587"/>
    <s v="UP"/>
    <s v="Short Buildup"/>
    <n v="30966.1"/>
  </r>
  <r>
    <x v="6"/>
    <s v="Long Buildup"/>
    <s v="UP"/>
    <n v="558113"/>
    <n v="708260"/>
    <n v="148860"/>
    <n v="21.97"/>
    <n v="4.2"/>
    <n v="115.05"/>
    <x v="10"/>
    <n v="321.55"/>
    <n v="-103.7"/>
    <n v="21.31"/>
    <n v="12420"/>
    <n v="117520"/>
    <n v="44722"/>
    <s v="UP"/>
    <s v="Short Buildup"/>
    <n v="30966.1"/>
  </r>
  <r>
    <x v="6"/>
    <s v="Long Buildup"/>
    <s v="UP"/>
    <n v="395991"/>
    <n v="613520"/>
    <n v="165840"/>
    <n v="22.01"/>
    <n v="0.75"/>
    <n v="86.3"/>
    <x v="11"/>
    <n v="392.05"/>
    <n v="-116.65"/>
    <n v="21.05"/>
    <n v="-14640"/>
    <n v="88540"/>
    <n v="11571"/>
    <s v="DOWN"/>
    <s v="Long Liquidation"/>
    <n v="30966.1"/>
  </r>
  <r>
    <x v="6"/>
    <s v="Short Buildup"/>
    <s v="UP"/>
    <n v="349332"/>
    <n v="543520"/>
    <n v="150360"/>
    <n v="22.13"/>
    <n v="-3.15"/>
    <n v="62.7"/>
    <x v="12"/>
    <n v="464.3"/>
    <n v="-117.65"/>
    <n v="20.55"/>
    <n v="4280"/>
    <n v="54760"/>
    <n v="3950"/>
    <s v="UP"/>
    <s v="Short Buildup"/>
    <n v="30966.1"/>
  </r>
  <r>
    <x v="6"/>
    <s v="Short Buildup"/>
    <s v="UP"/>
    <n v="515803"/>
    <n v="1430380"/>
    <n v="236020"/>
    <n v="22.41"/>
    <n v="-4.95"/>
    <n v="45"/>
    <x v="13"/>
    <n v="548.45000000000005"/>
    <n v="-118.85"/>
    <n v="18.47"/>
    <n v="4560"/>
    <n v="472660"/>
    <n v="6491"/>
    <s v="UP"/>
    <s v="Short Buildup"/>
    <n v="30966.1"/>
  </r>
  <r>
    <x v="6"/>
    <s v="Short Buildup"/>
    <s v="UP"/>
    <n v="203273"/>
    <n v="356280"/>
    <n v="72060"/>
    <n v="22.58"/>
    <n v="-6.05"/>
    <n v="31.7"/>
    <x v="14"/>
    <n v="642.95000000000005"/>
    <n v="-117.9"/>
    <n v="12.8"/>
    <s v="-"/>
    <n v="17660"/>
    <n v="273"/>
    <s v="UP"/>
    <s v="Short Buildup"/>
    <n v="30966.1"/>
  </r>
  <r>
    <x v="6"/>
    <s v="Short Buildup"/>
    <s v="UP"/>
    <n v="134190"/>
    <n v="392880"/>
    <n v="34920"/>
    <n v="22.61"/>
    <n v="-6.15"/>
    <n v="22"/>
    <x v="15"/>
    <n v="736.95"/>
    <n v="-106.75"/>
    <n v="14.76"/>
    <n v="-1240"/>
    <n v="10100"/>
    <n v="316"/>
    <s v="DOWN"/>
    <s v="Long Liquidation"/>
    <n v="30966.1"/>
  </r>
  <r>
    <x v="6"/>
    <n v="0.86249877163117872"/>
    <m/>
    <m/>
    <n v="6309180"/>
    <m/>
    <m/>
    <m/>
    <m/>
    <x v="16"/>
    <m/>
    <m/>
    <m/>
    <m/>
    <n v="5441660"/>
    <m/>
    <m/>
    <m/>
    <m/>
  </r>
  <r>
    <x v="7"/>
    <s v="n"/>
    <s v="UP"/>
    <n v="168"/>
    <n v="1440"/>
    <n v="1020"/>
    <n v="29.83"/>
    <n v="100.2"/>
    <n v="821.15"/>
    <x v="0"/>
    <n v="20.399999999999999"/>
    <n v="-19.75"/>
    <n v="24.94"/>
    <n v="31700"/>
    <n v="245760"/>
    <n v="151916"/>
    <s v="UP"/>
    <s v="Short Buildup"/>
    <n v="30971.25"/>
  </r>
  <r>
    <x v="7"/>
    <s v="Long Buildup"/>
    <s v="UP"/>
    <n v="592"/>
    <n v="4900"/>
    <n v="2740"/>
    <n v="29.19"/>
    <n v="92.4"/>
    <n v="722.05"/>
    <x v="1"/>
    <n v="27.2"/>
    <n v="-25.45"/>
    <n v="24.23"/>
    <n v="95480"/>
    <n v="241780"/>
    <n v="194809"/>
    <s v="UP"/>
    <s v="Short Buildup"/>
    <n v="30971.25"/>
  </r>
  <r>
    <x v="7"/>
    <s v="Long Buildup"/>
    <s v="UP"/>
    <n v="883"/>
    <n v="2060"/>
    <n v="660"/>
    <n v="31.26"/>
    <n v="73.95"/>
    <n v="627.29999999999995"/>
    <x v="2"/>
    <n v="37.049999999999997"/>
    <n v="-32.700000000000003"/>
    <n v="23.73"/>
    <n v="158040"/>
    <n v="289360"/>
    <n v="287146"/>
    <s v="UP"/>
    <s v="Short Buildup"/>
    <n v="30971.25"/>
  </r>
  <r>
    <x v="7"/>
    <s v="Long Buildup"/>
    <s v="UP"/>
    <n v="12903"/>
    <n v="54980"/>
    <n v="6960"/>
    <n v="24.24"/>
    <n v="72.55"/>
    <n v="546.1"/>
    <x v="3"/>
    <n v="50.2"/>
    <n v="-42.05"/>
    <n v="23.21"/>
    <n v="389260"/>
    <n v="927600"/>
    <n v="612587"/>
    <s v="UP"/>
    <s v="Short Buildup"/>
    <n v="30971.25"/>
  </r>
  <r>
    <x v="7"/>
    <s v="Long Buildup"/>
    <s v="UP"/>
    <n v="10387"/>
    <n v="19380"/>
    <n v="3000"/>
    <n v="24.32"/>
    <n v="61.65"/>
    <n v="465.2"/>
    <x v="4"/>
    <n v="68"/>
    <n v="-50.25"/>
    <n v="22.73"/>
    <n v="237820"/>
    <n v="411640"/>
    <n v="355646"/>
    <s v="UP"/>
    <s v="Short Buildup"/>
    <n v="30971.25"/>
  </r>
  <r>
    <x v="7"/>
    <s v="Long Buildup"/>
    <s v="UP"/>
    <n v="46480"/>
    <n v="55420"/>
    <n v="27220"/>
    <n v="23.48"/>
    <n v="53.1"/>
    <n v="385.55"/>
    <x v="5"/>
    <n v="91.05"/>
    <n v="-61.15"/>
    <n v="22.33"/>
    <n v="326060"/>
    <n v="498540"/>
    <n v="417599"/>
    <s v="UP"/>
    <s v="Short Buildup"/>
    <n v="30971.25"/>
  </r>
  <r>
    <x v="7"/>
    <s v="Long Buildup"/>
    <s v="UP"/>
    <n v="151588"/>
    <n v="211560"/>
    <n v="68940"/>
    <n v="22.99"/>
    <n v="43.55"/>
    <n v="317.2"/>
    <x v="6"/>
    <n v="119.5"/>
    <n v="-71.650000000000006"/>
    <n v="21.91"/>
    <n v="318660"/>
    <n v="576300"/>
    <n v="428921"/>
    <s v="UP"/>
    <s v="Short Buildup"/>
    <n v="30971.25"/>
  </r>
  <r>
    <x v="7"/>
    <s v="Long Buildup"/>
    <s v="UP"/>
    <n v="267905"/>
    <n v="391220"/>
    <n v="171020"/>
    <n v="22.23"/>
    <n v="31.6"/>
    <n v="252.45"/>
    <x v="7"/>
    <n v="155.69999999999999"/>
    <n v="-80.8"/>
    <n v="21.47"/>
    <n v="317300"/>
    <n v="526020"/>
    <n v="368237"/>
    <s v="UP"/>
    <s v="Short Buildup"/>
    <n v="30971.25"/>
  </r>
  <r>
    <x v="7"/>
    <s v="Long Buildup"/>
    <s v="UP"/>
    <n v="584689"/>
    <n v="1050900"/>
    <n v="272640"/>
    <n v="21.97"/>
    <n v="21.4"/>
    <n v="199.2"/>
    <x v="8"/>
    <n v="200.1"/>
    <n v="-91.85"/>
    <n v="21.34"/>
    <n v="339980"/>
    <n v="791200"/>
    <n v="357655"/>
    <s v="UP"/>
    <s v="Short Buildup"/>
    <n v="30971.25"/>
  </r>
  <r>
    <x v="7"/>
    <s v="Long Buildup"/>
    <s v="UP"/>
    <n v="364756"/>
    <n v="479180"/>
    <n v="109260"/>
    <n v="21.92"/>
    <n v="12.75"/>
    <n v="153"/>
    <x v="9"/>
    <n v="255.45"/>
    <n v="-98"/>
    <n v="21.09"/>
    <n v="43980"/>
    <n v="148240"/>
    <n v="81737"/>
    <s v="UP"/>
    <s v="Short Buildup"/>
    <n v="30971.25"/>
  </r>
  <r>
    <x v="7"/>
    <s v="Long Buildup"/>
    <s v="UP"/>
    <n v="559420"/>
    <n v="707620"/>
    <n v="148220"/>
    <n v="21.97"/>
    <n v="5.75"/>
    <n v="116.6"/>
    <x v="10"/>
    <n v="318.45"/>
    <n v="-106.8"/>
    <n v="21.31"/>
    <n v="16020"/>
    <n v="121120"/>
    <n v="44851"/>
    <s v="UP"/>
    <s v="Short Buildup"/>
    <n v="30971.25"/>
  </r>
  <r>
    <x v="7"/>
    <s v="Long Buildup"/>
    <s v="UP"/>
    <n v="396681"/>
    <n v="616860"/>
    <n v="169180"/>
    <n v="22.01"/>
    <n v="1.65"/>
    <n v="87.2"/>
    <x v="11"/>
    <n v="388.95"/>
    <n v="-119.75"/>
    <n v="21.05"/>
    <n v="-15540"/>
    <n v="87640"/>
    <n v="11614"/>
    <s v="DOWN"/>
    <s v="Long Liquidation"/>
    <n v="30971.25"/>
  </r>
  <r>
    <x v="7"/>
    <s v="Short Buildup"/>
    <s v="UP"/>
    <n v="350299"/>
    <n v="540040"/>
    <n v="146880"/>
    <n v="22.13"/>
    <n v="-2.4"/>
    <n v="63.45"/>
    <x v="12"/>
    <n v="468.75"/>
    <n v="-113.2"/>
    <n v="20.55"/>
    <n v="3800"/>
    <n v="54280"/>
    <n v="4052"/>
    <s v="UP"/>
    <s v="Short Buildup"/>
    <n v="30971.25"/>
  </r>
  <r>
    <x v="7"/>
    <s v="Short Buildup"/>
    <s v="UP"/>
    <n v="517440"/>
    <n v="1423960"/>
    <n v="229600"/>
    <n v="22.41"/>
    <n v="-4.4000000000000004"/>
    <n v="45.55"/>
    <x v="13"/>
    <n v="547.1"/>
    <n v="-120.2"/>
    <n v="18.47"/>
    <n v="4320"/>
    <n v="472420"/>
    <n v="6502"/>
    <s v="UP"/>
    <s v="Short Buildup"/>
    <n v="30971.25"/>
  </r>
  <r>
    <x v="7"/>
    <s v="Short Buildup"/>
    <s v="UP"/>
    <n v="203916"/>
    <n v="351660"/>
    <n v="67440"/>
    <n v="22.58"/>
    <n v="-6.3"/>
    <n v="31.45"/>
    <x v="14"/>
    <n v="640.9"/>
    <n v="-119.95"/>
    <n v="12.8"/>
    <s v="-"/>
    <n v="17660"/>
    <n v="274"/>
    <s v="UP"/>
    <s v="Short Buildup"/>
    <n v="30971.25"/>
  </r>
  <r>
    <x v="7"/>
    <s v="Short Buildup"/>
    <s v="UP"/>
    <n v="134579"/>
    <n v="391440"/>
    <n v="33480"/>
    <n v="22.61"/>
    <n v="-6.25"/>
    <n v="21.9"/>
    <x v="15"/>
    <n v="736.95"/>
    <n v="-106.75"/>
    <n v="14.76"/>
    <n v="-1240"/>
    <n v="10100"/>
    <n v="316"/>
    <s v="DOWN"/>
    <s v="Long Liquidation"/>
    <n v="30971.25"/>
  </r>
  <r>
    <x v="7"/>
    <n v="0.85990588041163829"/>
    <m/>
    <m/>
    <n v="6302620"/>
    <m/>
    <m/>
    <m/>
    <m/>
    <x v="16"/>
    <m/>
    <m/>
    <m/>
    <m/>
    <n v="5419660"/>
    <m/>
    <m/>
    <m/>
    <m/>
  </r>
  <r>
    <x v="7"/>
    <s v="n"/>
    <s v="UP"/>
    <n v="168"/>
    <n v="1440"/>
    <n v="1020"/>
    <n v="29.83"/>
    <n v="100.2"/>
    <n v="821.15"/>
    <x v="0"/>
    <n v="20.399999999999999"/>
    <n v="-19.75"/>
    <n v="24.94"/>
    <n v="31700"/>
    <n v="245760"/>
    <n v="151916"/>
    <s v="UP"/>
    <s v="Short Buildup"/>
    <n v="30971.25"/>
  </r>
  <r>
    <x v="7"/>
    <s v="Long Buildup"/>
    <s v="UP"/>
    <n v="592"/>
    <n v="4900"/>
    <n v="2740"/>
    <n v="29.19"/>
    <n v="92.4"/>
    <n v="722.05"/>
    <x v="1"/>
    <n v="27.2"/>
    <n v="-25.45"/>
    <n v="24.23"/>
    <n v="95480"/>
    <n v="241780"/>
    <n v="194809"/>
    <s v="UP"/>
    <s v="Short Buildup"/>
    <n v="30971.25"/>
  </r>
  <r>
    <x v="7"/>
    <s v="Long Buildup"/>
    <s v="UP"/>
    <n v="883"/>
    <n v="2060"/>
    <n v="660"/>
    <n v="31.26"/>
    <n v="73.95"/>
    <n v="627.29999999999995"/>
    <x v="2"/>
    <n v="37.049999999999997"/>
    <n v="-32.700000000000003"/>
    <n v="23.73"/>
    <n v="158040"/>
    <n v="289360"/>
    <n v="287146"/>
    <s v="UP"/>
    <s v="Short Buildup"/>
    <n v="30971.25"/>
  </r>
  <r>
    <x v="7"/>
    <s v="Long Buildup"/>
    <s v="UP"/>
    <n v="12903"/>
    <n v="54980"/>
    <n v="6960"/>
    <n v="24.24"/>
    <n v="72.55"/>
    <n v="546.1"/>
    <x v="3"/>
    <n v="50.2"/>
    <n v="-42.05"/>
    <n v="23.21"/>
    <n v="389260"/>
    <n v="927600"/>
    <n v="612587"/>
    <s v="UP"/>
    <s v="Short Buildup"/>
    <n v="30971.25"/>
  </r>
  <r>
    <x v="7"/>
    <s v="Long Buildup"/>
    <s v="UP"/>
    <n v="10387"/>
    <n v="19380"/>
    <n v="3000"/>
    <n v="24.32"/>
    <n v="61.65"/>
    <n v="465.2"/>
    <x v="4"/>
    <n v="68"/>
    <n v="-50.25"/>
    <n v="22.73"/>
    <n v="237820"/>
    <n v="411640"/>
    <n v="355646"/>
    <s v="UP"/>
    <s v="Short Buildup"/>
    <n v="30971.25"/>
  </r>
  <r>
    <x v="7"/>
    <s v="Long Buildup"/>
    <s v="UP"/>
    <n v="46480"/>
    <n v="55420"/>
    <n v="27220"/>
    <n v="23.48"/>
    <n v="53.1"/>
    <n v="385.55"/>
    <x v="5"/>
    <n v="91.05"/>
    <n v="-61.15"/>
    <n v="22.33"/>
    <n v="326060"/>
    <n v="498540"/>
    <n v="417599"/>
    <s v="UP"/>
    <s v="Short Buildup"/>
    <n v="30971.25"/>
  </r>
  <r>
    <x v="7"/>
    <s v="Long Buildup"/>
    <s v="UP"/>
    <n v="151588"/>
    <n v="211560"/>
    <n v="68940"/>
    <n v="22.99"/>
    <n v="43.55"/>
    <n v="317.2"/>
    <x v="6"/>
    <n v="119.5"/>
    <n v="-71.650000000000006"/>
    <n v="21.91"/>
    <n v="318660"/>
    <n v="576300"/>
    <n v="428921"/>
    <s v="UP"/>
    <s v="Short Buildup"/>
    <n v="30971.25"/>
  </r>
  <r>
    <x v="7"/>
    <s v="Long Buildup"/>
    <s v="UP"/>
    <n v="267905"/>
    <n v="391220"/>
    <n v="171020"/>
    <n v="22.23"/>
    <n v="31.6"/>
    <n v="252.45"/>
    <x v="7"/>
    <n v="155.69999999999999"/>
    <n v="-80.8"/>
    <n v="21.47"/>
    <n v="317300"/>
    <n v="526020"/>
    <n v="368237"/>
    <s v="UP"/>
    <s v="Short Buildup"/>
    <n v="30971.25"/>
  </r>
  <r>
    <x v="7"/>
    <s v="Long Buildup"/>
    <s v="UP"/>
    <n v="584689"/>
    <n v="1050900"/>
    <n v="272640"/>
    <n v="21.97"/>
    <n v="21.4"/>
    <n v="199.2"/>
    <x v="8"/>
    <n v="200.1"/>
    <n v="-91.85"/>
    <n v="21.34"/>
    <n v="339980"/>
    <n v="791200"/>
    <n v="357655"/>
    <s v="UP"/>
    <s v="Short Buildup"/>
    <n v="30971.25"/>
  </r>
  <r>
    <x v="7"/>
    <s v="Long Buildup"/>
    <s v="UP"/>
    <n v="364756"/>
    <n v="479180"/>
    <n v="109260"/>
    <n v="21.92"/>
    <n v="12.75"/>
    <n v="153"/>
    <x v="9"/>
    <n v="255.45"/>
    <n v="-98"/>
    <n v="21.09"/>
    <n v="43980"/>
    <n v="148240"/>
    <n v="81737"/>
    <s v="UP"/>
    <s v="Short Buildup"/>
    <n v="30971.25"/>
  </r>
  <r>
    <x v="7"/>
    <s v="Long Buildup"/>
    <s v="UP"/>
    <n v="559420"/>
    <n v="707620"/>
    <n v="148220"/>
    <n v="21.97"/>
    <n v="5.75"/>
    <n v="116.6"/>
    <x v="10"/>
    <n v="318.45"/>
    <n v="-106.8"/>
    <n v="21.31"/>
    <n v="16020"/>
    <n v="121120"/>
    <n v="44851"/>
    <s v="UP"/>
    <s v="Short Buildup"/>
    <n v="30971.25"/>
  </r>
  <r>
    <x v="7"/>
    <s v="Long Buildup"/>
    <s v="UP"/>
    <n v="396681"/>
    <n v="616860"/>
    <n v="169180"/>
    <n v="22.01"/>
    <n v="1.65"/>
    <n v="87.2"/>
    <x v="11"/>
    <n v="388.95"/>
    <n v="-119.75"/>
    <n v="21.05"/>
    <n v="-15540"/>
    <n v="87640"/>
    <n v="11614"/>
    <s v="DOWN"/>
    <s v="Long Liquidation"/>
    <n v="30971.25"/>
  </r>
  <r>
    <x v="7"/>
    <s v="Short Buildup"/>
    <s v="UP"/>
    <n v="350299"/>
    <n v="540040"/>
    <n v="146880"/>
    <n v="22.13"/>
    <n v="-2.4"/>
    <n v="63.45"/>
    <x v="12"/>
    <n v="468.75"/>
    <n v="-113.2"/>
    <n v="20.55"/>
    <n v="3800"/>
    <n v="54280"/>
    <n v="4052"/>
    <s v="UP"/>
    <s v="Short Buildup"/>
    <n v="30971.25"/>
  </r>
  <r>
    <x v="7"/>
    <s v="Short Buildup"/>
    <s v="UP"/>
    <n v="517440"/>
    <n v="1423960"/>
    <n v="229600"/>
    <n v="22.41"/>
    <n v="-4.4000000000000004"/>
    <n v="45.55"/>
    <x v="13"/>
    <n v="547.1"/>
    <n v="-120.2"/>
    <n v="18.47"/>
    <n v="4320"/>
    <n v="472420"/>
    <n v="6502"/>
    <s v="UP"/>
    <s v="Short Buildup"/>
    <n v="30971.25"/>
  </r>
  <r>
    <x v="7"/>
    <s v="Short Buildup"/>
    <s v="UP"/>
    <n v="203916"/>
    <n v="351660"/>
    <n v="67440"/>
    <n v="22.58"/>
    <n v="-6.3"/>
    <n v="31.45"/>
    <x v="14"/>
    <n v="640.9"/>
    <n v="-119.95"/>
    <n v="12.8"/>
    <s v="-"/>
    <n v="17660"/>
    <n v="274"/>
    <s v="UP"/>
    <s v="Short Buildup"/>
    <n v="30971.25"/>
  </r>
  <r>
    <x v="7"/>
    <s v="Short Buildup"/>
    <s v="UP"/>
    <n v="134579"/>
    <n v="391440"/>
    <n v="33480"/>
    <n v="22.61"/>
    <n v="-6.25"/>
    <n v="21.9"/>
    <x v="15"/>
    <n v="736.95"/>
    <n v="-106.75"/>
    <n v="14.76"/>
    <n v="-1240"/>
    <n v="10100"/>
    <n v="316"/>
    <s v="DOWN"/>
    <s v="Long Liquidation"/>
    <n v="30971.25"/>
  </r>
  <r>
    <x v="7"/>
    <n v="0.85990588041163829"/>
    <m/>
    <m/>
    <n v="6302620"/>
    <m/>
    <m/>
    <m/>
    <m/>
    <x v="16"/>
    <m/>
    <m/>
    <m/>
    <m/>
    <n v="5419660"/>
    <m/>
    <m/>
    <m/>
    <m/>
  </r>
  <r>
    <x v="7"/>
    <s v="n"/>
    <s v="UP"/>
    <n v="168"/>
    <n v="1440"/>
    <n v="1020"/>
    <n v="29.83"/>
    <n v="100.2"/>
    <n v="821.15"/>
    <x v="0"/>
    <n v="20.399999999999999"/>
    <n v="-19.75"/>
    <n v="24.94"/>
    <n v="31700"/>
    <n v="245760"/>
    <n v="151916"/>
    <s v="UP"/>
    <s v="Short Buildup"/>
    <n v="30971.25"/>
  </r>
  <r>
    <x v="7"/>
    <s v="Long Buildup"/>
    <s v="UP"/>
    <n v="592"/>
    <n v="4900"/>
    <n v="2740"/>
    <n v="29.19"/>
    <n v="92.4"/>
    <n v="722.05"/>
    <x v="1"/>
    <n v="27.2"/>
    <n v="-25.45"/>
    <n v="24.23"/>
    <n v="95480"/>
    <n v="241780"/>
    <n v="194809"/>
    <s v="UP"/>
    <s v="Short Buildup"/>
    <n v="30971.25"/>
  </r>
  <r>
    <x v="7"/>
    <s v="Long Buildup"/>
    <s v="UP"/>
    <n v="883"/>
    <n v="2060"/>
    <n v="660"/>
    <n v="31.26"/>
    <n v="73.95"/>
    <n v="627.29999999999995"/>
    <x v="2"/>
    <n v="37.049999999999997"/>
    <n v="-32.700000000000003"/>
    <n v="23.73"/>
    <n v="158040"/>
    <n v="289360"/>
    <n v="287146"/>
    <s v="UP"/>
    <s v="Short Buildup"/>
    <n v="30971.25"/>
  </r>
  <r>
    <x v="7"/>
    <s v="Long Buildup"/>
    <s v="UP"/>
    <n v="12903"/>
    <n v="54980"/>
    <n v="6960"/>
    <n v="24.24"/>
    <n v="72.55"/>
    <n v="546.1"/>
    <x v="3"/>
    <n v="50.2"/>
    <n v="-42.05"/>
    <n v="23.21"/>
    <n v="389260"/>
    <n v="927600"/>
    <n v="612587"/>
    <s v="UP"/>
    <s v="Short Buildup"/>
    <n v="30971.25"/>
  </r>
  <r>
    <x v="7"/>
    <s v="Long Buildup"/>
    <s v="UP"/>
    <n v="10387"/>
    <n v="19380"/>
    <n v="3000"/>
    <n v="24.32"/>
    <n v="61.65"/>
    <n v="465.2"/>
    <x v="4"/>
    <n v="68"/>
    <n v="-50.25"/>
    <n v="22.73"/>
    <n v="237820"/>
    <n v="411640"/>
    <n v="355646"/>
    <s v="UP"/>
    <s v="Short Buildup"/>
    <n v="30971.25"/>
  </r>
  <r>
    <x v="7"/>
    <s v="Long Buildup"/>
    <s v="UP"/>
    <n v="46480"/>
    <n v="55420"/>
    <n v="27220"/>
    <n v="23.48"/>
    <n v="53.1"/>
    <n v="385.55"/>
    <x v="5"/>
    <n v="91.05"/>
    <n v="-61.15"/>
    <n v="22.33"/>
    <n v="326060"/>
    <n v="498540"/>
    <n v="417599"/>
    <s v="UP"/>
    <s v="Short Buildup"/>
    <n v="30971.25"/>
  </r>
  <r>
    <x v="7"/>
    <s v="Long Buildup"/>
    <s v="UP"/>
    <n v="151588"/>
    <n v="211560"/>
    <n v="68940"/>
    <n v="22.99"/>
    <n v="43.55"/>
    <n v="317.2"/>
    <x v="6"/>
    <n v="119.5"/>
    <n v="-71.650000000000006"/>
    <n v="21.91"/>
    <n v="318660"/>
    <n v="576300"/>
    <n v="428921"/>
    <s v="UP"/>
    <s v="Short Buildup"/>
    <n v="30971.25"/>
  </r>
  <r>
    <x v="7"/>
    <s v="Long Buildup"/>
    <s v="UP"/>
    <n v="267905"/>
    <n v="391220"/>
    <n v="171020"/>
    <n v="22.23"/>
    <n v="31.6"/>
    <n v="252.45"/>
    <x v="7"/>
    <n v="155.69999999999999"/>
    <n v="-80.8"/>
    <n v="21.47"/>
    <n v="317300"/>
    <n v="526020"/>
    <n v="368237"/>
    <s v="UP"/>
    <s v="Short Buildup"/>
    <n v="30971.25"/>
  </r>
  <r>
    <x v="7"/>
    <s v="Long Buildup"/>
    <s v="UP"/>
    <n v="584689"/>
    <n v="1050900"/>
    <n v="272640"/>
    <n v="21.97"/>
    <n v="21.4"/>
    <n v="199.2"/>
    <x v="8"/>
    <n v="200.1"/>
    <n v="-91.85"/>
    <n v="21.34"/>
    <n v="339980"/>
    <n v="791200"/>
    <n v="357655"/>
    <s v="UP"/>
    <s v="Short Buildup"/>
    <n v="30971.25"/>
  </r>
  <r>
    <x v="7"/>
    <s v="Long Buildup"/>
    <s v="UP"/>
    <n v="364756"/>
    <n v="479180"/>
    <n v="109260"/>
    <n v="21.92"/>
    <n v="12.75"/>
    <n v="153"/>
    <x v="9"/>
    <n v="255.45"/>
    <n v="-98"/>
    <n v="21.09"/>
    <n v="43980"/>
    <n v="148240"/>
    <n v="81737"/>
    <s v="UP"/>
    <s v="Short Buildup"/>
    <n v="30971.25"/>
  </r>
  <r>
    <x v="7"/>
    <s v="Long Buildup"/>
    <s v="UP"/>
    <n v="559420"/>
    <n v="707620"/>
    <n v="148220"/>
    <n v="21.97"/>
    <n v="5.75"/>
    <n v="116.6"/>
    <x v="10"/>
    <n v="318.45"/>
    <n v="-106.8"/>
    <n v="21.31"/>
    <n v="16020"/>
    <n v="121120"/>
    <n v="44851"/>
    <s v="UP"/>
    <s v="Short Buildup"/>
    <n v="30971.25"/>
  </r>
  <r>
    <x v="7"/>
    <s v="Long Buildup"/>
    <s v="UP"/>
    <n v="396681"/>
    <n v="616860"/>
    <n v="169180"/>
    <n v="22.01"/>
    <n v="1.65"/>
    <n v="87.2"/>
    <x v="11"/>
    <n v="388.95"/>
    <n v="-119.75"/>
    <n v="21.05"/>
    <n v="-15540"/>
    <n v="87640"/>
    <n v="11614"/>
    <s v="DOWN"/>
    <s v="Long Liquidation"/>
    <n v="30971.25"/>
  </r>
  <r>
    <x v="7"/>
    <s v="Short Buildup"/>
    <s v="UP"/>
    <n v="350299"/>
    <n v="540040"/>
    <n v="146880"/>
    <n v="22.13"/>
    <n v="-2.4"/>
    <n v="63.45"/>
    <x v="12"/>
    <n v="468.75"/>
    <n v="-113.2"/>
    <n v="20.55"/>
    <n v="3800"/>
    <n v="54280"/>
    <n v="4052"/>
    <s v="UP"/>
    <s v="Short Buildup"/>
    <n v="30971.25"/>
  </r>
  <r>
    <x v="7"/>
    <s v="Short Buildup"/>
    <s v="UP"/>
    <n v="517440"/>
    <n v="1423960"/>
    <n v="229600"/>
    <n v="22.41"/>
    <n v="-4.4000000000000004"/>
    <n v="45.55"/>
    <x v="13"/>
    <n v="547.1"/>
    <n v="-120.2"/>
    <n v="18.47"/>
    <n v="4320"/>
    <n v="472420"/>
    <n v="6502"/>
    <s v="UP"/>
    <s v="Short Buildup"/>
    <n v="30971.25"/>
  </r>
  <r>
    <x v="7"/>
    <s v="Short Buildup"/>
    <s v="UP"/>
    <n v="203916"/>
    <n v="351660"/>
    <n v="67440"/>
    <n v="22.58"/>
    <n v="-6.3"/>
    <n v="31.45"/>
    <x v="14"/>
    <n v="640.9"/>
    <n v="-119.95"/>
    <n v="12.8"/>
    <s v="-"/>
    <n v="17660"/>
    <n v="274"/>
    <s v="UP"/>
    <s v="Short Buildup"/>
    <n v="30971.25"/>
  </r>
  <r>
    <x v="7"/>
    <s v="Short Buildup"/>
    <s v="UP"/>
    <n v="134579"/>
    <n v="391440"/>
    <n v="33480"/>
    <n v="22.61"/>
    <n v="-6.25"/>
    <n v="21.9"/>
    <x v="15"/>
    <n v="736.95"/>
    <n v="-106.75"/>
    <n v="14.76"/>
    <n v="-1240"/>
    <n v="10100"/>
    <n v="316"/>
    <s v="DOWN"/>
    <s v="Long Liquidation"/>
    <n v="30971.25"/>
  </r>
  <r>
    <x v="7"/>
    <n v="0.85990588041163829"/>
    <m/>
    <m/>
    <n v="6302620"/>
    <m/>
    <m/>
    <m/>
    <m/>
    <x v="16"/>
    <m/>
    <m/>
    <m/>
    <m/>
    <n v="5419660"/>
    <m/>
    <m/>
    <m/>
    <m/>
  </r>
  <r>
    <x v="8"/>
    <s v="n"/>
    <s v="UP"/>
    <n v="168"/>
    <n v="1440"/>
    <n v="1020"/>
    <n v="29.83"/>
    <n v="100.2"/>
    <n v="821.15"/>
    <x v="0"/>
    <n v="21.05"/>
    <n v="-19.100000000000001"/>
    <n v="24.94"/>
    <n v="24300"/>
    <n v="238360"/>
    <n v="153800"/>
    <s v="UP"/>
    <s v="Short Buildup"/>
    <n v="30953.15"/>
  </r>
  <r>
    <x v="8"/>
    <s v="Long Buildup"/>
    <s v="UP"/>
    <n v="594"/>
    <n v="4860"/>
    <n v="2700"/>
    <n v="29.19"/>
    <n v="64.25"/>
    <n v="693.9"/>
    <x v="1"/>
    <n v="28"/>
    <n v="-24.65"/>
    <n v="24.23"/>
    <n v="89920"/>
    <n v="236220"/>
    <n v="197046"/>
    <s v="UP"/>
    <s v="Short Buildup"/>
    <n v="30953.15"/>
  </r>
  <r>
    <x v="8"/>
    <s v="Long Buildup"/>
    <s v="UP"/>
    <n v="888"/>
    <n v="2060"/>
    <n v="660"/>
    <n v="31.26"/>
    <n v="40.700000000000003"/>
    <n v="594.04999999999995"/>
    <x v="2"/>
    <n v="39.450000000000003"/>
    <n v="-30.3"/>
    <n v="23.73"/>
    <n v="155140"/>
    <n v="286460"/>
    <n v="291352"/>
    <s v="UP"/>
    <s v="Short Buildup"/>
    <n v="30953.15"/>
  </r>
  <r>
    <x v="8"/>
    <s v="Long Buildup"/>
    <s v="UP"/>
    <n v="13018"/>
    <n v="56240"/>
    <n v="8220"/>
    <n v="24.24"/>
    <n v="40.25"/>
    <n v="513.79999999999995"/>
    <x v="3"/>
    <n v="54.45"/>
    <n v="-37.799999999999997"/>
    <n v="23.21"/>
    <n v="355260"/>
    <n v="893600"/>
    <n v="623881"/>
    <s v="UP"/>
    <s v="Short Buildup"/>
    <n v="30953.15"/>
  </r>
  <r>
    <x v="8"/>
    <s v="Long Buildup"/>
    <s v="UP"/>
    <n v="10483"/>
    <n v="19540"/>
    <n v="3160"/>
    <n v="24.32"/>
    <n v="31.9"/>
    <n v="435.45"/>
    <x v="4"/>
    <n v="73.75"/>
    <n v="-44.5"/>
    <n v="22.73"/>
    <n v="235060"/>
    <n v="408880"/>
    <n v="361353"/>
    <s v="UP"/>
    <s v="Short Buildup"/>
    <n v="30953.15"/>
  </r>
  <r>
    <x v="8"/>
    <s v="Long Buildup"/>
    <s v="UP"/>
    <n v="46958"/>
    <n v="54980"/>
    <n v="26780"/>
    <n v="23.48"/>
    <n v="35.4"/>
    <n v="367.85"/>
    <x v="5"/>
    <n v="99.15"/>
    <n v="-53.05"/>
    <n v="22.33"/>
    <n v="303280"/>
    <n v="475760"/>
    <n v="427172"/>
    <s v="UP"/>
    <s v="Short Buildup"/>
    <n v="30953.15"/>
  </r>
  <r>
    <x v="8"/>
    <s v="Long Buildup"/>
    <s v="UP"/>
    <n v="152907"/>
    <n v="209360"/>
    <n v="66740"/>
    <n v="22.99"/>
    <n v="22.3"/>
    <n v="295.95"/>
    <x v="6"/>
    <n v="131.25"/>
    <n v="-59.9"/>
    <n v="21.91"/>
    <n v="319480"/>
    <n v="577120"/>
    <n v="438557"/>
    <s v="UP"/>
    <s v="Short Buildup"/>
    <n v="30953.15"/>
  </r>
  <r>
    <x v="8"/>
    <s v="Long Buildup"/>
    <s v="UP"/>
    <n v="270714"/>
    <n v="389240"/>
    <n v="169040"/>
    <n v="22.23"/>
    <n v="13"/>
    <n v="233.85"/>
    <x v="7"/>
    <n v="171.4"/>
    <n v="-65.099999999999994"/>
    <n v="21.47"/>
    <n v="320620"/>
    <n v="529340"/>
    <n v="375156"/>
    <s v="UP"/>
    <s v="Short Buildup"/>
    <n v="30953.15"/>
  </r>
  <r>
    <x v="8"/>
    <s v="Long Buildup"/>
    <s v="UP"/>
    <n v="595174"/>
    <n v="1058000"/>
    <n v="279740"/>
    <n v="21.97"/>
    <n v="4.75"/>
    <n v="182.55"/>
    <x v="8"/>
    <n v="219"/>
    <n v="-72.95"/>
    <n v="21.34"/>
    <n v="332700"/>
    <n v="783920"/>
    <n v="365936"/>
    <s v="UP"/>
    <s v="Short Buildup"/>
    <n v="30953.15"/>
  </r>
  <r>
    <x v="8"/>
    <s v="Long Buildup"/>
    <s v="UP"/>
    <n v="371437"/>
    <n v="495160"/>
    <n v="125240"/>
    <n v="21.92"/>
    <n v="0.3"/>
    <n v="140.55000000000001"/>
    <x v="9"/>
    <n v="273.14999999999998"/>
    <n v="-80.3"/>
    <n v="21.09"/>
    <n v="40720"/>
    <n v="144980"/>
    <n v="83431"/>
    <s v="UP"/>
    <s v="Short Buildup"/>
    <n v="30953.15"/>
  </r>
  <r>
    <x v="8"/>
    <s v="Short Buildup"/>
    <s v="UP"/>
    <n v="567547"/>
    <n v="703700"/>
    <n v="144300"/>
    <n v="21.97"/>
    <n v="-4.25"/>
    <n v="106.6"/>
    <x v="10"/>
    <n v="344.3"/>
    <n v="-80.95"/>
    <n v="21.31"/>
    <n v="16700"/>
    <n v="121800"/>
    <n v="46524"/>
    <s v="UP"/>
    <s v="Short Buildup"/>
    <n v="30953.15"/>
  </r>
  <r>
    <x v="8"/>
    <s v="Short Buildup"/>
    <s v="UP"/>
    <n v="402985"/>
    <n v="625820"/>
    <n v="178140"/>
    <n v="22.01"/>
    <n v="-6.55"/>
    <n v="79"/>
    <x v="11"/>
    <n v="417"/>
    <n v="-91.7"/>
    <n v="21.05"/>
    <n v="-8800"/>
    <n v="94380"/>
    <n v="12316"/>
    <s v="DOWN"/>
    <s v="Long Liquidation"/>
    <n v="30953.15"/>
  </r>
  <r>
    <x v="8"/>
    <s v="Short Buildup"/>
    <s v="UP"/>
    <n v="355465"/>
    <n v="544980"/>
    <n v="151820"/>
    <n v="22.13"/>
    <n v="-7.75"/>
    <n v="58.1"/>
    <x v="12"/>
    <n v="500"/>
    <n v="-81.95"/>
    <n v="20.55"/>
    <n v="3800"/>
    <n v="54280"/>
    <n v="4144"/>
    <s v="UP"/>
    <s v="Short Buildup"/>
    <n v="30953.15"/>
  </r>
  <r>
    <x v="8"/>
    <s v="Short Buildup"/>
    <s v="UP"/>
    <n v="526418"/>
    <n v="1437080"/>
    <n v="242720"/>
    <n v="22.41"/>
    <n v="-7.5"/>
    <n v="42.45"/>
    <x v="13"/>
    <n v="582.9"/>
    <n v="-84.4"/>
    <n v="18.47"/>
    <n v="4340"/>
    <n v="472440"/>
    <n v="6537"/>
    <s v="UP"/>
    <s v="Short Buildup"/>
    <n v="30953.15"/>
  </r>
  <r>
    <x v="8"/>
    <s v="Short Buildup"/>
    <s v="UP"/>
    <n v="207191"/>
    <n v="356900"/>
    <n v="72680"/>
    <n v="22.58"/>
    <n v="-7.4"/>
    <n v="30.35"/>
    <x v="14"/>
    <n v="646.79999999999995"/>
    <n v="-114.05"/>
    <n v="12.8"/>
    <n v="-20"/>
    <n v="17640"/>
    <n v="282"/>
    <s v="DOWN"/>
    <s v="Long Liquidation"/>
    <n v="30953.15"/>
  </r>
  <r>
    <x v="8"/>
    <s v="Short Buildup"/>
    <s v="UP"/>
    <n v="137538"/>
    <n v="392580"/>
    <n v="34620"/>
    <n v="22.61"/>
    <n v="-7.05"/>
    <n v="21.1"/>
    <x v="15"/>
    <n v="768.55"/>
    <n v="-75.150000000000006"/>
    <n v="14.76"/>
    <n v="-1240"/>
    <n v="10100"/>
    <n v="317"/>
    <s v="DOWN"/>
    <s v="Long Liquidation"/>
    <n v="30953.15"/>
  </r>
  <r>
    <x v="8"/>
    <n v="0.84151928387232877"/>
    <m/>
    <m/>
    <n v="6351940"/>
    <m/>
    <m/>
    <m/>
    <m/>
    <x v="16"/>
    <m/>
    <m/>
    <m/>
    <m/>
    <n v="5345280"/>
    <m/>
    <m/>
    <m/>
    <m/>
  </r>
  <r>
    <x v="9"/>
    <s v="n"/>
    <s v="UP"/>
    <n v="168"/>
    <n v="1440"/>
    <n v="1020"/>
    <n v="29.83"/>
    <n v="100.2"/>
    <n v="821.15"/>
    <x v="0"/>
    <n v="20.75"/>
    <n v="-19.399999999999999"/>
    <n v="24.94"/>
    <n v="26280"/>
    <n v="240340"/>
    <n v="154484"/>
    <s v="UP"/>
    <s v="Short Buildup"/>
    <n v="30958.799999999999"/>
  </r>
  <r>
    <x v="9"/>
    <s v="Long Buildup"/>
    <s v="UP"/>
    <n v="594"/>
    <n v="4860"/>
    <n v="2700"/>
    <n v="29.19"/>
    <n v="64.25"/>
    <n v="693.9"/>
    <x v="1"/>
    <n v="28.4"/>
    <n v="-24.25"/>
    <n v="24.23"/>
    <n v="88460"/>
    <n v="234760"/>
    <n v="197841"/>
    <s v="UP"/>
    <s v="Short Buildup"/>
    <n v="30958.799999999999"/>
  </r>
  <r>
    <x v="9"/>
    <s v="Long Buildup"/>
    <s v="UP"/>
    <n v="889"/>
    <n v="1980"/>
    <n v="580"/>
    <n v="31.26"/>
    <n v="66.95"/>
    <n v="620.29999999999995"/>
    <x v="2"/>
    <n v="39.6"/>
    <n v="-30.15"/>
    <n v="23.73"/>
    <n v="155900"/>
    <n v="287220"/>
    <n v="292728"/>
    <s v="UP"/>
    <s v="Short Buildup"/>
    <n v="30958.799999999999"/>
  </r>
  <r>
    <x v="9"/>
    <s v="Long Buildup"/>
    <s v="UP"/>
    <n v="13060"/>
    <n v="56140"/>
    <n v="8120"/>
    <n v="24.24"/>
    <n v="50.45"/>
    <n v="524"/>
    <x v="3"/>
    <n v="54.35"/>
    <n v="-37.9"/>
    <n v="23.21"/>
    <n v="343720"/>
    <n v="882060"/>
    <n v="627814"/>
    <s v="UP"/>
    <s v="Short Buildup"/>
    <n v="30958.799999999999"/>
  </r>
  <r>
    <x v="9"/>
    <s v="Long Buildup"/>
    <s v="UP"/>
    <n v="10509"/>
    <n v="20100"/>
    <n v="3720"/>
    <n v="24.32"/>
    <n v="35.049999999999997"/>
    <n v="438.6"/>
    <x v="4"/>
    <n v="73.849999999999994"/>
    <n v="-44.4"/>
    <n v="22.73"/>
    <n v="243120"/>
    <n v="416940"/>
    <n v="363496"/>
    <s v="UP"/>
    <s v="Short Buildup"/>
    <n v="30958.799999999999"/>
  </r>
  <r>
    <x v="9"/>
    <s v="Long Buildup"/>
    <s v="UP"/>
    <n v="47019"/>
    <n v="57180"/>
    <n v="28980"/>
    <n v="23.48"/>
    <n v="32.15"/>
    <n v="364.6"/>
    <x v="5"/>
    <n v="98.95"/>
    <n v="-53.25"/>
    <n v="22.33"/>
    <n v="300940"/>
    <n v="473420"/>
    <n v="429957"/>
    <s v="UP"/>
    <s v="Short Buildup"/>
    <n v="30958.799999999999"/>
  </r>
  <r>
    <x v="9"/>
    <s v="Long Buildup"/>
    <s v="UP"/>
    <n v="153371"/>
    <n v="210020"/>
    <n v="67400"/>
    <n v="22.99"/>
    <n v="23.05"/>
    <n v="296.7"/>
    <x v="6"/>
    <n v="130"/>
    <n v="-61.15"/>
    <n v="21.91"/>
    <n v="307560"/>
    <n v="565200"/>
    <n v="440705"/>
    <s v="UP"/>
    <s v="Short Buildup"/>
    <n v="30958.799999999999"/>
  </r>
  <r>
    <x v="9"/>
    <s v="Long Buildup"/>
    <s v="UP"/>
    <n v="271571"/>
    <n v="393900"/>
    <n v="173700"/>
    <n v="22.23"/>
    <n v="13"/>
    <n v="233.85"/>
    <x v="7"/>
    <n v="169"/>
    <n v="-67.5"/>
    <n v="21.47"/>
    <n v="314660"/>
    <n v="523380"/>
    <n v="376758"/>
    <s v="UP"/>
    <s v="Short Buildup"/>
    <n v="30958.799999999999"/>
  </r>
  <r>
    <x v="9"/>
    <s v="Long Buildup"/>
    <s v="UP"/>
    <n v="598037"/>
    <n v="1058520"/>
    <n v="280260"/>
    <n v="21.97"/>
    <n v="4.6500000000000004"/>
    <n v="182.45"/>
    <x v="8"/>
    <n v="216.65"/>
    <n v="-75.3"/>
    <n v="21.34"/>
    <n v="326300"/>
    <n v="777520"/>
    <n v="367729"/>
    <s v="UP"/>
    <s v="Short Buildup"/>
    <n v="30958.799999999999"/>
  </r>
  <r>
    <x v="9"/>
    <s v="Short Buildup"/>
    <s v="UP"/>
    <n v="373590"/>
    <n v="502440"/>
    <n v="132520"/>
    <n v="21.92"/>
    <n v="-0.1"/>
    <n v="140.15"/>
    <x v="9"/>
    <n v="274.25"/>
    <n v="-79.2"/>
    <n v="21.09"/>
    <n v="37700"/>
    <n v="141960"/>
    <n v="83645"/>
    <s v="UP"/>
    <s v="Short Buildup"/>
    <n v="30958.799999999999"/>
  </r>
  <r>
    <x v="9"/>
    <s v="Short Buildup"/>
    <s v="UP"/>
    <n v="569827"/>
    <n v="703800"/>
    <n v="144400"/>
    <n v="21.97"/>
    <n v="-4.0999999999999996"/>
    <n v="106.75"/>
    <x v="10"/>
    <n v="340"/>
    <n v="-85.25"/>
    <n v="21.31"/>
    <n v="18120"/>
    <n v="123220"/>
    <n v="46698"/>
    <s v="UP"/>
    <s v="Short Buildup"/>
    <n v="30958.799999999999"/>
  </r>
  <r>
    <x v="9"/>
    <s v="Short Buildup"/>
    <s v="UP"/>
    <n v="404462"/>
    <n v="625000"/>
    <n v="177320"/>
    <n v="22.01"/>
    <n v="-6.5"/>
    <n v="79.05"/>
    <x v="11"/>
    <n v="412.7"/>
    <n v="-96"/>
    <n v="21.05"/>
    <n v="-8740"/>
    <n v="94440"/>
    <n v="12411"/>
    <s v="DOWN"/>
    <s v="Long Liquidation"/>
    <n v="30958.799999999999"/>
  </r>
  <r>
    <x v="9"/>
    <s v="Short Buildup"/>
    <s v="UP"/>
    <n v="356695"/>
    <n v="541720"/>
    <n v="148560"/>
    <n v="22.13"/>
    <n v="-8.1999999999999993"/>
    <n v="57.65"/>
    <x v="12"/>
    <n v="474"/>
    <n v="-107.95"/>
    <n v="20.55"/>
    <n v="4140"/>
    <n v="54620"/>
    <n v="4167"/>
    <s v="UP"/>
    <s v="Short Buildup"/>
    <n v="30958.799999999999"/>
  </r>
  <r>
    <x v="9"/>
    <s v="Short Buildup"/>
    <s v="UP"/>
    <n v="528505"/>
    <n v="1432420"/>
    <n v="238060"/>
    <n v="22.41"/>
    <n v="-8.25"/>
    <n v="41.7"/>
    <x v="13"/>
    <n v="572.65"/>
    <n v="-94.65"/>
    <n v="18.47"/>
    <n v="4340"/>
    <n v="472440"/>
    <n v="6542"/>
    <s v="UP"/>
    <s v="Short Buildup"/>
    <n v="30958.799999999999"/>
  </r>
  <r>
    <x v="9"/>
    <s v="Short Buildup"/>
    <s v="UP"/>
    <n v="207991"/>
    <n v="356980"/>
    <n v="72760"/>
    <n v="22.58"/>
    <n v="-8.25"/>
    <n v="29.5"/>
    <x v="14"/>
    <n v="646.79999999999995"/>
    <n v="-114.05"/>
    <n v="12.8"/>
    <n v="-20"/>
    <n v="17640"/>
    <n v="282"/>
    <s v="DOWN"/>
    <s v="Long Liquidation"/>
    <n v="30958.799999999999"/>
  </r>
  <r>
    <x v="9"/>
    <s v="Short Buildup"/>
    <s v="UP"/>
    <n v="138035"/>
    <n v="380980"/>
    <n v="23020"/>
    <n v="22.61"/>
    <n v="-7.1"/>
    <n v="21.05"/>
    <x v="15"/>
    <n v="768.55"/>
    <n v="-75.150000000000006"/>
    <n v="14.76"/>
    <n v="-1240"/>
    <n v="10100"/>
    <n v="317"/>
    <s v="DOWN"/>
    <s v="Long Liquidation"/>
    <n v="30958.799999999999"/>
  </r>
  <r>
    <x v="9"/>
    <n v="0.83738113393031566"/>
    <m/>
    <m/>
    <n v="6347480"/>
    <m/>
    <m/>
    <m/>
    <m/>
    <x v="16"/>
    <m/>
    <m/>
    <m/>
    <m/>
    <n v="5315260"/>
    <m/>
    <m/>
    <m/>
    <m/>
  </r>
  <r>
    <x v="9"/>
    <s v="n"/>
    <s v="UP"/>
    <n v="168"/>
    <n v="1440"/>
    <n v="1020"/>
    <n v="29.83"/>
    <n v="100.2"/>
    <n v="821.15"/>
    <x v="0"/>
    <n v="20.75"/>
    <n v="-19.399999999999999"/>
    <n v="24.94"/>
    <n v="26280"/>
    <n v="240340"/>
    <n v="154484"/>
    <s v="UP"/>
    <s v="Short Buildup"/>
    <n v="30958.799999999999"/>
  </r>
  <r>
    <x v="9"/>
    <s v="Long Buildup"/>
    <s v="UP"/>
    <n v="594"/>
    <n v="4860"/>
    <n v="2700"/>
    <n v="29.19"/>
    <n v="64.25"/>
    <n v="693.9"/>
    <x v="1"/>
    <n v="28.4"/>
    <n v="-24.25"/>
    <n v="24.23"/>
    <n v="88460"/>
    <n v="234760"/>
    <n v="197841"/>
    <s v="UP"/>
    <s v="Short Buildup"/>
    <n v="30958.799999999999"/>
  </r>
  <r>
    <x v="9"/>
    <s v="Long Buildup"/>
    <s v="UP"/>
    <n v="889"/>
    <n v="1980"/>
    <n v="580"/>
    <n v="31.26"/>
    <n v="66.95"/>
    <n v="620.29999999999995"/>
    <x v="2"/>
    <n v="39.6"/>
    <n v="-30.15"/>
    <n v="23.73"/>
    <n v="155900"/>
    <n v="287220"/>
    <n v="292728"/>
    <s v="UP"/>
    <s v="Short Buildup"/>
    <n v="30958.799999999999"/>
  </r>
  <r>
    <x v="9"/>
    <s v="Long Buildup"/>
    <s v="UP"/>
    <n v="13060"/>
    <n v="56140"/>
    <n v="8120"/>
    <n v="24.24"/>
    <n v="50.45"/>
    <n v="524"/>
    <x v="3"/>
    <n v="54.35"/>
    <n v="-37.9"/>
    <n v="23.21"/>
    <n v="343720"/>
    <n v="882060"/>
    <n v="627814"/>
    <s v="UP"/>
    <s v="Short Buildup"/>
    <n v="30958.799999999999"/>
  </r>
  <r>
    <x v="9"/>
    <s v="Long Buildup"/>
    <s v="UP"/>
    <n v="10509"/>
    <n v="20100"/>
    <n v="3720"/>
    <n v="24.32"/>
    <n v="35.049999999999997"/>
    <n v="438.6"/>
    <x v="4"/>
    <n v="73.849999999999994"/>
    <n v="-44.4"/>
    <n v="22.73"/>
    <n v="243120"/>
    <n v="416940"/>
    <n v="363496"/>
    <s v="UP"/>
    <s v="Short Buildup"/>
    <n v="30958.799999999999"/>
  </r>
  <r>
    <x v="9"/>
    <s v="Long Buildup"/>
    <s v="UP"/>
    <n v="47019"/>
    <n v="57180"/>
    <n v="28980"/>
    <n v="23.48"/>
    <n v="32.15"/>
    <n v="364.6"/>
    <x v="5"/>
    <n v="98.95"/>
    <n v="-53.25"/>
    <n v="22.33"/>
    <n v="300940"/>
    <n v="473420"/>
    <n v="429957"/>
    <s v="UP"/>
    <s v="Short Buildup"/>
    <n v="30958.799999999999"/>
  </r>
  <r>
    <x v="9"/>
    <s v="Long Buildup"/>
    <s v="UP"/>
    <n v="153371"/>
    <n v="210020"/>
    <n v="67400"/>
    <n v="22.99"/>
    <n v="23.05"/>
    <n v="296.7"/>
    <x v="6"/>
    <n v="130"/>
    <n v="-61.15"/>
    <n v="21.91"/>
    <n v="307560"/>
    <n v="565200"/>
    <n v="440705"/>
    <s v="UP"/>
    <s v="Short Buildup"/>
    <n v="30958.799999999999"/>
  </r>
  <r>
    <x v="9"/>
    <s v="Long Buildup"/>
    <s v="UP"/>
    <n v="271571"/>
    <n v="393900"/>
    <n v="173700"/>
    <n v="22.23"/>
    <n v="13"/>
    <n v="233.85"/>
    <x v="7"/>
    <n v="169"/>
    <n v="-67.5"/>
    <n v="21.47"/>
    <n v="314660"/>
    <n v="523380"/>
    <n v="376758"/>
    <s v="UP"/>
    <s v="Short Buildup"/>
    <n v="30958.799999999999"/>
  </r>
  <r>
    <x v="9"/>
    <s v="Long Buildup"/>
    <s v="UP"/>
    <n v="598037"/>
    <n v="1058520"/>
    <n v="280260"/>
    <n v="21.97"/>
    <n v="4.6500000000000004"/>
    <n v="182.45"/>
    <x v="8"/>
    <n v="216.65"/>
    <n v="-75.3"/>
    <n v="21.34"/>
    <n v="326300"/>
    <n v="777520"/>
    <n v="367729"/>
    <s v="UP"/>
    <s v="Short Buildup"/>
    <n v="30958.799999999999"/>
  </r>
  <r>
    <x v="9"/>
    <s v="Short Buildup"/>
    <s v="UP"/>
    <n v="373590"/>
    <n v="502440"/>
    <n v="132520"/>
    <n v="21.92"/>
    <n v="-0.1"/>
    <n v="140.15"/>
    <x v="9"/>
    <n v="274.25"/>
    <n v="-79.2"/>
    <n v="21.09"/>
    <n v="37700"/>
    <n v="141960"/>
    <n v="83645"/>
    <s v="UP"/>
    <s v="Short Buildup"/>
    <n v="30958.799999999999"/>
  </r>
  <r>
    <x v="9"/>
    <s v="Short Buildup"/>
    <s v="UP"/>
    <n v="569827"/>
    <n v="703800"/>
    <n v="144400"/>
    <n v="21.97"/>
    <n v="-4.0999999999999996"/>
    <n v="106.75"/>
    <x v="10"/>
    <n v="340"/>
    <n v="-85.25"/>
    <n v="21.31"/>
    <n v="18120"/>
    <n v="123220"/>
    <n v="46698"/>
    <s v="UP"/>
    <s v="Short Buildup"/>
    <n v="30958.799999999999"/>
  </r>
  <r>
    <x v="9"/>
    <s v="Short Buildup"/>
    <s v="UP"/>
    <n v="404462"/>
    <n v="625000"/>
    <n v="177320"/>
    <n v="22.01"/>
    <n v="-6.5"/>
    <n v="79.05"/>
    <x v="11"/>
    <n v="412.7"/>
    <n v="-96"/>
    <n v="21.05"/>
    <n v="-8740"/>
    <n v="94440"/>
    <n v="12411"/>
    <s v="DOWN"/>
    <s v="Long Liquidation"/>
    <n v="30958.799999999999"/>
  </r>
  <r>
    <x v="9"/>
    <s v="Short Buildup"/>
    <s v="UP"/>
    <n v="356695"/>
    <n v="541720"/>
    <n v="148560"/>
    <n v="22.13"/>
    <n v="-8.1999999999999993"/>
    <n v="57.65"/>
    <x v="12"/>
    <n v="474"/>
    <n v="-107.95"/>
    <n v="20.55"/>
    <n v="4140"/>
    <n v="54620"/>
    <n v="4167"/>
    <s v="UP"/>
    <s v="Short Buildup"/>
    <n v="30958.799999999999"/>
  </r>
  <r>
    <x v="9"/>
    <s v="Short Buildup"/>
    <s v="UP"/>
    <n v="528505"/>
    <n v="1432420"/>
    <n v="238060"/>
    <n v="22.41"/>
    <n v="-8.25"/>
    <n v="41.7"/>
    <x v="13"/>
    <n v="572.65"/>
    <n v="-94.65"/>
    <n v="18.47"/>
    <n v="4340"/>
    <n v="472440"/>
    <n v="6542"/>
    <s v="UP"/>
    <s v="Short Buildup"/>
    <n v="30958.799999999999"/>
  </r>
  <r>
    <x v="9"/>
    <s v="Short Buildup"/>
    <s v="UP"/>
    <n v="207991"/>
    <n v="356980"/>
    <n v="72760"/>
    <n v="22.58"/>
    <n v="-8.25"/>
    <n v="29.5"/>
    <x v="14"/>
    <n v="646.79999999999995"/>
    <n v="-114.05"/>
    <n v="12.8"/>
    <n v="-20"/>
    <n v="17640"/>
    <n v="282"/>
    <s v="DOWN"/>
    <s v="Long Liquidation"/>
    <n v="30958.799999999999"/>
  </r>
  <r>
    <x v="9"/>
    <s v="Short Buildup"/>
    <s v="UP"/>
    <n v="138035"/>
    <n v="380980"/>
    <n v="23020"/>
    <n v="22.61"/>
    <n v="-7.1"/>
    <n v="21.05"/>
    <x v="15"/>
    <n v="768.55"/>
    <n v="-75.150000000000006"/>
    <n v="14.76"/>
    <n v="-1240"/>
    <n v="10100"/>
    <n v="317"/>
    <s v="DOWN"/>
    <s v="Long Liquidation"/>
    <n v="30958.799999999999"/>
  </r>
  <r>
    <x v="9"/>
    <n v="0.83738113393031566"/>
    <m/>
    <m/>
    <n v="6347480"/>
    <m/>
    <m/>
    <m/>
    <m/>
    <x v="16"/>
    <m/>
    <m/>
    <m/>
    <m/>
    <n v="5315260"/>
    <m/>
    <m/>
    <m/>
    <m/>
  </r>
  <r>
    <x v="10"/>
    <s v="n"/>
    <s v="UP"/>
    <n v="168"/>
    <n v="1440"/>
    <n v="1020"/>
    <n v="30.62"/>
    <n v="100.2"/>
    <n v="821.15"/>
    <x v="0"/>
    <n v="20"/>
    <n v="-20.149999999999999"/>
    <n v="24.49"/>
    <n v="27940"/>
    <n v="242000"/>
    <n v="155754"/>
    <s v="UP"/>
    <s v="Short Buildup"/>
    <n v="30962.35"/>
  </r>
  <r>
    <x v="10"/>
    <s v="Long Buildup"/>
    <s v="UP"/>
    <n v="596"/>
    <n v="4840"/>
    <n v="2680"/>
    <n v="21.52"/>
    <n v="77.45"/>
    <n v="707.1"/>
    <x v="1"/>
    <n v="27.4"/>
    <n v="-25.25"/>
    <n v="23.95"/>
    <n v="87400"/>
    <n v="233700"/>
    <n v="199507"/>
    <s v="UP"/>
    <s v="Short Buildup"/>
    <n v="30962.35"/>
  </r>
  <r>
    <x v="10"/>
    <s v="Long Buildup"/>
    <s v="UP"/>
    <n v="897"/>
    <n v="1980"/>
    <n v="580"/>
    <n v="24.78"/>
    <n v="66.599999999999994"/>
    <n v="619.95000000000005"/>
    <x v="2"/>
    <n v="38"/>
    <n v="-31.75"/>
    <n v="23.55"/>
    <n v="154180"/>
    <n v="285500"/>
    <n v="295391"/>
    <s v="UP"/>
    <s v="Short Buildup"/>
    <n v="30962.35"/>
  </r>
  <r>
    <x v="10"/>
    <s v="Long Buildup"/>
    <s v="UP"/>
    <n v="13200"/>
    <n v="56140"/>
    <n v="8120"/>
    <n v="22.47"/>
    <n v="51.75"/>
    <n v="525.29999999999995"/>
    <x v="3"/>
    <n v="52.8"/>
    <n v="-39.450000000000003"/>
    <n v="23.3"/>
    <n v="330220"/>
    <n v="868560"/>
    <n v="634701"/>
    <s v="UP"/>
    <s v="Short Buildup"/>
    <n v="30962.35"/>
  </r>
  <r>
    <x v="10"/>
    <s v="Long Buildup"/>
    <s v="UP"/>
    <n v="10573"/>
    <n v="19680"/>
    <n v="3300"/>
    <n v="21.6"/>
    <n v="42.6"/>
    <n v="446.15"/>
    <x v="4"/>
    <n v="71.95"/>
    <n v="-46.3"/>
    <n v="22.92"/>
    <n v="246540"/>
    <n v="420360"/>
    <n v="367288"/>
    <s v="UP"/>
    <s v="Short Buildup"/>
    <n v="30962.35"/>
  </r>
  <r>
    <x v="10"/>
    <s v="Long Buildup"/>
    <s v="UP"/>
    <n v="47317"/>
    <n v="54900"/>
    <n v="26700"/>
    <n v="22.19"/>
    <n v="40.25"/>
    <n v="372.7"/>
    <x v="5"/>
    <n v="96.7"/>
    <n v="-55.5"/>
    <n v="22.61"/>
    <n v="304140"/>
    <n v="476620"/>
    <n v="434215"/>
    <s v="UP"/>
    <s v="Short Buildup"/>
    <n v="30962.35"/>
  </r>
  <r>
    <x v="10"/>
    <s v="Long Buildup"/>
    <s v="UP"/>
    <n v="153971"/>
    <n v="208360"/>
    <n v="65740"/>
    <n v="21.94"/>
    <n v="28.2"/>
    <n v="301.85000000000002"/>
    <x v="6"/>
    <n v="127.4"/>
    <n v="-63.75"/>
    <n v="22.43"/>
    <n v="307520"/>
    <n v="565160"/>
    <n v="444985"/>
    <s v="UP"/>
    <s v="Short Buildup"/>
    <n v="30962.35"/>
  </r>
  <r>
    <x v="10"/>
    <s v="Long Buildup"/>
    <s v="UP"/>
    <n v="273549"/>
    <n v="393000"/>
    <n v="172800"/>
    <n v="21.65"/>
    <n v="19.5"/>
    <n v="240.35"/>
    <x v="7"/>
    <n v="165.8"/>
    <n v="-70.7"/>
    <n v="22.1"/>
    <n v="313720"/>
    <n v="522440"/>
    <n v="380363"/>
    <s v="UP"/>
    <s v="Short Buildup"/>
    <n v="30962.35"/>
  </r>
  <r>
    <x v="10"/>
    <s v="Long Buildup"/>
    <s v="UP"/>
    <n v="603180"/>
    <n v="1057400"/>
    <n v="279140"/>
    <n v="21.62"/>
    <n v="9.4499999999999993"/>
    <n v="187.25"/>
    <x v="8"/>
    <n v="212.85"/>
    <n v="-79.099999999999994"/>
    <n v="21.83"/>
    <n v="328720"/>
    <n v="779940"/>
    <n v="372699"/>
    <s v="UP"/>
    <s v="Short Buildup"/>
    <n v="30962.35"/>
  </r>
  <r>
    <x v="10"/>
    <s v="Long Buildup"/>
    <s v="UP"/>
    <n v="376446"/>
    <n v="506940"/>
    <n v="137020"/>
    <n v="21.72"/>
    <n v="4.0999999999999996"/>
    <n v="144.35"/>
    <x v="9"/>
    <n v="268.2"/>
    <n v="-85.25"/>
    <n v="22.13"/>
    <n v="39420"/>
    <n v="143680"/>
    <n v="84373"/>
    <s v="UP"/>
    <s v="Short Buildup"/>
    <n v="30962.35"/>
  </r>
  <r>
    <x v="10"/>
    <s v="Short Buildup"/>
    <s v="UP"/>
    <n v="574555"/>
    <n v="702960"/>
    <n v="143560"/>
    <n v="21.97"/>
    <n v="-2.0499999999999998"/>
    <n v="108.8"/>
    <x v="10"/>
    <n v="330.95"/>
    <n v="-94.3"/>
    <n v="22.32"/>
    <n v="13060"/>
    <n v="118160"/>
    <n v="47893"/>
    <s v="UP"/>
    <s v="Short Buildup"/>
    <n v="30962.35"/>
  </r>
  <r>
    <x v="10"/>
    <s v="Short Buildup"/>
    <s v="UP"/>
    <n v="407271"/>
    <n v="619860"/>
    <n v="172180"/>
    <n v="22.04"/>
    <n v="-4.55"/>
    <n v="81"/>
    <x v="11"/>
    <n v="404.55"/>
    <n v="-104.15"/>
    <n v="23.12"/>
    <n v="-7800"/>
    <n v="95380"/>
    <n v="12667"/>
    <s v="DOWN"/>
    <s v="Long Liquidation"/>
    <n v="30962.35"/>
  </r>
  <r>
    <x v="10"/>
    <s v="Short Buildup"/>
    <s v="UP"/>
    <n v="360324"/>
    <n v="544040"/>
    <n v="150880"/>
    <n v="22.16"/>
    <n v="-6.85"/>
    <n v="59"/>
    <x v="12"/>
    <n v="477"/>
    <n v="-104.95"/>
    <n v="20.85"/>
    <n v="4100"/>
    <n v="54580"/>
    <n v="4194"/>
    <s v="UP"/>
    <s v="Short Buildup"/>
    <n v="30962.35"/>
  </r>
  <r>
    <x v="10"/>
    <s v="Short Buildup"/>
    <s v="UP"/>
    <n v="532705"/>
    <n v="1436080"/>
    <n v="241720"/>
    <n v="22.55"/>
    <n v="-6.75"/>
    <n v="43.2"/>
    <x v="13"/>
    <n v="575.75"/>
    <n v="-91.55"/>
    <n v="23.56"/>
    <n v="2540"/>
    <n v="470640"/>
    <n v="6668"/>
    <s v="UP"/>
    <s v="Short Buildup"/>
    <n v="30962.35"/>
  </r>
  <r>
    <x v="10"/>
    <s v="Short Buildup"/>
    <s v="UP"/>
    <n v="209887"/>
    <n v="356180"/>
    <n v="71960"/>
    <n v="22.71"/>
    <n v="-7.5"/>
    <n v="30.25"/>
    <x v="14"/>
    <n v="647"/>
    <n v="-113.85"/>
    <n v="21"/>
    <n v="-20"/>
    <n v="17640"/>
    <n v="294"/>
    <s v="DOWN"/>
    <s v="Long Liquidation"/>
    <n v="30962.35"/>
  </r>
  <r>
    <x v="10"/>
    <s v="Short Buildup"/>
    <s v="UP"/>
    <n v="138930"/>
    <n v="376120"/>
    <n v="18160"/>
    <n v="23.07"/>
    <n v="-6.7"/>
    <n v="21.45"/>
    <x v="15"/>
    <n v="748.05"/>
    <n v="-95.65"/>
    <n v="28.3"/>
    <n v="-1240"/>
    <n v="10100"/>
    <n v="319"/>
    <s v="DOWN"/>
    <s v="Long Liquidation"/>
    <n v="30962.35"/>
  </r>
  <r>
    <x v="10"/>
    <n v="0.83667617257000093"/>
    <m/>
    <m/>
    <n v="6339920"/>
    <m/>
    <m/>
    <m/>
    <m/>
    <x v="16"/>
    <m/>
    <m/>
    <m/>
    <m/>
    <n v="5304460"/>
    <m/>
    <m/>
    <m/>
    <m/>
  </r>
  <r>
    <x v="10"/>
    <s v="n"/>
    <s v="UP"/>
    <n v="168"/>
    <n v="1440"/>
    <n v="1020"/>
    <n v="30.62"/>
    <n v="100.2"/>
    <n v="821.15"/>
    <x v="0"/>
    <n v="20"/>
    <n v="-20.149999999999999"/>
    <n v="24.49"/>
    <n v="27940"/>
    <n v="242000"/>
    <n v="155754"/>
    <s v="UP"/>
    <s v="Short Buildup"/>
    <n v="30962.35"/>
  </r>
  <r>
    <x v="10"/>
    <s v="Long Buildup"/>
    <s v="UP"/>
    <n v="596"/>
    <n v="4840"/>
    <n v="2680"/>
    <n v="21.52"/>
    <n v="77.45"/>
    <n v="707.1"/>
    <x v="1"/>
    <n v="27.4"/>
    <n v="-25.25"/>
    <n v="23.95"/>
    <n v="87400"/>
    <n v="233700"/>
    <n v="199507"/>
    <s v="UP"/>
    <s v="Short Buildup"/>
    <n v="30962.35"/>
  </r>
  <r>
    <x v="10"/>
    <s v="Long Buildup"/>
    <s v="UP"/>
    <n v="897"/>
    <n v="1980"/>
    <n v="580"/>
    <n v="24.78"/>
    <n v="66.599999999999994"/>
    <n v="619.95000000000005"/>
    <x v="2"/>
    <n v="38"/>
    <n v="-31.75"/>
    <n v="23.55"/>
    <n v="154180"/>
    <n v="285500"/>
    <n v="295391"/>
    <s v="UP"/>
    <s v="Short Buildup"/>
    <n v="30962.35"/>
  </r>
  <r>
    <x v="10"/>
    <s v="Long Buildup"/>
    <s v="UP"/>
    <n v="13200"/>
    <n v="56140"/>
    <n v="8120"/>
    <n v="22.47"/>
    <n v="51.75"/>
    <n v="525.29999999999995"/>
    <x v="3"/>
    <n v="52.8"/>
    <n v="-39.450000000000003"/>
    <n v="23.3"/>
    <n v="330220"/>
    <n v="868560"/>
    <n v="634701"/>
    <s v="UP"/>
    <s v="Short Buildup"/>
    <n v="30962.35"/>
  </r>
  <r>
    <x v="10"/>
    <s v="Long Buildup"/>
    <s v="UP"/>
    <n v="10573"/>
    <n v="19680"/>
    <n v="3300"/>
    <n v="21.6"/>
    <n v="42.6"/>
    <n v="446.15"/>
    <x v="4"/>
    <n v="71.95"/>
    <n v="-46.3"/>
    <n v="22.92"/>
    <n v="246540"/>
    <n v="420360"/>
    <n v="367288"/>
    <s v="UP"/>
    <s v="Short Buildup"/>
    <n v="30962.35"/>
  </r>
  <r>
    <x v="10"/>
    <s v="Long Buildup"/>
    <s v="UP"/>
    <n v="47317"/>
    <n v="54900"/>
    <n v="26700"/>
    <n v="22.19"/>
    <n v="40.25"/>
    <n v="372.7"/>
    <x v="5"/>
    <n v="96.7"/>
    <n v="-55.5"/>
    <n v="22.61"/>
    <n v="304140"/>
    <n v="476620"/>
    <n v="434215"/>
    <s v="UP"/>
    <s v="Short Buildup"/>
    <n v="30962.35"/>
  </r>
  <r>
    <x v="10"/>
    <s v="Long Buildup"/>
    <s v="UP"/>
    <n v="153971"/>
    <n v="208360"/>
    <n v="65740"/>
    <n v="21.94"/>
    <n v="28.2"/>
    <n v="301.85000000000002"/>
    <x v="6"/>
    <n v="127.4"/>
    <n v="-63.75"/>
    <n v="22.43"/>
    <n v="307520"/>
    <n v="565160"/>
    <n v="444985"/>
    <s v="UP"/>
    <s v="Short Buildup"/>
    <n v="30962.35"/>
  </r>
  <r>
    <x v="10"/>
    <s v="Long Buildup"/>
    <s v="UP"/>
    <n v="273549"/>
    <n v="393000"/>
    <n v="172800"/>
    <n v="21.65"/>
    <n v="19.5"/>
    <n v="240.35"/>
    <x v="7"/>
    <n v="165.8"/>
    <n v="-70.7"/>
    <n v="22.1"/>
    <n v="313720"/>
    <n v="522440"/>
    <n v="380363"/>
    <s v="UP"/>
    <s v="Short Buildup"/>
    <n v="30962.35"/>
  </r>
  <r>
    <x v="10"/>
    <s v="Long Buildup"/>
    <s v="UP"/>
    <n v="603180"/>
    <n v="1057400"/>
    <n v="279140"/>
    <n v="21.62"/>
    <n v="9.4499999999999993"/>
    <n v="187.25"/>
    <x v="8"/>
    <n v="212.85"/>
    <n v="-79.099999999999994"/>
    <n v="21.83"/>
    <n v="328720"/>
    <n v="779940"/>
    <n v="372699"/>
    <s v="UP"/>
    <s v="Short Buildup"/>
    <n v="30962.35"/>
  </r>
  <r>
    <x v="10"/>
    <s v="Long Buildup"/>
    <s v="UP"/>
    <n v="376446"/>
    <n v="506940"/>
    <n v="137020"/>
    <n v="21.72"/>
    <n v="4.0999999999999996"/>
    <n v="144.35"/>
    <x v="9"/>
    <n v="268.2"/>
    <n v="-85.25"/>
    <n v="22.13"/>
    <n v="39420"/>
    <n v="143680"/>
    <n v="84373"/>
    <s v="UP"/>
    <s v="Short Buildup"/>
    <n v="30962.35"/>
  </r>
  <r>
    <x v="10"/>
    <s v="Short Buildup"/>
    <s v="UP"/>
    <n v="574555"/>
    <n v="702960"/>
    <n v="143560"/>
    <n v="21.97"/>
    <n v="-2.0499999999999998"/>
    <n v="108.8"/>
    <x v="10"/>
    <n v="330.95"/>
    <n v="-94.3"/>
    <n v="22.32"/>
    <n v="13060"/>
    <n v="118160"/>
    <n v="47893"/>
    <s v="UP"/>
    <s v="Short Buildup"/>
    <n v="30962.35"/>
  </r>
  <r>
    <x v="10"/>
    <s v="Short Buildup"/>
    <s v="UP"/>
    <n v="407271"/>
    <n v="619860"/>
    <n v="172180"/>
    <n v="22.04"/>
    <n v="-4.55"/>
    <n v="81"/>
    <x v="11"/>
    <n v="404.55"/>
    <n v="-104.15"/>
    <n v="23.12"/>
    <n v="-7800"/>
    <n v="95380"/>
    <n v="12667"/>
    <s v="DOWN"/>
    <s v="Long Liquidation"/>
    <n v="30962.35"/>
  </r>
  <r>
    <x v="10"/>
    <s v="Short Buildup"/>
    <s v="UP"/>
    <n v="360324"/>
    <n v="544040"/>
    <n v="150880"/>
    <n v="22.16"/>
    <n v="-6.85"/>
    <n v="59"/>
    <x v="12"/>
    <n v="477"/>
    <n v="-104.95"/>
    <n v="20.85"/>
    <n v="4100"/>
    <n v="54580"/>
    <n v="4194"/>
    <s v="UP"/>
    <s v="Short Buildup"/>
    <n v="30962.35"/>
  </r>
  <r>
    <x v="10"/>
    <s v="Short Buildup"/>
    <s v="UP"/>
    <n v="532705"/>
    <n v="1436080"/>
    <n v="241720"/>
    <n v="22.55"/>
    <n v="-6.75"/>
    <n v="43.2"/>
    <x v="13"/>
    <n v="575.75"/>
    <n v="-91.55"/>
    <n v="23.56"/>
    <n v="2540"/>
    <n v="470640"/>
    <n v="6668"/>
    <s v="UP"/>
    <s v="Short Buildup"/>
    <n v="30962.35"/>
  </r>
  <r>
    <x v="10"/>
    <s v="Short Buildup"/>
    <s v="UP"/>
    <n v="209887"/>
    <n v="356180"/>
    <n v="71960"/>
    <n v="22.71"/>
    <n v="-7.5"/>
    <n v="30.25"/>
    <x v="14"/>
    <n v="647"/>
    <n v="-113.85"/>
    <n v="21"/>
    <n v="-20"/>
    <n v="17640"/>
    <n v="294"/>
    <s v="DOWN"/>
    <s v="Long Liquidation"/>
    <n v="30962.35"/>
  </r>
  <r>
    <x v="10"/>
    <s v="Short Buildup"/>
    <s v="UP"/>
    <n v="138930"/>
    <n v="376120"/>
    <n v="18160"/>
    <n v="23.07"/>
    <n v="-6.7"/>
    <n v="21.45"/>
    <x v="15"/>
    <n v="748.05"/>
    <n v="-95.65"/>
    <n v="28.3"/>
    <n v="-1240"/>
    <n v="10100"/>
    <n v="319"/>
    <s v="DOWN"/>
    <s v="Long Liquidation"/>
    <n v="30962.35"/>
  </r>
  <r>
    <x v="10"/>
    <n v="0.83667617257000093"/>
    <m/>
    <m/>
    <n v="6339920"/>
    <m/>
    <m/>
    <m/>
    <m/>
    <x v="16"/>
    <m/>
    <m/>
    <m/>
    <m/>
    <n v="5304460"/>
    <m/>
    <m/>
    <m/>
    <m/>
  </r>
  <r>
    <x v="11"/>
    <s v="n"/>
    <s v="UP"/>
    <n v="168"/>
    <n v="1440"/>
    <n v="1020"/>
    <n v="30.62"/>
    <n v="100.2"/>
    <n v="821.15"/>
    <x v="0"/>
    <n v="18.649999999999999"/>
    <n v="-21.5"/>
    <n v="24.49"/>
    <n v="27940"/>
    <n v="242000"/>
    <n v="156329"/>
    <s v="UP"/>
    <s v="Short Buildup"/>
    <n v="30977.55"/>
  </r>
  <r>
    <x v="11"/>
    <s v="Long Buildup"/>
    <s v="UP"/>
    <n v="596"/>
    <n v="4840"/>
    <n v="2680"/>
    <n v="21.52"/>
    <n v="77.45"/>
    <n v="707.1"/>
    <x v="1"/>
    <n v="25.85"/>
    <n v="-26.8"/>
    <n v="23.95"/>
    <n v="87400"/>
    <n v="233700"/>
    <n v="200106"/>
    <s v="UP"/>
    <s v="Short Buildup"/>
    <n v="30977.55"/>
  </r>
  <r>
    <x v="11"/>
    <s v="Long Buildup"/>
    <s v="UP"/>
    <n v="897"/>
    <n v="1980"/>
    <n v="580"/>
    <n v="24.78"/>
    <n v="66.599999999999994"/>
    <n v="619.95000000000005"/>
    <x v="2"/>
    <n v="35.799999999999997"/>
    <n v="-33.950000000000003"/>
    <n v="23.55"/>
    <n v="154180"/>
    <n v="285500"/>
    <n v="296442"/>
    <s v="UP"/>
    <s v="Short Buildup"/>
    <n v="30977.55"/>
  </r>
  <r>
    <x v="11"/>
    <s v="Long Buildup"/>
    <s v="UP"/>
    <n v="13275"/>
    <n v="56140"/>
    <n v="8120"/>
    <n v="22.47"/>
    <n v="63.5"/>
    <n v="537.04999999999995"/>
    <x v="3"/>
    <n v="49.7"/>
    <n v="-42.55"/>
    <n v="23.3"/>
    <n v="330220"/>
    <n v="868560"/>
    <n v="637566"/>
    <s v="UP"/>
    <s v="Short Buildup"/>
    <n v="30977.55"/>
  </r>
  <r>
    <x v="11"/>
    <s v="Long Buildup"/>
    <s v="UP"/>
    <n v="10574"/>
    <n v="19680"/>
    <n v="3300"/>
    <n v="21.6"/>
    <n v="53.1"/>
    <n v="456.65"/>
    <x v="4"/>
    <n v="67.7"/>
    <n v="-50.55"/>
    <n v="22.92"/>
    <n v="246540"/>
    <n v="420360"/>
    <n v="368658"/>
    <s v="UP"/>
    <s v="Short Buildup"/>
    <n v="30977.55"/>
  </r>
  <r>
    <x v="11"/>
    <s v="Long Buildup"/>
    <s v="UP"/>
    <n v="47395"/>
    <n v="54900"/>
    <n v="26700"/>
    <n v="22.19"/>
    <n v="51.4"/>
    <n v="383.85"/>
    <x v="5"/>
    <n v="91"/>
    <n v="-61.2"/>
    <n v="22.61"/>
    <n v="304140"/>
    <n v="476620"/>
    <n v="435956"/>
    <s v="UP"/>
    <s v="Short Buildup"/>
    <n v="30977.55"/>
  </r>
  <r>
    <x v="11"/>
    <s v="Long Buildup"/>
    <s v="UP"/>
    <n v="154351"/>
    <n v="208360"/>
    <n v="65740"/>
    <n v="21.94"/>
    <n v="38.85"/>
    <n v="312.5"/>
    <x v="6"/>
    <n v="121.1"/>
    <n v="-70.05"/>
    <n v="22.43"/>
    <n v="307520"/>
    <n v="565160"/>
    <n v="446963"/>
    <s v="UP"/>
    <s v="Short Buildup"/>
    <n v="30977.55"/>
  </r>
  <r>
    <x v="11"/>
    <s v="Long Buildup"/>
    <s v="UP"/>
    <n v="274437"/>
    <n v="393000"/>
    <n v="172800"/>
    <n v="21.65"/>
    <n v="28.3"/>
    <n v="249.15"/>
    <x v="7"/>
    <n v="156.65"/>
    <n v="-79.849999999999994"/>
    <n v="22.1"/>
    <n v="313720"/>
    <n v="522440"/>
    <n v="381892"/>
    <s v="UP"/>
    <s v="Short Buildup"/>
    <n v="30977.55"/>
  </r>
  <r>
    <x v="11"/>
    <s v="Long Buildup"/>
    <s v="UP"/>
    <n v="605831"/>
    <n v="1057400"/>
    <n v="279140"/>
    <n v="21.62"/>
    <n v="17.55"/>
    <n v="195.35"/>
    <x v="8"/>
    <n v="202.55"/>
    <n v="-89.4"/>
    <n v="21.83"/>
    <n v="328720"/>
    <n v="779940"/>
    <n v="374510"/>
    <s v="UP"/>
    <s v="Short Buildup"/>
    <n v="30977.55"/>
  </r>
  <r>
    <x v="11"/>
    <s v="Long Buildup"/>
    <s v="UP"/>
    <n v="377580"/>
    <n v="506940"/>
    <n v="137020"/>
    <n v="21.72"/>
    <n v="8.9499999999999993"/>
    <n v="149.19999999999999"/>
    <x v="9"/>
    <n v="257.95"/>
    <n v="-95.5"/>
    <n v="22.13"/>
    <n v="39420"/>
    <n v="143680"/>
    <n v="84654"/>
    <s v="UP"/>
    <s v="Short Buildup"/>
    <n v="30977.55"/>
  </r>
  <r>
    <x v="11"/>
    <s v="Long Buildup"/>
    <s v="UP"/>
    <n v="576640"/>
    <n v="702960"/>
    <n v="143560"/>
    <n v="21.97"/>
    <n v="2.95"/>
    <n v="113.8"/>
    <x v="10"/>
    <n v="319.85000000000002"/>
    <n v="-105.4"/>
    <n v="22.32"/>
    <n v="13060"/>
    <n v="118160"/>
    <n v="48266"/>
    <s v="UP"/>
    <s v="Short Buildup"/>
    <n v="30977.55"/>
  </r>
  <r>
    <x v="11"/>
    <s v="Short Buildup"/>
    <s v="UP"/>
    <n v="408658"/>
    <n v="619860"/>
    <n v="172180"/>
    <n v="22.04"/>
    <n v="-2.0499999999999998"/>
    <n v="83.5"/>
    <x v="11"/>
    <n v="395"/>
    <n v="-113.7"/>
    <n v="23.12"/>
    <n v="-7800"/>
    <n v="95380"/>
    <n v="12792"/>
    <s v="DOWN"/>
    <s v="Long Liquidation"/>
    <n v="30977.55"/>
  </r>
  <r>
    <x v="11"/>
    <s v="Short Buildup"/>
    <s v="UP"/>
    <n v="361474"/>
    <n v="544040"/>
    <n v="150880"/>
    <n v="22.16"/>
    <n v="-4.6500000000000004"/>
    <n v="61.2"/>
    <x v="12"/>
    <n v="477"/>
    <n v="-104.95"/>
    <n v="20.85"/>
    <n v="4100"/>
    <n v="54580"/>
    <n v="4194"/>
    <s v="UP"/>
    <s v="Short Buildup"/>
    <n v="30977.55"/>
  </r>
  <r>
    <x v="11"/>
    <s v="Short Buildup"/>
    <s v="UP"/>
    <n v="534270"/>
    <n v="1436080"/>
    <n v="241720"/>
    <n v="22.55"/>
    <n v="-5.25"/>
    <n v="44.7"/>
    <x v="13"/>
    <n v="564.85"/>
    <n v="-102.45"/>
    <n v="23.56"/>
    <n v="2540"/>
    <n v="470640"/>
    <n v="6670"/>
    <s v="UP"/>
    <s v="Short Buildup"/>
    <n v="30977.55"/>
  </r>
  <r>
    <x v="11"/>
    <s v="Short Buildup"/>
    <s v="UP"/>
    <n v="210792"/>
    <n v="356180"/>
    <n v="71960"/>
    <n v="22.71"/>
    <n v="-6.15"/>
    <n v="31.6"/>
    <x v="14"/>
    <n v="650"/>
    <n v="-110.85"/>
    <n v="21"/>
    <n v="20"/>
    <n v="17680"/>
    <n v="295"/>
    <s v="UP"/>
    <s v="Short Buildup"/>
    <n v="30977.55"/>
  </r>
  <r>
    <x v="11"/>
    <s v="Short Buildup"/>
    <s v="UP"/>
    <n v="139137"/>
    <n v="376120"/>
    <n v="18160"/>
    <n v="23.07"/>
    <n v="-5.85"/>
    <n v="22.3"/>
    <x v="15"/>
    <n v="748.05"/>
    <n v="-95.65"/>
    <n v="28.3"/>
    <n v="-1240"/>
    <n v="10100"/>
    <n v="319"/>
    <s v="DOWN"/>
    <s v="Long Liquidation"/>
    <n v="30977.55"/>
  </r>
  <r>
    <x v="11"/>
    <n v="0.83668248179787763"/>
    <m/>
    <m/>
    <n v="6339920"/>
    <m/>
    <m/>
    <m/>
    <m/>
    <x v="16"/>
    <m/>
    <m/>
    <m/>
    <m/>
    <n v="5304500"/>
    <m/>
    <m/>
    <m/>
    <m/>
  </r>
  <r>
    <x v="11"/>
    <s v="n"/>
    <s v="UP"/>
    <n v="168"/>
    <n v="1440"/>
    <n v="1020"/>
    <n v="30.62"/>
    <n v="100.2"/>
    <n v="821.15"/>
    <x v="0"/>
    <n v="18.649999999999999"/>
    <n v="-21.5"/>
    <n v="24.49"/>
    <n v="27940"/>
    <n v="242000"/>
    <n v="156329"/>
    <s v="UP"/>
    <s v="Short Buildup"/>
    <n v="30977.55"/>
  </r>
  <r>
    <x v="11"/>
    <s v="Long Buildup"/>
    <s v="UP"/>
    <n v="596"/>
    <n v="4840"/>
    <n v="2680"/>
    <n v="21.52"/>
    <n v="77.45"/>
    <n v="707.1"/>
    <x v="1"/>
    <n v="25.85"/>
    <n v="-26.8"/>
    <n v="23.95"/>
    <n v="87400"/>
    <n v="233700"/>
    <n v="200106"/>
    <s v="UP"/>
    <s v="Short Buildup"/>
    <n v="30977.55"/>
  </r>
  <r>
    <x v="11"/>
    <s v="Long Buildup"/>
    <s v="UP"/>
    <n v="897"/>
    <n v="1980"/>
    <n v="580"/>
    <n v="24.78"/>
    <n v="66.599999999999994"/>
    <n v="619.95000000000005"/>
    <x v="2"/>
    <n v="35.799999999999997"/>
    <n v="-33.950000000000003"/>
    <n v="23.55"/>
    <n v="154180"/>
    <n v="285500"/>
    <n v="296442"/>
    <s v="UP"/>
    <s v="Short Buildup"/>
    <n v="30977.55"/>
  </r>
  <r>
    <x v="11"/>
    <s v="Long Buildup"/>
    <s v="UP"/>
    <n v="13275"/>
    <n v="56140"/>
    <n v="8120"/>
    <n v="22.47"/>
    <n v="63.5"/>
    <n v="537.04999999999995"/>
    <x v="3"/>
    <n v="49.7"/>
    <n v="-42.55"/>
    <n v="23.3"/>
    <n v="330220"/>
    <n v="868560"/>
    <n v="637566"/>
    <s v="UP"/>
    <s v="Short Buildup"/>
    <n v="30977.55"/>
  </r>
  <r>
    <x v="11"/>
    <s v="Long Buildup"/>
    <s v="UP"/>
    <n v="10574"/>
    <n v="19680"/>
    <n v="3300"/>
    <n v="21.6"/>
    <n v="53.1"/>
    <n v="456.65"/>
    <x v="4"/>
    <n v="67.7"/>
    <n v="-50.55"/>
    <n v="22.92"/>
    <n v="246540"/>
    <n v="420360"/>
    <n v="368658"/>
    <s v="UP"/>
    <s v="Short Buildup"/>
    <n v="30977.55"/>
  </r>
  <r>
    <x v="11"/>
    <s v="Long Buildup"/>
    <s v="UP"/>
    <n v="47395"/>
    <n v="54900"/>
    <n v="26700"/>
    <n v="22.19"/>
    <n v="51.4"/>
    <n v="383.85"/>
    <x v="5"/>
    <n v="91"/>
    <n v="-61.2"/>
    <n v="22.61"/>
    <n v="304140"/>
    <n v="476620"/>
    <n v="435956"/>
    <s v="UP"/>
    <s v="Short Buildup"/>
    <n v="30977.55"/>
  </r>
  <r>
    <x v="11"/>
    <s v="Long Buildup"/>
    <s v="UP"/>
    <n v="154351"/>
    <n v="208360"/>
    <n v="65740"/>
    <n v="21.94"/>
    <n v="38.85"/>
    <n v="312.5"/>
    <x v="6"/>
    <n v="121.1"/>
    <n v="-70.05"/>
    <n v="22.43"/>
    <n v="307520"/>
    <n v="565160"/>
    <n v="446963"/>
    <s v="UP"/>
    <s v="Short Buildup"/>
    <n v="30977.55"/>
  </r>
  <r>
    <x v="11"/>
    <s v="Long Buildup"/>
    <s v="UP"/>
    <n v="274437"/>
    <n v="393000"/>
    <n v="172800"/>
    <n v="21.65"/>
    <n v="28.3"/>
    <n v="249.15"/>
    <x v="7"/>
    <n v="156.65"/>
    <n v="-79.849999999999994"/>
    <n v="22.1"/>
    <n v="313720"/>
    <n v="522440"/>
    <n v="381892"/>
    <s v="UP"/>
    <s v="Short Buildup"/>
    <n v="30977.55"/>
  </r>
  <r>
    <x v="11"/>
    <s v="Long Buildup"/>
    <s v="UP"/>
    <n v="605831"/>
    <n v="1057400"/>
    <n v="279140"/>
    <n v="21.62"/>
    <n v="17.55"/>
    <n v="195.35"/>
    <x v="8"/>
    <n v="202.55"/>
    <n v="-89.4"/>
    <n v="21.83"/>
    <n v="328720"/>
    <n v="779940"/>
    <n v="374510"/>
    <s v="UP"/>
    <s v="Short Buildup"/>
    <n v="30977.55"/>
  </r>
  <r>
    <x v="11"/>
    <s v="Long Buildup"/>
    <s v="UP"/>
    <n v="377580"/>
    <n v="506940"/>
    <n v="137020"/>
    <n v="21.72"/>
    <n v="8.9499999999999993"/>
    <n v="149.19999999999999"/>
    <x v="9"/>
    <n v="257.95"/>
    <n v="-95.5"/>
    <n v="22.13"/>
    <n v="39420"/>
    <n v="143680"/>
    <n v="84654"/>
    <s v="UP"/>
    <s v="Short Buildup"/>
    <n v="30977.55"/>
  </r>
  <r>
    <x v="11"/>
    <s v="Long Buildup"/>
    <s v="UP"/>
    <n v="576640"/>
    <n v="702960"/>
    <n v="143560"/>
    <n v="21.97"/>
    <n v="2.95"/>
    <n v="113.8"/>
    <x v="10"/>
    <n v="319.85000000000002"/>
    <n v="-105.4"/>
    <n v="22.32"/>
    <n v="13060"/>
    <n v="118160"/>
    <n v="48266"/>
    <s v="UP"/>
    <s v="Short Buildup"/>
    <n v="30977.55"/>
  </r>
  <r>
    <x v="11"/>
    <s v="Short Buildup"/>
    <s v="UP"/>
    <n v="408658"/>
    <n v="619860"/>
    <n v="172180"/>
    <n v="22.04"/>
    <n v="-2.0499999999999998"/>
    <n v="83.5"/>
    <x v="11"/>
    <n v="395"/>
    <n v="-113.7"/>
    <n v="23.12"/>
    <n v="-7800"/>
    <n v="95380"/>
    <n v="12792"/>
    <s v="DOWN"/>
    <s v="Long Liquidation"/>
    <n v="30977.55"/>
  </r>
  <r>
    <x v="11"/>
    <s v="Short Buildup"/>
    <s v="UP"/>
    <n v="361474"/>
    <n v="544040"/>
    <n v="150880"/>
    <n v="22.16"/>
    <n v="-4.6500000000000004"/>
    <n v="61.2"/>
    <x v="12"/>
    <n v="477"/>
    <n v="-104.95"/>
    <n v="20.85"/>
    <n v="4100"/>
    <n v="54580"/>
    <n v="4194"/>
    <s v="UP"/>
    <s v="Short Buildup"/>
    <n v="30977.55"/>
  </r>
  <r>
    <x v="11"/>
    <s v="Short Buildup"/>
    <s v="UP"/>
    <n v="534270"/>
    <n v="1436080"/>
    <n v="241720"/>
    <n v="22.55"/>
    <n v="-5.25"/>
    <n v="44.7"/>
    <x v="13"/>
    <n v="564.85"/>
    <n v="-102.45"/>
    <n v="23.56"/>
    <n v="2540"/>
    <n v="470640"/>
    <n v="6670"/>
    <s v="UP"/>
    <s v="Short Buildup"/>
    <n v="30977.55"/>
  </r>
  <r>
    <x v="11"/>
    <s v="Short Buildup"/>
    <s v="UP"/>
    <n v="210792"/>
    <n v="356180"/>
    <n v="71960"/>
    <n v="22.71"/>
    <n v="-6.15"/>
    <n v="31.6"/>
    <x v="14"/>
    <n v="650"/>
    <n v="-110.85"/>
    <n v="21"/>
    <n v="20"/>
    <n v="17680"/>
    <n v="295"/>
    <s v="UP"/>
    <s v="Short Buildup"/>
    <n v="30977.55"/>
  </r>
  <r>
    <x v="11"/>
    <s v="Short Buildup"/>
    <s v="UP"/>
    <n v="139137"/>
    <n v="376120"/>
    <n v="18160"/>
    <n v="23.07"/>
    <n v="-5.85"/>
    <n v="22.3"/>
    <x v="15"/>
    <n v="748.05"/>
    <n v="-95.65"/>
    <n v="28.3"/>
    <n v="-1240"/>
    <n v="10100"/>
    <n v="319"/>
    <s v="DOWN"/>
    <s v="Long Liquidation"/>
    <n v="30977.55"/>
  </r>
  <r>
    <x v="11"/>
    <n v="0.83668248179787763"/>
    <m/>
    <m/>
    <n v="6339920"/>
    <m/>
    <m/>
    <m/>
    <m/>
    <x v="16"/>
    <m/>
    <m/>
    <m/>
    <m/>
    <n v="5304500"/>
    <m/>
    <m/>
    <m/>
    <m/>
  </r>
  <r>
    <x v="12"/>
    <s v="n"/>
    <s v="UP"/>
    <n v="168"/>
    <n v="1440"/>
    <n v="1020"/>
    <n v="30.62"/>
    <n v="100.2"/>
    <n v="821.15"/>
    <x v="0"/>
    <n v="19.350000000000001"/>
    <n v="-20.8"/>
    <n v="24.49"/>
    <n v="28120"/>
    <n v="242180"/>
    <n v="157179"/>
    <s v="UP"/>
    <s v="Short Buildup"/>
    <n v="30974.7"/>
  </r>
  <r>
    <x v="12"/>
    <s v="Long Buildup"/>
    <s v="UP"/>
    <n v="596"/>
    <n v="4840"/>
    <n v="2680"/>
    <n v="21.52"/>
    <n v="77.45"/>
    <n v="707.1"/>
    <x v="1"/>
    <n v="27.05"/>
    <n v="-25.6"/>
    <n v="23.95"/>
    <n v="87780"/>
    <n v="234080"/>
    <n v="201314"/>
    <s v="UP"/>
    <s v="Short Buildup"/>
    <n v="30974.7"/>
  </r>
  <r>
    <x v="12"/>
    <s v="Long Buildup"/>
    <s v="UP"/>
    <n v="901"/>
    <n v="2140"/>
    <n v="740"/>
    <n v="24.78"/>
    <n v="64.900000000000006"/>
    <n v="618.25"/>
    <x v="2"/>
    <n v="37.25"/>
    <n v="-32.5"/>
    <n v="23.55"/>
    <n v="154280"/>
    <n v="285600"/>
    <n v="297952"/>
    <s v="UP"/>
    <s v="Short Buildup"/>
    <n v="30974.7"/>
  </r>
  <r>
    <x v="12"/>
    <s v="Long Buildup"/>
    <s v="UP"/>
    <n v="13325"/>
    <n v="57320"/>
    <n v="9300"/>
    <n v="22.47"/>
    <n v="49.45"/>
    <n v="523"/>
    <x v="3"/>
    <n v="51.5"/>
    <n v="-40.75"/>
    <n v="23.3"/>
    <n v="329800"/>
    <n v="868140"/>
    <n v="642827"/>
    <s v="UP"/>
    <s v="Short Buildup"/>
    <n v="30974.7"/>
  </r>
  <r>
    <x v="12"/>
    <s v="Long Buildup"/>
    <s v="UP"/>
    <n v="10684"/>
    <n v="19640"/>
    <n v="3260"/>
    <n v="21.6"/>
    <n v="45.5"/>
    <n v="449.05"/>
    <x v="4"/>
    <n v="70.099999999999994"/>
    <n v="-48.15"/>
    <n v="22.92"/>
    <n v="247700"/>
    <n v="421520"/>
    <n v="370549"/>
    <s v="UP"/>
    <s v="Short Buildup"/>
    <n v="30974.7"/>
  </r>
  <r>
    <x v="12"/>
    <s v="Long Buildup"/>
    <s v="UP"/>
    <n v="47476"/>
    <n v="55360"/>
    <n v="27160"/>
    <n v="22.19"/>
    <n v="42.55"/>
    <n v="375"/>
    <x v="5"/>
    <n v="94"/>
    <n v="-58.2"/>
    <n v="22.61"/>
    <n v="300900"/>
    <n v="473380"/>
    <n v="438443"/>
    <s v="UP"/>
    <s v="Short Buildup"/>
    <n v="30974.7"/>
  </r>
  <r>
    <x v="12"/>
    <s v="Long Buildup"/>
    <s v="UP"/>
    <n v="154847"/>
    <n v="208100"/>
    <n v="65480"/>
    <n v="21.94"/>
    <n v="31.2"/>
    <n v="304.85000000000002"/>
    <x v="6"/>
    <n v="124.55"/>
    <n v="-66.599999999999994"/>
    <n v="22.43"/>
    <n v="313800"/>
    <n v="571440"/>
    <n v="449758"/>
    <s v="UP"/>
    <s v="Short Buildup"/>
    <n v="30974.7"/>
  </r>
  <r>
    <x v="12"/>
    <s v="Long Buildup"/>
    <s v="UP"/>
    <n v="275662"/>
    <n v="392660"/>
    <n v="172460"/>
    <n v="21.65"/>
    <n v="22"/>
    <n v="242.85"/>
    <x v="7"/>
    <n v="162.44999999999999"/>
    <n v="-74.05"/>
    <n v="22.1"/>
    <n v="313640"/>
    <n v="522360"/>
    <n v="383981"/>
    <s v="UP"/>
    <s v="Short Buildup"/>
    <n v="30974.7"/>
  </r>
  <r>
    <x v="12"/>
    <s v="Long Buildup"/>
    <s v="UP"/>
    <n v="609699"/>
    <n v="1073060"/>
    <n v="294800"/>
    <n v="21.62"/>
    <n v="12.25"/>
    <n v="190.05"/>
    <x v="8"/>
    <n v="208.65"/>
    <n v="-83.3"/>
    <n v="21.83"/>
    <n v="329740"/>
    <n v="780960"/>
    <n v="377324"/>
    <s v="UP"/>
    <s v="Short Buildup"/>
    <n v="30974.7"/>
  </r>
  <r>
    <x v="12"/>
    <s v="Long Buildup"/>
    <s v="UP"/>
    <n v="379894"/>
    <n v="504280"/>
    <n v="134360"/>
    <n v="21.72"/>
    <n v="5.55"/>
    <n v="145.80000000000001"/>
    <x v="9"/>
    <n v="265.95"/>
    <n v="-87.5"/>
    <n v="22.13"/>
    <n v="51880"/>
    <n v="156140"/>
    <n v="85900"/>
    <s v="UP"/>
    <s v="Short Buildup"/>
    <n v="30974.7"/>
  </r>
  <r>
    <x v="12"/>
    <s v="Short Buildup"/>
    <s v="UP"/>
    <n v="580266"/>
    <n v="709700"/>
    <n v="150300"/>
    <n v="21.97"/>
    <n v="-0.25"/>
    <n v="110.6"/>
    <x v="10"/>
    <n v="329.55"/>
    <n v="-95.7"/>
    <n v="22.32"/>
    <n v="12960"/>
    <n v="118060"/>
    <n v="48641"/>
    <s v="UP"/>
    <s v="Short Buildup"/>
    <n v="30974.7"/>
  </r>
  <r>
    <x v="12"/>
    <s v="Short Buildup"/>
    <s v="UP"/>
    <n v="411281"/>
    <n v="625120"/>
    <n v="177440"/>
    <n v="22.04"/>
    <n v="-3.25"/>
    <n v="82.3"/>
    <x v="11"/>
    <n v="408"/>
    <n v="-100.7"/>
    <n v="23.12"/>
    <n v="-7080"/>
    <n v="96100"/>
    <n v="12920"/>
    <s v="DOWN"/>
    <s v="Long Liquidation"/>
    <n v="30974.7"/>
  </r>
  <r>
    <x v="12"/>
    <s v="Short Buildup"/>
    <s v="UP"/>
    <n v="363507"/>
    <n v="540900"/>
    <n v="147740"/>
    <n v="22.16"/>
    <n v="-6.3"/>
    <n v="59.55"/>
    <x v="12"/>
    <n v="486.15"/>
    <n v="-95.8"/>
    <n v="20.85"/>
    <n v="4280"/>
    <n v="54760"/>
    <n v="4201"/>
    <s v="UP"/>
    <s v="Short Buildup"/>
    <n v="30974.7"/>
  </r>
  <r>
    <x v="12"/>
    <s v="Short Buildup"/>
    <s v="UP"/>
    <n v="537032"/>
    <n v="1441820"/>
    <n v="247460"/>
    <n v="22.55"/>
    <n v="-6.45"/>
    <n v="43.5"/>
    <x v="13"/>
    <n v="568.29999999999995"/>
    <n v="-99"/>
    <n v="23.56"/>
    <n v="3640"/>
    <n v="471740"/>
    <n v="6736"/>
    <s v="UP"/>
    <s v="Short Buildup"/>
    <n v="30974.7"/>
  </r>
  <r>
    <x v="12"/>
    <s v="Short Buildup"/>
    <s v="UP"/>
    <n v="212355"/>
    <n v="358020"/>
    <n v="73800"/>
    <n v="22.71"/>
    <n v="-7.15"/>
    <n v="30.6"/>
    <x v="14"/>
    <n v="650"/>
    <n v="-110.85"/>
    <n v="21"/>
    <n v="20"/>
    <n v="17680"/>
    <n v="295"/>
    <s v="UP"/>
    <s v="Short Buildup"/>
    <n v="30974.7"/>
  </r>
  <r>
    <x v="12"/>
    <s v="Short Buildup"/>
    <s v="UP"/>
    <n v="139939"/>
    <n v="382200"/>
    <n v="24240"/>
    <n v="23.07"/>
    <n v="-6.65"/>
    <n v="21.5"/>
    <x v="15"/>
    <n v="748.05"/>
    <n v="-95.65"/>
    <n v="28.3"/>
    <n v="-1240"/>
    <n v="10100"/>
    <n v="319"/>
    <s v="DOWN"/>
    <s v="Long Liquidation"/>
    <n v="30974.7"/>
  </r>
  <r>
    <x v="12"/>
    <n v="0.83496534203180384"/>
    <m/>
    <m/>
    <n v="6376600"/>
    <m/>
    <m/>
    <m/>
    <m/>
    <x v="16"/>
    <m/>
    <m/>
    <m/>
    <m/>
    <n v="5324240"/>
    <m/>
    <m/>
    <m/>
    <m/>
  </r>
  <r>
    <x v="12"/>
    <s v="n"/>
    <s v="UP"/>
    <n v="168"/>
    <n v="1440"/>
    <n v="1020"/>
    <n v="30.62"/>
    <n v="100.2"/>
    <n v="821.15"/>
    <x v="0"/>
    <n v="19.350000000000001"/>
    <n v="-20.8"/>
    <n v="24.49"/>
    <n v="28120"/>
    <n v="242180"/>
    <n v="157179"/>
    <s v="UP"/>
    <s v="Short Buildup"/>
    <n v="30974.7"/>
  </r>
  <r>
    <x v="12"/>
    <s v="Long Buildup"/>
    <s v="UP"/>
    <n v="596"/>
    <n v="4840"/>
    <n v="2680"/>
    <n v="21.52"/>
    <n v="77.45"/>
    <n v="707.1"/>
    <x v="1"/>
    <n v="27.05"/>
    <n v="-25.6"/>
    <n v="23.95"/>
    <n v="87780"/>
    <n v="234080"/>
    <n v="201314"/>
    <s v="UP"/>
    <s v="Short Buildup"/>
    <n v="30974.7"/>
  </r>
  <r>
    <x v="12"/>
    <s v="Long Buildup"/>
    <s v="UP"/>
    <n v="901"/>
    <n v="2140"/>
    <n v="740"/>
    <n v="24.78"/>
    <n v="64.900000000000006"/>
    <n v="618.25"/>
    <x v="2"/>
    <n v="37.25"/>
    <n v="-32.5"/>
    <n v="23.55"/>
    <n v="154280"/>
    <n v="285600"/>
    <n v="297952"/>
    <s v="UP"/>
    <s v="Short Buildup"/>
    <n v="30974.7"/>
  </r>
  <r>
    <x v="12"/>
    <s v="Long Buildup"/>
    <s v="UP"/>
    <n v="13325"/>
    <n v="57320"/>
    <n v="9300"/>
    <n v="22.47"/>
    <n v="49.45"/>
    <n v="523"/>
    <x v="3"/>
    <n v="51.5"/>
    <n v="-40.75"/>
    <n v="23.3"/>
    <n v="329800"/>
    <n v="868140"/>
    <n v="642827"/>
    <s v="UP"/>
    <s v="Short Buildup"/>
    <n v="30974.7"/>
  </r>
  <r>
    <x v="12"/>
    <s v="Long Buildup"/>
    <s v="UP"/>
    <n v="10684"/>
    <n v="19640"/>
    <n v="3260"/>
    <n v="21.6"/>
    <n v="45.5"/>
    <n v="449.05"/>
    <x v="4"/>
    <n v="70.099999999999994"/>
    <n v="-48.15"/>
    <n v="22.92"/>
    <n v="247700"/>
    <n v="421520"/>
    <n v="370549"/>
    <s v="UP"/>
    <s v="Short Buildup"/>
    <n v="30974.7"/>
  </r>
  <r>
    <x v="12"/>
    <s v="Long Buildup"/>
    <s v="UP"/>
    <n v="47476"/>
    <n v="55360"/>
    <n v="27160"/>
    <n v="22.19"/>
    <n v="42.55"/>
    <n v="375"/>
    <x v="5"/>
    <n v="94"/>
    <n v="-58.2"/>
    <n v="22.61"/>
    <n v="300900"/>
    <n v="473380"/>
    <n v="438443"/>
    <s v="UP"/>
    <s v="Short Buildup"/>
    <n v="30974.7"/>
  </r>
  <r>
    <x v="12"/>
    <s v="Long Buildup"/>
    <s v="UP"/>
    <n v="154847"/>
    <n v="208100"/>
    <n v="65480"/>
    <n v="21.94"/>
    <n v="31.2"/>
    <n v="304.85000000000002"/>
    <x v="6"/>
    <n v="124.55"/>
    <n v="-66.599999999999994"/>
    <n v="22.43"/>
    <n v="313800"/>
    <n v="571440"/>
    <n v="449758"/>
    <s v="UP"/>
    <s v="Short Buildup"/>
    <n v="30974.7"/>
  </r>
  <r>
    <x v="12"/>
    <s v="Long Buildup"/>
    <s v="UP"/>
    <n v="275662"/>
    <n v="392660"/>
    <n v="172460"/>
    <n v="21.65"/>
    <n v="22"/>
    <n v="242.85"/>
    <x v="7"/>
    <n v="162.44999999999999"/>
    <n v="-74.05"/>
    <n v="22.1"/>
    <n v="313640"/>
    <n v="522360"/>
    <n v="383981"/>
    <s v="UP"/>
    <s v="Short Buildup"/>
    <n v="30974.7"/>
  </r>
  <r>
    <x v="12"/>
    <s v="Long Buildup"/>
    <s v="UP"/>
    <n v="609699"/>
    <n v="1073060"/>
    <n v="294800"/>
    <n v="21.62"/>
    <n v="12.25"/>
    <n v="190.05"/>
    <x v="8"/>
    <n v="208.65"/>
    <n v="-83.3"/>
    <n v="21.83"/>
    <n v="329740"/>
    <n v="780960"/>
    <n v="377324"/>
    <s v="UP"/>
    <s v="Short Buildup"/>
    <n v="30974.7"/>
  </r>
  <r>
    <x v="12"/>
    <s v="Long Buildup"/>
    <s v="UP"/>
    <n v="379894"/>
    <n v="504280"/>
    <n v="134360"/>
    <n v="21.72"/>
    <n v="5.55"/>
    <n v="145.80000000000001"/>
    <x v="9"/>
    <n v="265.95"/>
    <n v="-87.5"/>
    <n v="22.13"/>
    <n v="51880"/>
    <n v="156140"/>
    <n v="85900"/>
    <s v="UP"/>
    <s v="Short Buildup"/>
    <n v="30974.7"/>
  </r>
  <r>
    <x v="12"/>
    <s v="Short Buildup"/>
    <s v="UP"/>
    <n v="580266"/>
    <n v="709700"/>
    <n v="150300"/>
    <n v="21.97"/>
    <n v="-0.25"/>
    <n v="110.6"/>
    <x v="10"/>
    <n v="329.55"/>
    <n v="-95.7"/>
    <n v="22.32"/>
    <n v="12960"/>
    <n v="118060"/>
    <n v="48641"/>
    <s v="UP"/>
    <s v="Short Buildup"/>
    <n v="30974.7"/>
  </r>
  <r>
    <x v="12"/>
    <s v="Short Buildup"/>
    <s v="UP"/>
    <n v="411281"/>
    <n v="625120"/>
    <n v="177440"/>
    <n v="22.04"/>
    <n v="-3.25"/>
    <n v="82.3"/>
    <x v="11"/>
    <n v="408"/>
    <n v="-100.7"/>
    <n v="23.12"/>
    <n v="-7080"/>
    <n v="96100"/>
    <n v="12920"/>
    <s v="DOWN"/>
    <s v="Long Liquidation"/>
    <n v="30974.7"/>
  </r>
  <r>
    <x v="12"/>
    <s v="Short Buildup"/>
    <s v="UP"/>
    <n v="363507"/>
    <n v="540900"/>
    <n v="147740"/>
    <n v="22.16"/>
    <n v="-6.3"/>
    <n v="59.55"/>
    <x v="12"/>
    <n v="486.15"/>
    <n v="-95.8"/>
    <n v="20.85"/>
    <n v="4280"/>
    <n v="54760"/>
    <n v="4201"/>
    <s v="UP"/>
    <s v="Short Buildup"/>
    <n v="30974.7"/>
  </r>
  <r>
    <x v="12"/>
    <s v="Short Buildup"/>
    <s v="UP"/>
    <n v="537032"/>
    <n v="1441820"/>
    <n v="247460"/>
    <n v="22.55"/>
    <n v="-6.45"/>
    <n v="43.5"/>
    <x v="13"/>
    <n v="568.29999999999995"/>
    <n v="-99"/>
    <n v="23.56"/>
    <n v="3640"/>
    <n v="471740"/>
    <n v="6736"/>
    <s v="UP"/>
    <s v="Short Buildup"/>
    <n v="30974.7"/>
  </r>
  <r>
    <x v="12"/>
    <s v="Short Buildup"/>
    <s v="UP"/>
    <n v="212355"/>
    <n v="358020"/>
    <n v="73800"/>
    <n v="22.71"/>
    <n v="-7.15"/>
    <n v="30.6"/>
    <x v="14"/>
    <n v="650"/>
    <n v="-110.85"/>
    <n v="21"/>
    <n v="20"/>
    <n v="17680"/>
    <n v="295"/>
    <s v="UP"/>
    <s v="Short Buildup"/>
    <n v="30974.7"/>
  </r>
  <r>
    <x v="12"/>
    <s v="Short Buildup"/>
    <s v="UP"/>
    <n v="139939"/>
    <n v="382200"/>
    <n v="24240"/>
    <n v="23.07"/>
    <n v="-6.65"/>
    <n v="21.5"/>
    <x v="15"/>
    <n v="748.05"/>
    <n v="-95.65"/>
    <n v="28.3"/>
    <n v="-1240"/>
    <n v="10100"/>
    <n v="319"/>
    <s v="DOWN"/>
    <s v="Long Liquidation"/>
    <n v="30974.7"/>
  </r>
  <r>
    <x v="12"/>
    <n v="0.83496534203180384"/>
    <m/>
    <m/>
    <n v="6376600"/>
    <m/>
    <m/>
    <m/>
    <m/>
    <x v="16"/>
    <m/>
    <m/>
    <m/>
    <m/>
    <n v="5324240"/>
    <m/>
    <m/>
    <m/>
    <m/>
  </r>
  <r>
    <x v="12"/>
    <s v="n"/>
    <s v="UP"/>
    <n v="168"/>
    <n v="1440"/>
    <n v="1020"/>
    <n v="30.62"/>
    <n v="100.2"/>
    <n v="821.15"/>
    <x v="0"/>
    <n v="19.350000000000001"/>
    <n v="-20.8"/>
    <n v="24.49"/>
    <n v="28120"/>
    <n v="242180"/>
    <n v="157179"/>
    <s v="UP"/>
    <s v="Short Buildup"/>
    <n v="30974.7"/>
  </r>
  <r>
    <x v="12"/>
    <s v="Long Buildup"/>
    <s v="UP"/>
    <n v="596"/>
    <n v="4840"/>
    <n v="2680"/>
    <n v="21.52"/>
    <n v="77.45"/>
    <n v="707.1"/>
    <x v="1"/>
    <n v="27.05"/>
    <n v="-25.6"/>
    <n v="23.95"/>
    <n v="87780"/>
    <n v="234080"/>
    <n v="201314"/>
    <s v="UP"/>
    <s v="Short Buildup"/>
    <n v="30974.7"/>
  </r>
  <r>
    <x v="12"/>
    <s v="Long Buildup"/>
    <s v="UP"/>
    <n v="901"/>
    <n v="2140"/>
    <n v="740"/>
    <n v="24.78"/>
    <n v="64.900000000000006"/>
    <n v="618.25"/>
    <x v="2"/>
    <n v="37.25"/>
    <n v="-32.5"/>
    <n v="23.55"/>
    <n v="154280"/>
    <n v="285600"/>
    <n v="297952"/>
    <s v="UP"/>
    <s v="Short Buildup"/>
    <n v="30974.7"/>
  </r>
  <r>
    <x v="12"/>
    <s v="Long Buildup"/>
    <s v="UP"/>
    <n v="13325"/>
    <n v="57320"/>
    <n v="9300"/>
    <n v="22.47"/>
    <n v="49.45"/>
    <n v="523"/>
    <x v="3"/>
    <n v="51.5"/>
    <n v="-40.75"/>
    <n v="23.3"/>
    <n v="329800"/>
    <n v="868140"/>
    <n v="642827"/>
    <s v="UP"/>
    <s v="Short Buildup"/>
    <n v="30974.7"/>
  </r>
  <r>
    <x v="12"/>
    <s v="Long Buildup"/>
    <s v="UP"/>
    <n v="10684"/>
    <n v="19640"/>
    <n v="3260"/>
    <n v="21.6"/>
    <n v="45.5"/>
    <n v="449.05"/>
    <x v="4"/>
    <n v="70.099999999999994"/>
    <n v="-48.15"/>
    <n v="22.92"/>
    <n v="247700"/>
    <n v="421520"/>
    <n v="370549"/>
    <s v="UP"/>
    <s v="Short Buildup"/>
    <n v="30974.7"/>
  </r>
  <r>
    <x v="12"/>
    <s v="Long Buildup"/>
    <s v="UP"/>
    <n v="47476"/>
    <n v="55360"/>
    <n v="27160"/>
    <n v="22.19"/>
    <n v="42.55"/>
    <n v="375"/>
    <x v="5"/>
    <n v="94"/>
    <n v="-58.2"/>
    <n v="22.61"/>
    <n v="300900"/>
    <n v="473380"/>
    <n v="438443"/>
    <s v="UP"/>
    <s v="Short Buildup"/>
    <n v="30974.7"/>
  </r>
  <r>
    <x v="12"/>
    <s v="Long Buildup"/>
    <s v="UP"/>
    <n v="154847"/>
    <n v="208100"/>
    <n v="65480"/>
    <n v="21.94"/>
    <n v="31.2"/>
    <n v="304.85000000000002"/>
    <x v="6"/>
    <n v="124.55"/>
    <n v="-66.599999999999994"/>
    <n v="22.43"/>
    <n v="313800"/>
    <n v="571440"/>
    <n v="449758"/>
    <s v="UP"/>
    <s v="Short Buildup"/>
    <n v="30974.7"/>
  </r>
  <r>
    <x v="12"/>
    <s v="Long Buildup"/>
    <s v="UP"/>
    <n v="275662"/>
    <n v="392660"/>
    <n v="172460"/>
    <n v="21.65"/>
    <n v="22"/>
    <n v="242.85"/>
    <x v="7"/>
    <n v="162.44999999999999"/>
    <n v="-74.05"/>
    <n v="22.1"/>
    <n v="313640"/>
    <n v="522360"/>
    <n v="383981"/>
    <s v="UP"/>
    <s v="Short Buildup"/>
    <n v="30974.7"/>
  </r>
  <r>
    <x v="12"/>
    <s v="Long Buildup"/>
    <s v="UP"/>
    <n v="609699"/>
    <n v="1073060"/>
    <n v="294800"/>
    <n v="21.62"/>
    <n v="12.25"/>
    <n v="190.05"/>
    <x v="8"/>
    <n v="208.65"/>
    <n v="-83.3"/>
    <n v="21.83"/>
    <n v="329740"/>
    <n v="780960"/>
    <n v="377324"/>
    <s v="UP"/>
    <s v="Short Buildup"/>
    <n v="30974.7"/>
  </r>
  <r>
    <x v="12"/>
    <s v="Long Buildup"/>
    <s v="UP"/>
    <n v="379894"/>
    <n v="504280"/>
    <n v="134360"/>
    <n v="21.72"/>
    <n v="5.55"/>
    <n v="145.80000000000001"/>
    <x v="9"/>
    <n v="265.95"/>
    <n v="-87.5"/>
    <n v="22.13"/>
    <n v="51880"/>
    <n v="156140"/>
    <n v="85900"/>
    <s v="UP"/>
    <s v="Short Buildup"/>
    <n v="30974.7"/>
  </r>
  <r>
    <x v="12"/>
    <s v="Short Buildup"/>
    <s v="UP"/>
    <n v="580266"/>
    <n v="709700"/>
    <n v="150300"/>
    <n v="21.97"/>
    <n v="-0.25"/>
    <n v="110.6"/>
    <x v="10"/>
    <n v="329.55"/>
    <n v="-95.7"/>
    <n v="22.32"/>
    <n v="12960"/>
    <n v="118060"/>
    <n v="48641"/>
    <s v="UP"/>
    <s v="Short Buildup"/>
    <n v="30974.7"/>
  </r>
  <r>
    <x v="12"/>
    <s v="Short Buildup"/>
    <s v="UP"/>
    <n v="411281"/>
    <n v="625120"/>
    <n v="177440"/>
    <n v="22.04"/>
    <n v="-3.25"/>
    <n v="82.3"/>
    <x v="11"/>
    <n v="408"/>
    <n v="-100.7"/>
    <n v="23.12"/>
    <n v="-7080"/>
    <n v="96100"/>
    <n v="12920"/>
    <s v="DOWN"/>
    <s v="Long Liquidation"/>
    <n v="30974.7"/>
  </r>
  <r>
    <x v="12"/>
    <s v="Short Buildup"/>
    <s v="UP"/>
    <n v="363507"/>
    <n v="540900"/>
    <n v="147740"/>
    <n v="22.16"/>
    <n v="-6.3"/>
    <n v="59.55"/>
    <x v="12"/>
    <n v="486.15"/>
    <n v="-95.8"/>
    <n v="20.85"/>
    <n v="4280"/>
    <n v="54760"/>
    <n v="4201"/>
    <s v="UP"/>
    <s v="Short Buildup"/>
    <n v="30974.7"/>
  </r>
  <r>
    <x v="12"/>
    <s v="Short Buildup"/>
    <s v="UP"/>
    <n v="537032"/>
    <n v="1441820"/>
    <n v="247460"/>
    <n v="22.55"/>
    <n v="-6.45"/>
    <n v="43.5"/>
    <x v="13"/>
    <n v="568.29999999999995"/>
    <n v="-99"/>
    <n v="23.56"/>
    <n v="3640"/>
    <n v="471740"/>
    <n v="6736"/>
    <s v="UP"/>
    <s v="Short Buildup"/>
    <n v="30974.7"/>
  </r>
  <r>
    <x v="12"/>
    <s v="Short Buildup"/>
    <s v="UP"/>
    <n v="212355"/>
    <n v="358020"/>
    <n v="73800"/>
    <n v="22.71"/>
    <n v="-7.15"/>
    <n v="30.6"/>
    <x v="14"/>
    <n v="650"/>
    <n v="-110.85"/>
    <n v="21"/>
    <n v="20"/>
    <n v="17680"/>
    <n v="295"/>
    <s v="UP"/>
    <s v="Short Buildup"/>
    <n v="30974.7"/>
  </r>
  <r>
    <x v="12"/>
    <s v="Short Buildup"/>
    <s v="UP"/>
    <n v="139939"/>
    <n v="382200"/>
    <n v="24240"/>
    <n v="23.07"/>
    <n v="-6.65"/>
    <n v="21.5"/>
    <x v="15"/>
    <n v="748.05"/>
    <n v="-95.65"/>
    <n v="28.3"/>
    <n v="-1240"/>
    <n v="10100"/>
    <n v="319"/>
    <s v="DOWN"/>
    <s v="Long Liquidation"/>
    <n v="30974.7"/>
  </r>
  <r>
    <x v="12"/>
    <n v="0.83496534203180384"/>
    <m/>
    <m/>
    <n v="6376600"/>
    <m/>
    <m/>
    <m/>
    <m/>
    <x v="16"/>
    <m/>
    <m/>
    <m/>
    <m/>
    <n v="5324240"/>
    <m/>
    <m/>
    <m/>
    <m/>
  </r>
  <r>
    <x v="13"/>
    <s v="n"/>
    <s v="UP"/>
    <n v="168"/>
    <n v="1440"/>
    <n v="1020"/>
    <n v="27.63"/>
    <n v="100.2"/>
    <n v="821.15"/>
    <x v="0"/>
    <n v="20.7"/>
    <n v="-19.45"/>
    <n v="24.46"/>
    <n v="27900"/>
    <n v="241960"/>
    <n v="158498"/>
    <s v="UP"/>
    <s v="Short Buildup"/>
    <n v="30966.15"/>
  </r>
  <r>
    <x v="13"/>
    <s v="Long Buildup"/>
    <s v="UP"/>
    <n v="599"/>
    <n v="4860"/>
    <n v="2700"/>
    <n v="21.31"/>
    <n v="59.25"/>
    <n v="688.9"/>
    <x v="1"/>
    <n v="29.1"/>
    <n v="-23.55"/>
    <n v="24.06"/>
    <n v="86100"/>
    <n v="232400"/>
    <n v="202706"/>
    <s v="UP"/>
    <s v="Short Buildup"/>
    <n v="30966.15"/>
  </r>
  <r>
    <x v="13"/>
    <s v="Long Buildup"/>
    <s v="UP"/>
    <n v="907"/>
    <n v="2280"/>
    <n v="880"/>
    <n v="24.88"/>
    <n v="60.65"/>
    <n v="614"/>
    <x v="2"/>
    <n v="40.15"/>
    <n v="-29.6"/>
    <n v="23.57"/>
    <n v="154760"/>
    <n v="286080"/>
    <n v="299789"/>
    <s v="UP"/>
    <s v="Short Buildup"/>
    <n v="30966.15"/>
  </r>
  <r>
    <x v="13"/>
    <s v="Long Buildup"/>
    <s v="UP"/>
    <n v="13343"/>
    <n v="57600"/>
    <n v="9580"/>
    <n v="22.2"/>
    <n v="43.55"/>
    <n v="517.1"/>
    <x v="3"/>
    <n v="54.95"/>
    <n v="-37.299999999999997"/>
    <n v="23.26"/>
    <n v="331060"/>
    <n v="869400"/>
    <n v="648532"/>
    <s v="UP"/>
    <s v="Short Buildup"/>
    <n v="30966.15"/>
  </r>
  <r>
    <x v="13"/>
    <s v="Long Buildup"/>
    <s v="UP"/>
    <n v="10755"/>
    <n v="20080"/>
    <n v="3700"/>
    <n v="22.95"/>
    <n v="37.35"/>
    <n v="440.9"/>
    <x v="4"/>
    <n v="74.599999999999994"/>
    <n v="-43.65"/>
    <n v="22.94"/>
    <n v="251480"/>
    <n v="425300"/>
    <n v="372692"/>
    <s v="UP"/>
    <s v="Short Buildup"/>
    <n v="30966.15"/>
  </r>
  <r>
    <x v="13"/>
    <s v="Long Buildup"/>
    <s v="UP"/>
    <n v="48095"/>
    <n v="55900"/>
    <n v="27700"/>
    <n v="21.85"/>
    <n v="28.25"/>
    <n v="360.7"/>
    <x v="5"/>
    <n v="99.85"/>
    <n v="-52.35"/>
    <n v="22.57"/>
    <n v="304060"/>
    <n v="476540"/>
    <n v="442093"/>
    <s v="UP"/>
    <s v="Short Buildup"/>
    <n v="30966.15"/>
  </r>
  <r>
    <x v="13"/>
    <s v="Long Buildup"/>
    <s v="UP"/>
    <n v="155542"/>
    <n v="208200"/>
    <n v="65580"/>
    <n v="21.82"/>
    <n v="18.649999999999999"/>
    <n v="292.3"/>
    <x v="6"/>
    <n v="131.80000000000001"/>
    <n v="-59.35"/>
    <n v="22.28"/>
    <n v="316700"/>
    <n v="574340"/>
    <n v="453928"/>
    <s v="UP"/>
    <s v="Short Buildup"/>
    <n v="30966.15"/>
  </r>
  <r>
    <x v="13"/>
    <s v="Long Buildup"/>
    <s v="UP"/>
    <n v="277020"/>
    <n v="393380"/>
    <n v="173180"/>
    <n v="21.48"/>
    <n v="12.15"/>
    <n v="233"/>
    <x v="7"/>
    <n v="171.2"/>
    <n v="-65.3"/>
    <n v="22.03"/>
    <n v="313760"/>
    <n v="522480"/>
    <n v="387005"/>
    <s v="UP"/>
    <s v="Short Buildup"/>
    <n v="30966.15"/>
  </r>
  <r>
    <x v="13"/>
    <s v="Long Buildup"/>
    <s v="UP"/>
    <n v="614557"/>
    <n v="1075040"/>
    <n v="296780"/>
    <n v="21.62"/>
    <n v="5.4"/>
    <n v="183.2"/>
    <x v="8"/>
    <n v="218.2"/>
    <n v="-73.75"/>
    <n v="21.96"/>
    <n v="331920"/>
    <n v="783140"/>
    <n v="380615"/>
    <s v="UP"/>
    <s v="Short Buildup"/>
    <n v="30966.15"/>
  </r>
  <r>
    <x v="13"/>
    <s v="Short Buildup"/>
    <s v="UP"/>
    <n v="381974"/>
    <n v="504360"/>
    <n v="134440"/>
    <n v="21.63"/>
    <n v="-0.3"/>
    <n v="139.94999999999999"/>
    <x v="9"/>
    <n v="275.75"/>
    <n v="-77.7"/>
    <n v="22.1"/>
    <n v="50900"/>
    <n v="155160"/>
    <n v="86630"/>
    <s v="UP"/>
    <s v="Short Buildup"/>
    <n v="30966.15"/>
  </r>
  <r>
    <x v="13"/>
    <s v="Short Buildup"/>
    <s v="UP"/>
    <n v="583803"/>
    <n v="712080"/>
    <n v="152680"/>
    <n v="21.75"/>
    <n v="-4.0999999999999996"/>
    <n v="106.75"/>
    <x v="10"/>
    <n v="342.25"/>
    <n v="-83"/>
    <n v="22.2"/>
    <n v="15420"/>
    <n v="120520"/>
    <n v="49269"/>
    <s v="UP"/>
    <s v="Short Buildup"/>
    <n v="30966.15"/>
  </r>
  <r>
    <x v="13"/>
    <s v="Short Buildup"/>
    <s v="UP"/>
    <n v="414330"/>
    <n v="633900"/>
    <n v="186220"/>
    <n v="21.86"/>
    <n v="-6.8"/>
    <n v="78.75"/>
    <x v="11"/>
    <n v="414.3"/>
    <n v="-94.4"/>
    <n v="21.78"/>
    <n v="-5440"/>
    <n v="97740"/>
    <n v="13108"/>
    <s v="DOWN"/>
    <s v="Long Liquidation"/>
    <n v="30966.15"/>
  </r>
  <r>
    <x v="13"/>
    <s v="Short Buildup"/>
    <s v="UP"/>
    <n v="366184"/>
    <n v="540720"/>
    <n v="147560"/>
    <n v="21.98"/>
    <n v="-9.6999999999999993"/>
    <n v="56.15"/>
    <x v="12"/>
    <n v="494.6"/>
    <n v="-87.35"/>
    <n v="21.85"/>
    <n v="4260"/>
    <n v="54740"/>
    <n v="4243"/>
    <s v="UP"/>
    <s v="Short Buildup"/>
    <n v="30966.15"/>
  </r>
  <r>
    <x v="13"/>
    <s v="Short Buildup"/>
    <s v="UP"/>
    <n v="540537"/>
    <n v="1441560"/>
    <n v="247200"/>
    <n v="22.3"/>
    <n v="-8.9499999999999993"/>
    <n v="41"/>
    <x v="13"/>
    <n v="580"/>
    <n v="-87.3"/>
    <n v="22.39"/>
    <n v="3560"/>
    <n v="471660"/>
    <n v="6865"/>
    <s v="UP"/>
    <s v="Short Buildup"/>
    <n v="30966.15"/>
  </r>
  <r>
    <x v="13"/>
    <s v="Short Buildup"/>
    <s v="UP"/>
    <n v="213786"/>
    <n v="359540"/>
    <n v="75320"/>
    <n v="22.39"/>
    <n v="-9.15"/>
    <n v="28.6"/>
    <x v="14"/>
    <n v="665"/>
    <n v="-95.85"/>
    <n v="24.54"/>
    <s v="-"/>
    <n v="17660"/>
    <n v="304"/>
    <s v="UP"/>
    <s v="Short Buildup"/>
    <n v="30966.15"/>
  </r>
  <r>
    <x v="13"/>
    <s v="Short Buildup"/>
    <s v="UP"/>
    <n v="141155"/>
    <n v="384840"/>
    <n v="26880"/>
    <n v="22.67"/>
    <n v="-8.15"/>
    <n v="20"/>
    <x v="15"/>
    <n v="748.05"/>
    <n v="-95.65"/>
    <n v="26.79"/>
    <n v="-1240"/>
    <n v="10100"/>
    <n v="319"/>
    <s v="DOWN"/>
    <s v="Long Liquidation"/>
    <n v="30966.15"/>
  </r>
  <r>
    <x v="13"/>
    <n v="0.83480357360634672"/>
    <m/>
    <m/>
    <n v="6395780"/>
    <m/>
    <m/>
    <m/>
    <m/>
    <x v="16"/>
    <m/>
    <m/>
    <m/>
    <m/>
    <n v="5339220"/>
    <m/>
    <m/>
    <m/>
    <m/>
  </r>
  <r>
    <x v="13"/>
    <s v="n"/>
    <s v="UP"/>
    <n v="168"/>
    <n v="1440"/>
    <n v="1020"/>
    <n v="27.63"/>
    <n v="100.2"/>
    <n v="821.15"/>
    <x v="0"/>
    <n v="20.7"/>
    <n v="-19.45"/>
    <n v="24.46"/>
    <n v="27900"/>
    <n v="241960"/>
    <n v="158498"/>
    <s v="UP"/>
    <s v="Short Buildup"/>
    <n v="30966.15"/>
  </r>
  <r>
    <x v="13"/>
    <s v="Long Buildup"/>
    <s v="UP"/>
    <n v="599"/>
    <n v="4860"/>
    <n v="2700"/>
    <n v="21.31"/>
    <n v="59.25"/>
    <n v="688.9"/>
    <x v="1"/>
    <n v="29.1"/>
    <n v="-23.55"/>
    <n v="24.06"/>
    <n v="86100"/>
    <n v="232400"/>
    <n v="202706"/>
    <s v="UP"/>
    <s v="Short Buildup"/>
    <n v="30966.15"/>
  </r>
  <r>
    <x v="13"/>
    <s v="Long Buildup"/>
    <s v="UP"/>
    <n v="907"/>
    <n v="2280"/>
    <n v="880"/>
    <n v="24.88"/>
    <n v="60.65"/>
    <n v="614"/>
    <x v="2"/>
    <n v="40.15"/>
    <n v="-29.6"/>
    <n v="23.57"/>
    <n v="154760"/>
    <n v="286080"/>
    <n v="299789"/>
    <s v="UP"/>
    <s v="Short Buildup"/>
    <n v="30966.15"/>
  </r>
  <r>
    <x v="13"/>
    <s v="Long Buildup"/>
    <s v="UP"/>
    <n v="13343"/>
    <n v="57600"/>
    <n v="9580"/>
    <n v="22.2"/>
    <n v="43.55"/>
    <n v="517.1"/>
    <x v="3"/>
    <n v="54.95"/>
    <n v="-37.299999999999997"/>
    <n v="23.26"/>
    <n v="331060"/>
    <n v="869400"/>
    <n v="648532"/>
    <s v="UP"/>
    <s v="Short Buildup"/>
    <n v="30966.15"/>
  </r>
  <r>
    <x v="13"/>
    <s v="Long Buildup"/>
    <s v="UP"/>
    <n v="10755"/>
    <n v="20080"/>
    <n v="3700"/>
    <n v="22.95"/>
    <n v="37.35"/>
    <n v="440.9"/>
    <x v="4"/>
    <n v="74.599999999999994"/>
    <n v="-43.65"/>
    <n v="22.94"/>
    <n v="251480"/>
    <n v="425300"/>
    <n v="372692"/>
    <s v="UP"/>
    <s v="Short Buildup"/>
    <n v="30966.15"/>
  </r>
  <r>
    <x v="13"/>
    <s v="Long Buildup"/>
    <s v="UP"/>
    <n v="48095"/>
    <n v="55900"/>
    <n v="27700"/>
    <n v="21.85"/>
    <n v="28.25"/>
    <n v="360.7"/>
    <x v="5"/>
    <n v="99.85"/>
    <n v="-52.35"/>
    <n v="22.57"/>
    <n v="304060"/>
    <n v="476540"/>
    <n v="442093"/>
    <s v="UP"/>
    <s v="Short Buildup"/>
    <n v="30966.15"/>
  </r>
  <r>
    <x v="13"/>
    <s v="Long Buildup"/>
    <s v="UP"/>
    <n v="155542"/>
    <n v="208200"/>
    <n v="65580"/>
    <n v="21.82"/>
    <n v="18.649999999999999"/>
    <n v="292.3"/>
    <x v="6"/>
    <n v="131.80000000000001"/>
    <n v="-59.35"/>
    <n v="22.28"/>
    <n v="316700"/>
    <n v="574340"/>
    <n v="453928"/>
    <s v="UP"/>
    <s v="Short Buildup"/>
    <n v="30966.15"/>
  </r>
  <r>
    <x v="13"/>
    <s v="Long Buildup"/>
    <s v="UP"/>
    <n v="277020"/>
    <n v="393380"/>
    <n v="173180"/>
    <n v="21.48"/>
    <n v="12.15"/>
    <n v="233"/>
    <x v="7"/>
    <n v="171.2"/>
    <n v="-65.3"/>
    <n v="22.03"/>
    <n v="313760"/>
    <n v="522480"/>
    <n v="387005"/>
    <s v="UP"/>
    <s v="Short Buildup"/>
    <n v="30966.15"/>
  </r>
  <r>
    <x v="13"/>
    <s v="Long Buildup"/>
    <s v="UP"/>
    <n v="614557"/>
    <n v="1075040"/>
    <n v="296780"/>
    <n v="21.62"/>
    <n v="5.4"/>
    <n v="183.2"/>
    <x v="8"/>
    <n v="218.2"/>
    <n v="-73.75"/>
    <n v="21.96"/>
    <n v="331920"/>
    <n v="783140"/>
    <n v="380615"/>
    <s v="UP"/>
    <s v="Short Buildup"/>
    <n v="30966.15"/>
  </r>
  <r>
    <x v="13"/>
    <s v="Short Buildup"/>
    <s v="UP"/>
    <n v="381974"/>
    <n v="504360"/>
    <n v="134440"/>
    <n v="21.63"/>
    <n v="-0.3"/>
    <n v="139.94999999999999"/>
    <x v="9"/>
    <n v="275.75"/>
    <n v="-77.7"/>
    <n v="22.1"/>
    <n v="50900"/>
    <n v="155160"/>
    <n v="86630"/>
    <s v="UP"/>
    <s v="Short Buildup"/>
    <n v="30966.15"/>
  </r>
  <r>
    <x v="13"/>
    <s v="Short Buildup"/>
    <s v="UP"/>
    <n v="583803"/>
    <n v="712080"/>
    <n v="152680"/>
    <n v="21.75"/>
    <n v="-4.0999999999999996"/>
    <n v="106.75"/>
    <x v="10"/>
    <n v="342.25"/>
    <n v="-83"/>
    <n v="22.2"/>
    <n v="15420"/>
    <n v="120520"/>
    <n v="49269"/>
    <s v="UP"/>
    <s v="Short Buildup"/>
    <n v="30966.15"/>
  </r>
  <r>
    <x v="13"/>
    <s v="Short Buildup"/>
    <s v="UP"/>
    <n v="414330"/>
    <n v="633900"/>
    <n v="186220"/>
    <n v="21.86"/>
    <n v="-6.8"/>
    <n v="78.75"/>
    <x v="11"/>
    <n v="414.3"/>
    <n v="-94.4"/>
    <n v="21.78"/>
    <n v="-5440"/>
    <n v="97740"/>
    <n v="13108"/>
    <s v="DOWN"/>
    <s v="Long Liquidation"/>
    <n v="30966.15"/>
  </r>
  <r>
    <x v="13"/>
    <s v="Short Buildup"/>
    <s v="UP"/>
    <n v="366184"/>
    <n v="540720"/>
    <n v="147560"/>
    <n v="21.98"/>
    <n v="-9.6999999999999993"/>
    <n v="56.15"/>
    <x v="12"/>
    <n v="494.6"/>
    <n v="-87.35"/>
    <n v="21.85"/>
    <n v="4260"/>
    <n v="54740"/>
    <n v="4243"/>
    <s v="UP"/>
    <s v="Short Buildup"/>
    <n v="30966.15"/>
  </r>
  <r>
    <x v="13"/>
    <s v="Short Buildup"/>
    <s v="UP"/>
    <n v="540537"/>
    <n v="1441560"/>
    <n v="247200"/>
    <n v="22.3"/>
    <n v="-8.9499999999999993"/>
    <n v="41"/>
    <x v="13"/>
    <n v="580"/>
    <n v="-87.3"/>
    <n v="22.39"/>
    <n v="3560"/>
    <n v="471660"/>
    <n v="6865"/>
    <s v="UP"/>
    <s v="Short Buildup"/>
    <n v="30966.15"/>
  </r>
  <r>
    <x v="13"/>
    <s v="Short Buildup"/>
    <s v="UP"/>
    <n v="213786"/>
    <n v="359540"/>
    <n v="75320"/>
    <n v="22.39"/>
    <n v="-9.15"/>
    <n v="28.6"/>
    <x v="14"/>
    <n v="665"/>
    <n v="-95.85"/>
    <n v="24.54"/>
    <s v="-"/>
    <n v="17660"/>
    <n v="304"/>
    <s v="UP"/>
    <s v="Short Buildup"/>
    <n v="30966.15"/>
  </r>
  <r>
    <x v="13"/>
    <s v="Short Buildup"/>
    <s v="UP"/>
    <n v="141155"/>
    <n v="384840"/>
    <n v="26880"/>
    <n v="22.67"/>
    <n v="-8.15"/>
    <n v="20"/>
    <x v="15"/>
    <n v="748.05"/>
    <n v="-95.65"/>
    <n v="26.79"/>
    <n v="-1240"/>
    <n v="10100"/>
    <n v="319"/>
    <s v="DOWN"/>
    <s v="Long Liquidation"/>
    <n v="30966.15"/>
  </r>
  <r>
    <x v="13"/>
    <n v="0.83480357360634672"/>
    <m/>
    <m/>
    <n v="6395780"/>
    <m/>
    <m/>
    <m/>
    <m/>
    <x v="16"/>
    <m/>
    <m/>
    <m/>
    <m/>
    <n v="5339220"/>
    <m/>
    <m/>
    <m/>
    <m/>
  </r>
  <r>
    <x v="13"/>
    <s v="n"/>
    <s v="UP"/>
    <n v="168"/>
    <n v="1440"/>
    <n v="1020"/>
    <n v="27.63"/>
    <n v="100.2"/>
    <n v="821.15"/>
    <x v="0"/>
    <n v="20.7"/>
    <n v="-19.45"/>
    <n v="24.46"/>
    <n v="27900"/>
    <n v="241960"/>
    <n v="158498"/>
    <s v="UP"/>
    <s v="Short Buildup"/>
    <n v="30966.15"/>
  </r>
  <r>
    <x v="13"/>
    <s v="Long Buildup"/>
    <s v="UP"/>
    <n v="599"/>
    <n v="4860"/>
    <n v="2700"/>
    <n v="21.31"/>
    <n v="59.25"/>
    <n v="688.9"/>
    <x v="1"/>
    <n v="29.1"/>
    <n v="-23.55"/>
    <n v="24.06"/>
    <n v="86100"/>
    <n v="232400"/>
    <n v="202706"/>
    <s v="UP"/>
    <s v="Short Buildup"/>
    <n v="30966.15"/>
  </r>
  <r>
    <x v="13"/>
    <s v="Long Buildup"/>
    <s v="UP"/>
    <n v="907"/>
    <n v="2280"/>
    <n v="880"/>
    <n v="24.88"/>
    <n v="60.65"/>
    <n v="614"/>
    <x v="2"/>
    <n v="40.15"/>
    <n v="-29.6"/>
    <n v="23.57"/>
    <n v="154760"/>
    <n v="286080"/>
    <n v="299789"/>
    <s v="UP"/>
    <s v="Short Buildup"/>
    <n v="30966.15"/>
  </r>
  <r>
    <x v="13"/>
    <s v="Long Buildup"/>
    <s v="UP"/>
    <n v="13343"/>
    <n v="57600"/>
    <n v="9580"/>
    <n v="22.2"/>
    <n v="43.55"/>
    <n v="517.1"/>
    <x v="3"/>
    <n v="54.95"/>
    <n v="-37.299999999999997"/>
    <n v="23.26"/>
    <n v="331060"/>
    <n v="869400"/>
    <n v="648532"/>
    <s v="UP"/>
    <s v="Short Buildup"/>
    <n v="30966.15"/>
  </r>
  <r>
    <x v="13"/>
    <s v="Long Buildup"/>
    <s v="UP"/>
    <n v="10755"/>
    <n v="20080"/>
    <n v="3700"/>
    <n v="22.95"/>
    <n v="37.35"/>
    <n v="440.9"/>
    <x v="4"/>
    <n v="74.599999999999994"/>
    <n v="-43.65"/>
    <n v="22.94"/>
    <n v="251480"/>
    <n v="425300"/>
    <n v="372692"/>
    <s v="UP"/>
    <s v="Short Buildup"/>
    <n v="30966.15"/>
  </r>
  <r>
    <x v="13"/>
    <s v="Long Buildup"/>
    <s v="UP"/>
    <n v="48095"/>
    <n v="55900"/>
    <n v="27700"/>
    <n v="21.85"/>
    <n v="28.25"/>
    <n v="360.7"/>
    <x v="5"/>
    <n v="99.85"/>
    <n v="-52.35"/>
    <n v="22.57"/>
    <n v="304060"/>
    <n v="476540"/>
    <n v="442093"/>
    <s v="UP"/>
    <s v="Short Buildup"/>
    <n v="30966.15"/>
  </r>
  <r>
    <x v="13"/>
    <s v="Long Buildup"/>
    <s v="UP"/>
    <n v="155542"/>
    <n v="208200"/>
    <n v="65580"/>
    <n v="21.82"/>
    <n v="18.649999999999999"/>
    <n v="292.3"/>
    <x v="6"/>
    <n v="131.80000000000001"/>
    <n v="-59.35"/>
    <n v="22.28"/>
    <n v="316700"/>
    <n v="574340"/>
    <n v="453928"/>
    <s v="UP"/>
    <s v="Short Buildup"/>
    <n v="30966.15"/>
  </r>
  <r>
    <x v="13"/>
    <s v="Long Buildup"/>
    <s v="UP"/>
    <n v="277020"/>
    <n v="393380"/>
    <n v="173180"/>
    <n v="21.48"/>
    <n v="12.15"/>
    <n v="233"/>
    <x v="7"/>
    <n v="171.2"/>
    <n v="-65.3"/>
    <n v="22.03"/>
    <n v="313760"/>
    <n v="522480"/>
    <n v="387005"/>
    <s v="UP"/>
    <s v="Short Buildup"/>
    <n v="30966.15"/>
  </r>
  <r>
    <x v="13"/>
    <s v="Long Buildup"/>
    <s v="UP"/>
    <n v="614557"/>
    <n v="1075040"/>
    <n v="296780"/>
    <n v="21.62"/>
    <n v="5.4"/>
    <n v="183.2"/>
    <x v="8"/>
    <n v="218.2"/>
    <n v="-73.75"/>
    <n v="21.96"/>
    <n v="331920"/>
    <n v="783140"/>
    <n v="380615"/>
    <s v="UP"/>
    <s v="Short Buildup"/>
    <n v="30966.15"/>
  </r>
  <r>
    <x v="13"/>
    <s v="Short Buildup"/>
    <s v="UP"/>
    <n v="381974"/>
    <n v="504360"/>
    <n v="134440"/>
    <n v="21.63"/>
    <n v="-0.3"/>
    <n v="139.94999999999999"/>
    <x v="9"/>
    <n v="275.75"/>
    <n v="-77.7"/>
    <n v="22.1"/>
    <n v="50900"/>
    <n v="155160"/>
    <n v="86630"/>
    <s v="UP"/>
    <s v="Short Buildup"/>
    <n v="30966.15"/>
  </r>
  <r>
    <x v="13"/>
    <s v="Short Buildup"/>
    <s v="UP"/>
    <n v="583803"/>
    <n v="712080"/>
    <n v="152680"/>
    <n v="21.75"/>
    <n v="-4.0999999999999996"/>
    <n v="106.75"/>
    <x v="10"/>
    <n v="342.25"/>
    <n v="-83"/>
    <n v="22.2"/>
    <n v="15420"/>
    <n v="120520"/>
    <n v="49269"/>
    <s v="UP"/>
    <s v="Short Buildup"/>
    <n v="30966.15"/>
  </r>
  <r>
    <x v="13"/>
    <s v="Short Buildup"/>
    <s v="UP"/>
    <n v="414330"/>
    <n v="633900"/>
    <n v="186220"/>
    <n v="21.86"/>
    <n v="-6.8"/>
    <n v="78.75"/>
    <x v="11"/>
    <n v="414.3"/>
    <n v="-94.4"/>
    <n v="21.78"/>
    <n v="-5440"/>
    <n v="97740"/>
    <n v="13108"/>
    <s v="DOWN"/>
    <s v="Long Liquidation"/>
    <n v="30966.15"/>
  </r>
  <r>
    <x v="13"/>
    <s v="Short Buildup"/>
    <s v="UP"/>
    <n v="366184"/>
    <n v="540720"/>
    <n v="147560"/>
    <n v="21.98"/>
    <n v="-9.6999999999999993"/>
    <n v="56.15"/>
    <x v="12"/>
    <n v="494.6"/>
    <n v="-87.35"/>
    <n v="21.85"/>
    <n v="4260"/>
    <n v="54740"/>
    <n v="4243"/>
    <s v="UP"/>
    <s v="Short Buildup"/>
    <n v="30966.15"/>
  </r>
  <r>
    <x v="13"/>
    <s v="Short Buildup"/>
    <s v="UP"/>
    <n v="540537"/>
    <n v="1441560"/>
    <n v="247200"/>
    <n v="22.3"/>
    <n v="-8.9499999999999993"/>
    <n v="41"/>
    <x v="13"/>
    <n v="580"/>
    <n v="-87.3"/>
    <n v="22.39"/>
    <n v="3560"/>
    <n v="471660"/>
    <n v="6865"/>
    <s v="UP"/>
    <s v="Short Buildup"/>
    <n v="30966.15"/>
  </r>
  <r>
    <x v="13"/>
    <s v="Short Buildup"/>
    <s v="UP"/>
    <n v="213786"/>
    <n v="359540"/>
    <n v="75320"/>
    <n v="22.39"/>
    <n v="-9.15"/>
    <n v="28.6"/>
    <x v="14"/>
    <n v="665"/>
    <n v="-95.85"/>
    <n v="24.54"/>
    <s v="-"/>
    <n v="17660"/>
    <n v="304"/>
    <s v="UP"/>
    <s v="Short Buildup"/>
    <n v="30966.15"/>
  </r>
  <r>
    <x v="13"/>
    <s v="Short Buildup"/>
    <s v="UP"/>
    <n v="141155"/>
    <n v="384840"/>
    <n v="26880"/>
    <n v="22.67"/>
    <n v="-8.15"/>
    <n v="20"/>
    <x v="15"/>
    <n v="748.05"/>
    <n v="-95.65"/>
    <n v="26.79"/>
    <n v="-1240"/>
    <n v="10100"/>
    <n v="319"/>
    <s v="DOWN"/>
    <s v="Long Liquidation"/>
    <n v="30966.15"/>
  </r>
  <r>
    <x v="13"/>
    <n v="0.83480357360634672"/>
    <m/>
    <m/>
    <n v="6395780"/>
    <m/>
    <m/>
    <m/>
    <m/>
    <x v="16"/>
    <m/>
    <m/>
    <m/>
    <m/>
    <n v="5339220"/>
    <m/>
    <m/>
    <m/>
    <m/>
  </r>
  <r>
    <x v="13"/>
    <s v="n"/>
    <s v="UP"/>
    <n v="168"/>
    <n v="1440"/>
    <n v="1020"/>
    <n v="27.63"/>
    <n v="100.2"/>
    <n v="821.15"/>
    <x v="0"/>
    <n v="20.7"/>
    <n v="-19.45"/>
    <n v="24.46"/>
    <n v="27900"/>
    <n v="241960"/>
    <n v="158498"/>
    <s v="UP"/>
    <s v="Short Buildup"/>
    <n v="30966.15"/>
  </r>
  <r>
    <x v="13"/>
    <s v="Long Buildup"/>
    <s v="UP"/>
    <n v="599"/>
    <n v="4860"/>
    <n v="2700"/>
    <n v="21.31"/>
    <n v="59.25"/>
    <n v="688.9"/>
    <x v="1"/>
    <n v="29.1"/>
    <n v="-23.55"/>
    <n v="24.06"/>
    <n v="86100"/>
    <n v="232400"/>
    <n v="202706"/>
    <s v="UP"/>
    <s v="Short Buildup"/>
    <n v="30966.15"/>
  </r>
  <r>
    <x v="13"/>
    <s v="Long Buildup"/>
    <s v="UP"/>
    <n v="907"/>
    <n v="2280"/>
    <n v="880"/>
    <n v="24.88"/>
    <n v="60.65"/>
    <n v="614"/>
    <x v="2"/>
    <n v="40.15"/>
    <n v="-29.6"/>
    <n v="23.57"/>
    <n v="154760"/>
    <n v="286080"/>
    <n v="299789"/>
    <s v="UP"/>
    <s v="Short Buildup"/>
    <n v="30966.15"/>
  </r>
  <r>
    <x v="13"/>
    <s v="Long Buildup"/>
    <s v="UP"/>
    <n v="13343"/>
    <n v="57600"/>
    <n v="9580"/>
    <n v="22.2"/>
    <n v="43.55"/>
    <n v="517.1"/>
    <x v="3"/>
    <n v="54.95"/>
    <n v="-37.299999999999997"/>
    <n v="23.26"/>
    <n v="331060"/>
    <n v="869400"/>
    <n v="648532"/>
    <s v="UP"/>
    <s v="Short Buildup"/>
    <n v="30966.15"/>
  </r>
  <r>
    <x v="13"/>
    <s v="Long Buildup"/>
    <s v="UP"/>
    <n v="10755"/>
    <n v="20080"/>
    <n v="3700"/>
    <n v="22.95"/>
    <n v="37.35"/>
    <n v="440.9"/>
    <x v="4"/>
    <n v="74.599999999999994"/>
    <n v="-43.65"/>
    <n v="22.94"/>
    <n v="251480"/>
    <n v="425300"/>
    <n v="372692"/>
    <s v="UP"/>
    <s v="Short Buildup"/>
    <n v="30966.15"/>
  </r>
  <r>
    <x v="13"/>
    <s v="Long Buildup"/>
    <s v="UP"/>
    <n v="48095"/>
    <n v="55900"/>
    <n v="27700"/>
    <n v="21.85"/>
    <n v="28.25"/>
    <n v="360.7"/>
    <x v="5"/>
    <n v="99.85"/>
    <n v="-52.35"/>
    <n v="22.57"/>
    <n v="304060"/>
    <n v="476540"/>
    <n v="442093"/>
    <s v="UP"/>
    <s v="Short Buildup"/>
    <n v="30966.15"/>
  </r>
  <r>
    <x v="13"/>
    <s v="Long Buildup"/>
    <s v="UP"/>
    <n v="155542"/>
    <n v="208200"/>
    <n v="65580"/>
    <n v="21.82"/>
    <n v="18.649999999999999"/>
    <n v="292.3"/>
    <x v="6"/>
    <n v="131.80000000000001"/>
    <n v="-59.35"/>
    <n v="22.28"/>
    <n v="316700"/>
    <n v="574340"/>
    <n v="453928"/>
    <s v="UP"/>
    <s v="Short Buildup"/>
    <n v="30966.15"/>
  </r>
  <r>
    <x v="13"/>
    <s v="Long Buildup"/>
    <s v="UP"/>
    <n v="277020"/>
    <n v="393380"/>
    <n v="173180"/>
    <n v="21.48"/>
    <n v="12.15"/>
    <n v="233"/>
    <x v="7"/>
    <n v="171.2"/>
    <n v="-65.3"/>
    <n v="22.03"/>
    <n v="313760"/>
    <n v="522480"/>
    <n v="387005"/>
    <s v="UP"/>
    <s v="Short Buildup"/>
    <n v="30966.15"/>
  </r>
  <r>
    <x v="13"/>
    <s v="Long Buildup"/>
    <s v="UP"/>
    <n v="614557"/>
    <n v="1075040"/>
    <n v="296780"/>
    <n v="21.62"/>
    <n v="5.4"/>
    <n v="183.2"/>
    <x v="8"/>
    <n v="218.2"/>
    <n v="-73.75"/>
    <n v="21.96"/>
    <n v="331920"/>
    <n v="783140"/>
    <n v="380615"/>
    <s v="UP"/>
    <s v="Short Buildup"/>
    <n v="30966.15"/>
  </r>
  <r>
    <x v="13"/>
    <s v="Short Buildup"/>
    <s v="UP"/>
    <n v="381974"/>
    <n v="504360"/>
    <n v="134440"/>
    <n v="21.63"/>
    <n v="-0.3"/>
    <n v="139.94999999999999"/>
    <x v="9"/>
    <n v="275.75"/>
    <n v="-77.7"/>
    <n v="22.1"/>
    <n v="50900"/>
    <n v="155160"/>
    <n v="86630"/>
    <s v="UP"/>
    <s v="Short Buildup"/>
    <n v="30966.15"/>
  </r>
  <r>
    <x v="13"/>
    <s v="Short Buildup"/>
    <s v="UP"/>
    <n v="583803"/>
    <n v="712080"/>
    <n v="152680"/>
    <n v="21.75"/>
    <n v="-4.0999999999999996"/>
    <n v="106.75"/>
    <x v="10"/>
    <n v="342.25"/>
    <n v="-83"/>
    <n v="22.2"/>
    <n v="15420"/>
    <n v="120520"/>
    <n v="49269"/>
    <s v="UP"/>
    <s v="Short Buildup"/>
    <n v="30966.15"/>
  </r>
  <r>
    <x v="13"/>
    <s v="Short Buildup"/>
    <s v="UP"/>
    <n v="414330"/>
    <n v="633900"/>
    <n v="186220"/>
    <n v="21.86"/>
    <n v="-6.8"/>
    <n v="78.75"/>
    <x v="11"/>
    <n v="414.3"/>
    <n v="-94.4"/>
    <n v="21.78"/>
    <n v="-5440"/>
    <n v="97740"/>
    <n v="13108"/>
    <s v="DOWN"/>
    <s v="Long Liquidation"/>
    <n v="30966.15"/>
  </r>
  <r>
    <x v="13"/>
    <s v="Short Buildup"/>
    <s v="UP"/>
    <n v="366184"/>
    <n v="540720"/>
    <n v="147560"/>
    <n v="21.98"/>
    <n v="-9.6999999999999993"/>
    <n v="56.15"/>
    <x v="12"/>
    <n v="494.6"/>
    <n v="-87.35"/>
    <n v="21.85"/>
    <n v="4260"/>
    <n v="54740"/>
    <n v="4243"/>
    <s v="UP"/>
    <s v="Short Buildup"/>
    <n v="30966.15"/>
  </r>
  <r>
    <x v="13"/>
    <s v="Short Buildup"/>
    <s v="UP"/>
    <n v="540537"/>
    <n v="1441560"/>
    <n v="247200"/>
    <n v="22.3"/>
    <n v="-8.9499999999999993"/>
    <n v="41"/>
    <x v="13"/>
    <n v="580"/>
    <n v="-87.3"/>
    <n v="22.39"/>
    <n v="3560"/>
    <n v="471660"/>
    <n v="6865"/>
    <s v="UP"/>
    <s v="Short Buildup"/>
    <n v="30966.15"/>
  </r>
  <r>
    <x v="13"/>
    <s v="Short Buildup"/>
    <s v="UP"/>
    <n v="213786"/>
    <n v="359540"/>
    <n v="75320"/>
    <n v="22.39"/>
    <n v="-9.15"/>
    <n v="28.6"/>
    <x v="14"/>
    <n v="665"/>
    <n v="-95.85"/>
    <n v="24.54"/>
    <s v="-"/>
    <n v="17660"/>
    <n v="304"/>
    <s v="UP"/>
    <s v="Short Buildup"/>
    <n v="30966.15"/>
  </r>
  <r>
    <x v="13"/>
    <s v="Short Buildup"/>
    <s v="UP"/>
    <n v="141155"/>
    <n v="384840"/>
    <n v="26880"/>
    <n v="22.67"/>
    <n v="-8.15"/>
    <n v="20"/>
    <x v="15"/>
    <n v="748.05"/>
    <n v="-95.65"/>
    <n v="26.79"/>
    <n v="-1240"/>
    <n v="10100"/>
    <n v="319"/>
    <s v="DOWN"/>
    <s v="Long Liquidation"/>
    <n v="30966.15"/>
  </r>
  <r>
    <x v="13"/>
    <n v="0.83480357360634672"/>
    <m/>
    <m/>
    <n v="6395780"/>
    <m/>
    <m/>
    <m/>
    <m/>
    <x v="16"/>
    <m/>
    <m/>
    <m/>
    <m/>
    <n v="5339220"/>
    <m/>
    <m/>
    <m/>
    <m/>
  </r>
  <r>
    <x v="13"/>
    <s v="n"/>
    <s v="UP"/>
    <n v="168"/>
    <n v="1440"/>
    <n v="1020"/>
    <n v="27.63"/>
    <n v="100.2"/>
    <n v="821.15"/>
    <x v="0"/>
    <n v="20.7"/>
    <n v="-19.45"/>
    <n v="24.46"/>
    <n v="27900"/>
    <n v="241960"/>
    <n v="158498"/>
    <s v="UP"/>
    <s v="Short Buildup"/>
    <n v="30966.15"/>
  </r>
  <r>
    <x v="13"/>
    <s v="Long Buildup"/>
    <s v="UP"/>
    <n v="599"/>
    <n v="4860"/>
    <n v="2700"/>
    <n v="21.31"/>
    <n v="59.25"/>
    <n v="688.9"/>
    <x v="1"/>
    <n v="29.1"/>
    <n v="-23.55"/>
    <n v="24.06"/>
    <n v="86100"/>
    <n v="232400"/>
    <n v="202706"/>
    <s v="UP"/>
    <s v="Short Buildup"/>
    <n v="30966.15"/>
  </r>
  <r>
    <x v="13"/>
    <s v="Long Buildup"/>
    <s v="UP"/>
    <n v="907"/>
    <n v="2280"/>
    <n v="880"/>
    <n v="24.88"/>
    <n v="60.65"/>
    <n v="614"/>
    <x v="2"/>
    <n v="40.15"/>
    <n v="-29.6"/>
    <n v="23.57"/>
    <n v="154760"/>
    <n v="286080"/>
    <n v="299789"/>
    <s v="UP"/>
    <s v="Short Buildup"/>
    <n v="30966.15"/>
  </r>
  <r>
    <x v="13"/>
    <s v="Long Buildup"/>
    <s v="UP"/>
    <n v="13343"/>
    <n v="57600"/>
    <n v="9580"/>
    <n v="22.2"/>
    <n v="43.55"/>
    <n v="517.1"/>
    <x v="3"/>
    <n v="54.95"/>
    <n v="-37.299999999999997"/>
    <n v="23.26"/>
    <n v="331060"/>
    <n v="869400"/>
    <n v="648532"/>
    <s v="UP"/>
    <s v="Short Buildup"/>
    <n v="30966.15"/>
  </r>
  <r>
    <x v="13"/>
    <s v="Long Buildup"/>
    <s v="UP"/>
    <n v="10755"/>
    <n v="20080"/>
    <n v="3700"/>
    <n v="22.95"/>
    <n v="37.35"/>
    <n v="440.9"/>
    <x v="4"/>
    <n v="74.599999999999994"/>
    <n v="-43.65"/>
    <n v="22.94"/>
    <n v="251480"/>
    <n v="425300"/>
    <n v="372692"/>
    <s v="UP"/>
    <s v="Short Buildup"/>
    <n v="30966.15"/>
  </r>
  <r>
    <x v="13"/>
    <s v="Long Buildup"/>
    <s v="UP"/>
    <n v="48095"/>
    <n v="55900"/>
    <n v="27700"/>
    <n v="21.85"/>
    <n v="28.25"/>
    <n v="360.7"/>
    <x v="5"/>
    <n v="99.85"/>
    <n v="-52.35"/>
    <n v="22.57"/>
    <n v="304060"/>
    <n v="476540"/>
    <n v="442093"/>
    <s v="UP"/>
    <s v="Short Buildup"/>
    <n v="30966.15"/>
  </r>
  <r>
    <x v="13"/>
    <s v="Long Buildup"/>
    <s v="UP"/>
    <n v="155542"/>
    <n v="208200"/>
    <n v="65580"/>
    <n v="21.82"/>
    <n v="18.649999999999999"/>
    <n v="292.3"/>
    <x v="6"/>
    <n v="131.80000000000001"/>
    <n v="-59.35"/>
    <n v="22.28"/>
    <n v="316700"/>
    <n v="574340"/>
    <n v="453928"/>
    <s v="UP"/>
    <s v="Short Buildup"/>
    <n v="30966.15"/>
  </r>
  <r>
    <x v="13"/>
    <s v="Long Buildup"/>
    <s v="UP"/>
    <n v="277020"/>
    <n v="393380"/>
    <n v="173180"/>
    <n v="21.48"/>
    <n v="12.15"/>
    <n v="233"/>
    <x v="7"/>
    <n v="171.2"/>
    <n v="-65.3"/>
    <n v="22.03"/>
    <n v="313760"/>
    <n v="522480"/>
    <n v="387005"/>
    <s v="UP"/>
    <s v="Short Buildup"/>
    <n v="30966.15"/>
  </r>
  <r>
    <x v="13"/>
    <s v="Long Buildup"/>
    <s v="UP"/>
    <n v="614557"/>
    <n v="1075040"/>
    <n v="296780"/>
    <n v="21.62"/>
    <n v="5.4"/>
    <n v="183.2"/>
    <x v="8"/>
    <n v="218.2"/>
    <n v="-73.75"/>
    <n v="21.96"/>
    <n v="331920"/>
    <n v="783140"/>
    <n v="380615"/>
    <s v="UP"/>
    <s v="Short Buildup"/>
    <n v="30966.15"/>
  </r>
  <r>
    <x v="13"/>
    <s v="Short Buildup"/>
    <s v="UP"/>
    <n v="381974"/>
    <n v="504360"/>
    <n v="134440"/>
    <n v="21.63"/>
    <n v="-0.3"/>
    <n v="139.94999999999999"/>
    <x v="9"/>
    <n v="275.75"/>
    <n v="-77.7"/>
    <n v="22.1"/>
    <n v="50900"/>
    <n v="155160"/>
    <n v="86630"/>
    <s v="UP"/>
    <s v="Short Buildup"/>
    <n v="30966.15"/>
  </r>
  <r>
    <x v="13"/>
    <s v="Short Buildup"/>
    <s v="UP"/>
    <n v="583803"/>
    <n v="712080"/>
    <n v="152680"/>
    <n v="21.75"/>
    <n v="-4.0999999999999996"/>
    <n v="106.75"/>
    <x v="10"/>
    <n v="342.25"/>
    <n v="-83"/>
    <n v="22.2"/>
    <n v="15420"/>
    <n v="120520"/>
    <n v="49269"/>
    <s v="UP"/>
    <s v="Short Buildup"/>
    <n v="30966.15"/>
  </r>
  <r>
    <x v="13"/>
    <s v="Short Buildup"/>
    <s v="UP"/>
    <n v="414330"/>
    <n v="633900"/>
    <n v="186220"/>
    <n v="21.86"/>
    <n v="-6.8"/>
    <n v="78.75"/>
    <x v="11"/>
    <n v="414.3"/>
    <n v="-94.4"/>
    <n v="21.78"/>
    <n v="-5440"/>
    <n v="97740"/>
    <n v="13108"/>
    <s v="DOWN"/>
    <s v="Long Liquidation"/>
    <n v="30966.15"/>
  </r>
  <r>
    <x v="13"/>
    <s v="Short Buildup"/>
    <s v="UP"/>
    <n v="366184"/>
    <n v="540720"/>
    <n v="147560"/>
    <n v="21.98"/>
    <n v="-9.6999999999999993"/>
    <n v="56.15"/>
    <x v="12"/>
    <n v="494.6"/>
    <n v="-87.35"/>
    <n v="21.85"/>
    <n v="4260"/>
    <n v="54740"/>
    <n v="4243"/>
    <s v="UP"/>
    <s v="Short Buildup"/>
    <n v="30966.15"/>
  </r>
  <r>
    <x v="13"/>
    <s v="Short Buildup"/>
    <s v="UP"/>
    <n v="540537"/>
    <n v="1441560"/>
    <n v="247200"/>
    <n v="22.3"/>
    <n v="-8.9499999999999993"/>
    <n v="41"/>
    <x v="13"/>
    <n v="580"/>
    <n v="-87.3"/>
    <n v="22.39"/>
    <n v="3560"/>
    <n v="471660"/>
    <n v="6865"/>
    <s v="UP"/>
    <s v="Short Buildup"/>
    <n v="30966.15"/>
  </r>
  <r>
    <x v="13"/>
    <s v="Short Buildup"/>
    <s v="UP"/>
    <n v="213786"/>
    <n v="359540"/>
    <n v="75320"/>
    <n v="22.39"/>
    <n v="-9.15"/>
    <n v="28.6"/>
    <x v="14"/>
    <n v="665"/>
    <n v="-95.85"/>
    <n v="24.54"/>
    <s v="-"/>
    <n v="17660"/>
    <n v="304"/>
    <s v="UP"/>
    <s v="Short Buildup"/>
    <n v="30966.15"/>
  </r>
  <r>
    <x v="13"/>
    <s v="Short Buildup"/>
    <s v="UP"/>
    <n v="141155"/>
    <n v="384840"/>
    <n v="26880"/>
    <n v="22.67"/>
    <n v="-8.15"/>
    <n v="20"/>
    <x v="15"/>
    <n v="748.05"/>
    <n v="-95.65"/>
    <n v="26.79"/>
    <n v="-1240"/>
    <n v="10100"/>
    <n v="319"/>
    <s v="DOWN"/>
    <s v="Long Liquidation"/>
    <n v="30966.15"/>
  </r>
  <r>
    <x v="13"/>
    <n v="0.83480357360634672"/>
    <m/>
    <m/>
    <n v="6395780"/>
    <m/>
    <m/>
    <m/>
    <m/>
    <x v="16"/>
    <m/>
    <m/>
    <m/>
    <m/>
    <n v="5339220"/>
    <m/>
    <m/>
    <m/>
    <m/>
  </r>
  <r>
    <x v="13"/>
    <s v="n"/>
    <s v="UP"/>
    <n v="168"/>
    <n v="1440"/>
    <n v="1020"/>
    <n v="27.63"/>
    <n v="100.2"/>
    <n v="821.15"/>
    <x v="0"/>
    <n v="20.7"/>
    <n v="-19.45"/>
    <n v="24.46"/>
    <n v="27900"/>
    <n v="241960"/>
    <n v="158498"/>
    <s v="UP"/>
    <s v="Short Buildup"/>
    <n v="30966.15"/>
  </r>
  <r>
    <x v="13"/>
    <s v="Long Buildup"/>
    <s v="UP"/>
    <n v="599"/>
    <n v="4860"/>
    <n v="2700"/>
    <n v="21.31"/>
    <n v="59.25"/>
    <n v="688.9"/>
    <x v="1"/>
    <n v="29.1"/>
    <n v="-23.55"/>
    <n v="24.06"/>
    <n v="86100"/>
    <n v="232400"/>
    <n v="202706"/>
    <s v="UP"/>
    <s v="Short Buildup"/>
    <n v="30966.15"/>
  </r>
  <r>
    <x v="13"/>
    <s v="Long Buildup"/>
    <s v="UP"/>
    <n v="907"/>
    <n v="2280"/>
    <n v="880"/>
    <n v="24.88"/>
    <n v="60.65"/>
    <n v="614"/>
    <x v="2"/>
    <n v="40.15"/>
    <n v="-29.6"/>
    <n v="23.57"/>
    <n v="154760"/>
    <n v="286080"/>
    <n v="299789"/>
    <s v="UP"/>
    <s v="Short Buildup"/>
    <n v="30966.15"/>
  </r>
  <r>
    <x v="13"/>
    <s v="Long Buildup"/>
    <s v="UP"/>
    <n v="13343"/>
    <n v="57600"/>
    <n v="9580"/>
    <n v="22.2"/>
    <n v="43.55"/>
    <n v="517.1"/>
    <x v="3"/>
    <n v="54.95"/>
    <n v="-37.299999999999997"/>
    <n v="23.26"/>
    <n v="331060"/>
    <n v="869400"/>
    <n v="648532"/>
    <s v="UP"/>
    <s v="Short Buildup"/>
    <n v="30966.15"/>
  </r>
  <r>
    <x v="13"/>
    <s v="Long Buildup"/>
    <s v="UP"/>
    <n v="10755"/>
    <n v="20080"/>
    <n v="3700"/>
    <n v="22.95"/>
    <n v="37.35"/>
    <n v="440.9"/>
    <x v="4"/>
    <n v="74.599999999999994"/>
    <n v="-43.65"/>
    <n v="22.94"/>
    <n v="251480"/>
    <n v="425300"/>
    <n v="372692"/>
    <s v="UP"/>
    <s v="Short Buildup"/>
    <n v="30966.15"/>
  </r>
  <r>
    <x v="13"/>
    <s v="Long Buildup"/>
    <s v="UP"/>
    <n v="48095"/>
    <n v="55900"/>
    <n v="27700"/>
    <n v="21.85"/>
    <n v="28.25"/>
    <n v="360.7"/>
    <x v="5"/>
    <n v="99.85"/>
    <n v="-52.35"/>
    <n v="22.57"/>
    <n v="304060"/>
    <n v="476540"/>
    <n v="442093"/>
    <s v="UP"/>
    <s v="Short Buildup"/>
    <n v="30966.15"/>
  </r>
  <r>
    <x v="13"/>
    <s v="Long Buildup"/>
    <s v="UP"/>
    <n v="155542"/>
    <n v="208200"/>
    <n v="65580"/>
    <n v="21.82"/>
    <n v="18.649999999999999"/>
    <n v="292.3"/>
    <x v="6"/>
    <n v="131.80000000000001"/>
    <n v="-59.35"/>
    <n v="22.28"/>
    <n v="316700"/>
    <n v="574340"/>
    <n v="453928"/>
    <s v="UP"/>
    <s v="Short Buildup"/>
    <n v="30966.15"/>
  </r>
  <r>
    <x v="13"/>
    <s v="Long Buildup"/>
    <s v="UP"/>
    <n v="277020"/>
    <n v="393380"/>
    <n v="173180"/>
    <n v="21.48"/>
    <n v="12.15"/>
    <n v="233"/>
    <x v="7"/>
    <n v="171.2"/>
    <n v="-65.3"/>
    <n v="22.03"/>
    <n v="313760"/>
    <n v="522480"/>
    <n v="387005"/>
    <s v="UP"/>
    <s v="Short Buildup"/>
    <n v="30966.15"/>
  </r>
  <r>
    <x v="13"/>
    <s v="Long Buildup"/>
    <s v="UP"/>
    <n v="614557"/>
    <n v="1075040"/>
    <n v="296780"/>
    <n v="21.62"/>
    <n v="5.4"/>
    <n v="183.2"/>
    <x v="8"/>
    <n v="218.2"/>
    <n v="-73.75"/>
    <n v="21.96"/>
    <n v="331920"/>
    <n v="783140"/>
    <n v="380615"/>
    <s v="UP"/>
    <s v="Short Buildup"/>
    <n v="30966.15"/>
  </r>
  <r>
    <x v="13"/>
    <s v="Short Buildup"/>
    <s v="UP"/>
    <n v="381974"/>
    <n v="504360"/>
    <n v="134440"/>
    <n v="21.63"/>
    <n v="-0.3"/>
    <n v="139.94999999999999"/>
    <x v="9"/>
    <n v="275.75"/>
    <n v="-77.7"/>
    <n v="22.1"/>
    <n v="50900"/>
    <n v="155160"/>
    <n v="86630"/>
    <s v="UP"/>
    <s v="Short Buildup"/>
    <n v="30966.15"/>
  </r>
  <r>
    <x v="13"/>
    <s v="Short Buildup"/>
    <s v="UP"/>
    <n v="583803"/>
    <n v="712080"/>
    <n v="152680"/>
    <n v="21.75"/>
    <n v="-4.0999999999999996"/>
    <n v="106.75"/>
    <x v="10"/>
    <n v="342.25"/>
    <n v="-83"/>
    <n v="22.2"/>
    <n v="15420"/>
    <n v="120520"/>
    <n v="49269"/>
    <s v="UP"/>
    <s v="Short Buildup"/>
    <n v="30966.15"/>
  </r>
  <r>
    <x v="13"/>
    <s v="Short Buildup"/>
    <s v="UP"/>
    <n v="414330"/>
    <n v="633900"/>
    <n v="186220"/>
    <n v="21.86"/>
    <n v="-6.8"/>
    <n v="78.75"/>
    <x v="11"/>
    <n v="414.3"/>
    <n v="-94.4"/>
    <n v="21.78"/>
    <n v="-5440"/>
    <n v="97740"/>
    <n v="13108"/>
    <s v="DOWN"/>
    <s v="Long Liquidation"/>
    <n v="30966.15"/>
  </r>
  <r>
    <x v="13"/>
    <s v="Short Buildup"/>
    <s v="UP"/>
    <n v="366184"/>
    <n v="540720"/>
    <n v="147560"/>
    <n v="21.98"/>
    <n v="-9.6999999999999993"/>
    <n v="56.15"/>
    <x v="12"/>
    <n v="494.6"/>
    <n v="-87.35"/>
    <n v="21.85"/>
    <n v="4260"/>
    <n v="54740"/>
    <n v="4243"/>
    <s v="UP"/>
    <s v="Short Buildup"/>
    <n v="30966.15"/>
  </r>
  <r>
    <x v="13"/>
    <s v="Short Buildup"/>
    <s v="UP"/>
    <n v="540537"/>
    <n v="1441560"/>
    <n v="247200"/>
    <n v="22.3"/>
    <n v="-8.9499999999999993"/>
    <n v="41"/>
    <x v="13"/>
    <n v="580"/>
    <n v="-87.3"/>
    <n v="22.39"/>
    <n v="3560"/>
    <n v="471660"/>
    <n v="6865"/>
    <s v="UP"/>
    <s v="Short Buildup"/>
    <n v="30966.15"/>
  </r>
  <r>
    <x v="13"/>
    <s v="Short Buildup"/>
    <s v="UP"/>
    <n v="213786"/>
    <n v="359540"/>
    <n v="75320"/>
    <n v="22.39"/>
    <n v="-9.15"/>
    <n v="28.6"/>
    <x v="14"/>
    <n v="665"/>
    <n v="-95.85"/>
    <n v="24.54"/>
    <s v="-"/>
    <n v="17660"/>
    <n v="304"/>
    <s v="UP"/>
    <s v="Short Buildup"/>
    <n v="30966.15"/>
  </r>
  <r>
    <x v="13"/>
    <s v="Short Buildup"/>
    <s v="UP"/>
    <n v="141155"/>
    <n v="384840"/>
    <n v="26880"/>
    <n v="22.67"/>
    <n v="-8.15"/>
    <n v="20"/>
    <x v="15"/>
    <n v="748.05"/>
    <n v="-95.65"/>
    <n v="26.79"/>
    <n v="-1240"/>
    <n v="10100"/>
    <n v="319"/>
    <s v="DOWN"/>
    <s v="Long Liquidation"/>
    <n v="30966.15"/>
  </r>
  <r>
    <x v="13"/>
    <n v="0.83480357360634672"/>
    <m/>
    <m/>
    <n v="6395780"/>
    <m/>
    <m/>
    <m/>
    <m/>
    <x v="16"/>
    <m/>
    <m/>
    <m/>
    <m/>
    <n v="5339220"/>
    <m/>
    <m/>
    <m/>
    <m/>
  </r>
  <r>
    <x v="13"/>
    <s v="n"/>
    <s v="UP"/>
    <n v="168"/>
    <n v="1440"/>
    <n v="1020"/>
    <n v="27.63"/>
    <n v="100.2"/>
    <n v="821.15"/>
    <x v="0"/>
    <n v="20.7"/>
    <n v="-19.45"/>
    <n v="24.46"/>
    <n v="27900"/>
    <n v="241960"/>
    <n v="158498"/>
    <s v="UP"/>
    <s v="Short Buildup"/>
    <n v="30966.15"/>
  </r>
  <r>
    <x v="13"/>
    <s v="Long Buildup"/>
    <s v="UP"/>
    <n v="599"/>
    <n v="4860"/>
    <n v="2700"/>
    <n v="21.31"/>
    <n v="59.25"/>
    <n v="688.9"/>
    <x v="1"/>
    <n v="29.1"/>
    <n v="-23.55"/>
    <n v="24.06"/>
    <n v="86100"/>
    <n v="232400"/>
    <n v="202706"/>
    <s v="UP"/>
    <s v="Short Buildup"/>
    <n v="30966.15"/>
  </r>
  <r>
    <x v="13"/>
    <s v="Long Buildup"/>
    <s v="UP"/>
    <n v="907"/>
    <n v="2280"/>
    <n v="880"/>
    <n v="24.88"/>
    <n v="60.65"/>
    <n v="614"/>
    <x v="2"/>
    <n v="40.15"/>
    <n v="-29.6"/>
    <n v="23.57"/>
    <n v="154760"/>
    <n v="286080"/>
    <n v="299789"/>
    <s v="UP"/>
    <s v="Short Buildup"/>
    <n v="30966.15"/>
  </r>
  <r>
    <x v="13"/>
    <s v="Long Buildup"/>
    <s v="UP"/>
    <n v="13343"/>
    <n v="57600"/>
    <n v="9580"/>
    <n v="22.2"/>
    <n v="43.55"/>
    <n v="517.1"/>
    <x v="3"/>
    <n v="54.95"/>
    <n v="-37.299999999999997"/>
    <n v="23.26"/>
    <n v="331060"/>
    <n v="869400"/>
    <n v="648532"/>
    <s v="UP"/>
    <s v="Short Buildup"/>
    <n v="30966.15"/>
  </r>
  <r>
    <x v="13"/>
    <s v="Long Buildup"/>
    <s v="UP"/>
    <n v="10755"/>
    <n v="20080"/>
    <n v="3700"/>
    <n v="22.95"/>
    <n v="37.35"/>
    <n v="440.9"/>
    <x v="4"/>
    <n v="74.599999999999994"/>
    <n v="-43.65"/>
    <n v="22.94"/>
    <n v="251480"/>
    <n v="425300"/>
    <n v="372692"/>
    <s v="UP"/>
    <s v="Short Buildup"/>
    <n v="30966.15"/>
  </r>
  <r>
    <x v="13"/>
    <s v="Long Buildup"/>
    <s v="UP"/>
    <n v="48095"/>
    <n v="55900"/>
    <n v="27700"/>
    <n v="21.85"/>
    <n v="28.25"/>
    <n v="360.7"/>
    <x v="5"/>
    <n v="99.85"/>
    <n v="-52.35"/>
    <n v="22.57"/>
    <n v="304060"/>
    <n v="476540"/>
    <n v="442093"/>
    <s v="UP"/>
    <s v="Short Buildup"/>
    <n v="30966.15"/>
  </r>
  <r>
    <x v="13"/>
    <s v="Long Buildup"/>
    <s v="UP"/>
    <n v="155542"/>
    <n v="208200"/>
    <n v="65580"/>
    <n v="21.82"/>
    <n v="18.649999999999999"/>
    <n v="292.3"/>
    <x v="6"/>
    <n v="131.80000000000001"/>
    <n v="-59.35"/>
    <n v="22.28"/>
    <n v="316700"/>
    <n v="574340"/>
    <n v="453928"/>
    <s v="UP"/>
    <s v="Short Buildup"/>
    <n v="30966.15"/>
  </r>
  <r>
    <x v="13"/>
    <s v="Long Buildup"/>
    <s v="UP"/>
    <n v="277020"/>
    <n v="393380"/>
    <n v="173180"/>
    <n v="21.48"/>
    <n v="12.15"/>
    <n v="233"/>
    <x v="7"/>
    <n v="171.2"/>
    <n v="-65.3"/>
    <n v="22.03"/>
    <n v="313760"/>
    <n v="522480"/>
    <n v="387005"/>
    <s v="UP"/>
    <s v="Short Buildup"/>
    <n v="30966.15"/>
  </r>
  <r>
    <x v="13"/>
    <s v="Long Buildup"/>
    <s v="UP"/>
    <n v="614557"/>
    <n v="1075040"/>
    <n v="296780"/>
    <n v="21.62"/>
    <n v="5.4"/>
    <n v="183.2"/>
    <x v="8"/>
    <n v="218.2"/>
    <n v="-73.75"/>
    <n v="21.96"/>
    <n v="331920"/>
    <n v="783140"/>
    <n v="380615"/>
    <s v="UP"/>
    <s v="Short Buildup"/>
    <n v="30966.15"/>
  </r>
  <r>
    <x v="13"/>
    <s v="Short Buildup"/>
    <s v="UP"/>
    <n v="381974"/>
    <n v="504360"/>
    <n v="134440"/>
    <n v="21.63"/>
    <n v="-0.3"/>
    <n v="139.94999999999999"/>
    <x v="9"/>
    <n v="275.75"/>
    <n v="-77.7"/>
    <n v="22.1"/>
    <n v="50900"/>
    <n v="155160"/>
    <n v="86630"/>
    <s v="UP"/>
    <s v="Short Buildup"/>
    <n v="30966.15"/>
  </r>
  <r>
    <x v="13"/>
    <s v="Short Buildup"/>
    <s v="UP"/>
    <n v="583803"/>
    <n v="712080"/>
    <n v="152680"/>
    <n v="21.75"/>
    <n v="-4.0999999999999996"/>
    <n v="106.75"/>
    <x v="10"/>
    <n v="342.25"/>
    <n v="-83"/>
    <n v="22.2"/>
    <n v="15420"/>
    <n v="120520"/>
    <n v="49269"/>
    <s v="UP"/>
    <s v="Short Buildup"/>
    <n v="30966.15"/>
  </r>
  <r>
    <x v="13"/>
    <s v="Short Buildup"/>
    <s v="UP"/>
    <n v="414330"/>
    <n v="633900"/>
    <n v="186220"/>
    <n v="21.86"/>
    <n v="-6.8"/>
    <n v="78.75"/>
    <x v="11"/>
    <n v="414.3"/>
    <n v="-94.4"/>
    <n v="21.78"/>
    <n v="-5440"/>
    <n v="97740"/>
    <n v="13108"/>
    <s v="DOWN"/>
    <s v="Long Liquidation"/>
    <n v="30966.15"/>
  </r>
  <r>
    <x v="13"/>
    <s v="Short Buildup"/>
    <s v="UP"/>
    <n v="366184"/>
    <n v="540720"/>
    <n v="147560"/>
    <n v="21.98"/>
    <n v="-9.6999999999999993"/>
    <n v="56.15"/>
    <x v="12"/>
    <n v="494.6"/>
    <n v="-87.35"/>
    <n v="21.85"/>
    <n v="4260"/>
    <n v="54740"/>
    <n v="4243"/>
    <s v="UP"/>
    <s v="Short Buildup"/>
    <n v="30966.15"/>
  </r>
  <r>
    <x v="13"/>
    <s v="Short Buildup"/>
    <s v="UP"/>
    <n v="540537"/>
    <n v="1441560"/>
    <n v="247200"/>
    <n v="22.3"/>
    <n v="-8.9499999999999993"/>
    <n v="41"/>
    <x v="13"/>
    <n v="580"/>
    <n v="-87.3"/>
    <n v="22.39"/>
    <n v="3560"/>
    <n v="471660"/>
    <n v="6865"/>
    <s v="UP"/>
    <s v="Short Buildup"/>
    <n v="30966.15"/>
  </r>
  <r>
    <x v="13"/>
    <s v="Short Buildup"/>
    <s v="UP"/>
    <n v="213786"/>
    <n v="359540"/>
    <n v="75320"/>
    <n v="22.39"/>
    <n v="-9.15"/>
    <n v="28.6"/>
    <x v="14"/>
    <n v="665"/>
    <n v="-95.85"/>
    <n v="24.54"/>
    <s v="-"/>
    <n v="17660"/>
    <n v="304"/>
    <s v="UP"/>
    <s v="Short Buildup"/>
    <n v="30966.15"/>
  </r>
  <r>
    <x v="13"/>
    <s v="Short Buildup"/>
    <s v="UP"/>
    <n v="141155"/>
    <n v="384840"/>
    <n v="26880"/>
    <n v="22.67"/>
    <n v="-8.15"/>
    <n v="20"/>
    <x v="15"/>
    <n v="748.05"/>
    <n v="-95.65"/>
    <n v="26.79"/>
    <n v="-1240"/>
    <n v="10100"/>
    <n v="319"/>
    <s v="DOWN"/>
    <s v="Long Liquidation"/>
    <n v="30966.15"/>
  </r>
  <r>
    <x v="13"/>
    <n v="0.83480357360634672"/>
    <m/>
    <m/>
    <n v="6395780"/>
    <m/>
    <m/>
    <m/>
    <m/>
    <x v="16"/>
    <m/>
    <m/>
    <m/>
    <m/>
    <n v="5339220"/>
    <m/>
    <m/>
    <m/>
    <m/>
  </r>
  <r>
    <x v="13"/>
    <s v="n"/>
    <s v="UP"/>
    <n v="168"/>
    <n v="1440"/>
    <n v="1020"/>
    <n v="27.63"/>
    <n v="100.2"/>
    <n v="821.15"/>
    <x v="0"/>
    <n v="20.7"/>
    <n v="-19.45"/>
    <n v="24.46"/>
    <n v="27900"/>
    <n v="241960"/>
    <n v="158498"/>
    <s v="UP"/>
    <s v="Short Buildup"/>
    <n v="30966.15"/>
  </r>
  <r>
    <x v="13"/>
    <s v="Long Buildup"/>
    <s v="UP"/>
    <n v="599"/>
    <n v="4860"/>
    <n v="2700"/>
    <n v="21.31"/>
    <n v="59.25"/>
    <n v="688.9"/>
    <x v="1"/>
    <n v="29.1"/>
    <n v="-23.55"/>
    <n v="24.06"/>
    <n v="86100"/>
    <n v="232400"/>
    <n v="202706"/>
    <s v="UP"/>
    <s v="Short Buildup"/>
    <n v="30966.15"/>
  </r>
  <r>
    <x v="13"/>
    <s v="Long Buildup"/>
    <s v="UP"/>
    <n v="907"/>
    <n v="2280"/>
    <n v="880"/>
    <n v="24.88"/>
    <n v="60.65"/>
    <n v="614"/>
    <x v="2"/>
    <n v="40.15"/>
    <n v="-29.6"/>
    <n v="23.57"/>
    <n v="154760"/>
    <n v="286080"/>
    <n v="299789"/>
    <s v="UP"/>
    <s v="Short Buildup"/>
    <n v="30966.15"/>
  </r>
  <r>
    <x v="13"/>
    <s v="Long Buildup"/>
    <s v="UP"/>
    <n v="13343"/>
    <n v="57600"/>
    <n v="9580"/>
    <n v="22.2"/>
    <n v="43.55"/>
    <n v="517.1"/>
    <x v="3"/>
    <n v="54.95"/>
    <n v="-37.299999999999997"/>
    <n v="23.26"/>
    <n v="331060"/>
    <n v="869400"/>
    <n v="648532"/>
    <s v="UP"/>
    <s v="Short Buildup"/>
    <n v="30966.15"/>
  </r>
  <r>
    <x v="13"/>
    <s v="Long Buildup"/>
    <s v="UP"/>
    <n v="10755"/>
    <n v="20080"/>
    <n v="3700"/>
    <n v="22.95"/>
    <n v="37.35"/>
    <n v="440.9"/>
    <x v="4"/>
    <n v="74.599999999999994"/>
    <n v="-43.65"/>
    <n v="22.94"/>
    <n v="251480"/>
    <n v="425300"/>
    <n v="372692"/>
    <s v="UP"/>
    <s v="Short Buildup"/>
    <n v="30966.15"/>
  </r>
  <r>
    <x v="13"/>
    <s v="Long Buildup"/>
    <s v="UP"/>
    <n v="48095"/>
    <n v="55900"/>
    <n v="27700"/>
    <n v="21.85"/>
    <n v="28.25"/>
    <n v="360.7"/>
    <x v="5"/>
    <n v="99.85"/>
    <n v="-52.35"/>
    <n v="22.57"/>
    <n v="304060"/>
    <n v="476540"/>
    <n v="442093"/>
    <s v="UP"/>
    <s v="Short Buildup"/>
    <n v="30966.15"/>
  </r>
  <r>
    <x v="13"/>
    <s v="Long Buildup"/>
    <s v="UP"/>
    <n v="155542"/>
    <n v="208200"/>
    <n v="65580"/>
    <n v="21.82"/>
    <n v="18.649999999999999"/>
    <n v="292.3"/>
    <x v="6"/>
    <n v="131.80000000000001"/>
    <n v="-59.35"/>
    <n v="22.28"/>
    <n v="316700"/>
    <n v="574340"/>
    <n v="453928"/>
    <s v="UP"/>
    <s v="Short Buildup"/>
    <n v="30966.15"/>
  </r>
  <r>
    <x v="13"/>
    <s v="Long Buildup"/>
    <s v="UP"/>
    <n v="277020"/>
    <n v="393380"/>
    <n v="173180"/>
    <n v="21.48"/>
    <n v="12.15"/>
    <n v="233"/>
    <x v="7"/>
    <n v="171.2"/>
    <n v="-65.3"/>
    <n v="22.03"/>
    <n v="313760"/>
    <n v="522480"/>
    <n v="387005"/>
    <s v="UP"/>
    <s v="Short Buildup"/>
    <n v="30966.15"/>
  </r>
  <r>
    <x v="13"/>
    <s v="Long Buildup"/>
    <s v="UP"/>
    <n v="614557"/>
    <n v="1075040"/>
    <n v="296780"/>
    <n v="21.62"/>
    <n v="5.4"/>
    <n v="183.2"/>
    <x v="8"/>
    <n v="218.2"/>
    <n v="-73.75"/>
    <n v="21.96"/>
    <n v="331920"/>
    <n v="783140"/>
    <n v="380615"/>
    <s v="UP"/>
    <s v="Short Buildup"/>
    <n v="30966.15"/>
  </r>
  <r>
    <x v="13"/>
    <s v="Short Buildup"/>
    <s v="UP"/>
    <n v="381974"/>
    <n v="504360"/>
    <n v="134440"/>
    <n v="21.63"/>
    <n v="-0.3"/>
    <n v="139.94999999999999"/>
    <x v="9"/>
    <n v="275.75"/>
    <n v="-77.7"/>
    <n v="22.1"/>
    <n v="50900"/>
    <n v="155160"/>
    <n v="86630"/>
    <s v="UP"/>
    <s v="Short Buildup"/>
    <n v="30966.15"/>
  </r>
  <r>
    <x v="13"/>
    <s v="Short Buildup"/>
    <s v="UP"/>
    <n v="583803"/>
    <n v="712080"/>
    <n v="152680"/>
    <n v="21.75"/>
    <n v="-4.0999999999999996"/>
    <n v="106.75"/>
    <x v="10"/>
    <n v="342.25"/>
    <n v="-83"/>
    <n v="22.2"/>
    <n v="15420"/>
    <n v="120520"/>
    <n v="49269"/>
    <s v="UP"/>
    <s v="Short Buildup"/>
    <n v="30966.15"/>
  </r>
  <r>
    <x v="13"/>
    <s v="Short Buildup"/>
    <s v="UP"/>
    <n v="414330"/>
    <n v="633900"/>
    <n v="186220"/>
    <n v="21.86"/>
    <n v="-6.8"/>
    <n v="78.75"/>
    <x v="11"/>
    <n v="414.3"/>
    <n v="-94.4"/>
    <n v="21.78"/>
    <n v="-5440"/>
    <n v="97740"/>
    <n v="13108"/>
    <s v="DOWN"/>
    <s v="Long Liquidation"/>
    <n v="30966.15"/>
  </r>
  <r>
    <x v="13"/>
    <s v="Short Buildup"/>
    <s v="UP"/>
    <n v="366184"/>
    <n v="540720"/>
    <n v="147560"/>
    <n v="21.98"/>
    <n v="-9.6999999999999993"/>
    <n v="56.15"/>
    <x v="12"/>
    <n v="494.6"/>
    <n v="-87.35"/>
    <n v="21.85"/>
    <n v="4260"/>
    <n v="54740"/>
    <n v="4243"/>
    <s v="UP"/>
    <s v="Short Buildup"/>
    <n v="30966.15"/>
  </r>
  <r>
    <x v="13"/>
    <s v="Short Buildup"/>
    <s v="UP"/>
    <n v="540537"/>
    <n v="1441560"/>
    <n v="247200"/>
    <n v="22.3"/>
    <n v="-8.9499999999999993"/>
    <n v="41"/>
    <x v="13"/>
    <n v="580"/>
    <n v="-87.3"/>
    <n v="22.39"/>
    <n v="3560"/>
    <n v="471660"/>
    <n v="6865"/>
    <s v="UP"/>
    <s v="Short Buildup"/>
    <n v="30966.15"/>
  </r>
  <r>
    <x v="13"/>
    <s v="Short Buildup"/>
    <s v="UP"/>
    <n v="213786"/>
    <n v="359540"/>
    <n v="75320"/>
    <n v="22.39"/>
    <n v="-9.15"/>
    <n v="28.6"/>
    <x v="14"/>
    <n v="665"/>
    <n v="-95.85"/>
    <n v="24.54"/>
    <s v="-"/>
    <n v="17660"/>
    <n v="304"/>
    <s v="UP"/>
    <s v="Short Buildup"/>
    <n v="30966.15"/>
  </r>
  <r>
    <x v="13"/>
    <s v="Short Buildup"/>
    <s v="UP"/>
    <n v="141155"/>
    <n v="384840"/>
    <n v="26880"/>
    <n v="22.67"/>
    <n v="-8.15"/>
    <n v="20"/>
    <x v="15"/>
    <n v="748.05"/>
    <n v="-95.65"/>
    <n v="26.79"/>
    <n v="-1240"/>
    <n v="10100"/>
    <n v="319"/>
    <s v="DOWN"/>
    <s v="Long Liquidation"/>
    <n v="30966.15"/>
  </r>
  <r>
    <x v="13"/>
    <n v="0.83480357360634672"/>
    <m/>
    <m/>
    <n v="6395780"/>
    <m/>
    <m/>
    <m/>
    <m/>
    <x v="16"/>
    <m/>
    <m/>
    <m/>
    <m/>
    <n v="5339220"/>
    <m/>
    <m/>
    <m/>
    <m/>
  </r>
  <r>
    <x v="13"/>
    <s v="n"/>
    <s v="UP"/>
    <n v="168"/>
    <n v="1440"/>
    <n v="1020"/>
    <n v="27.63"/>
    <n v="100.2"/>
    <n v="821.15"/>
    <x v="0"/>
    <n v="20.7"/>
    <n v="-19.45"/>
    <n v="24.46"/>
    <n v="27900"/>
    <n v="241960"/>
    <n v="158498"/>
    <s v="UP"/>
    <s v="Short Buildup"/>
    <n v="30966.15"/>
  </r>
  <r>
    <x v="13"/>
    <s v="Long Buildup"/>
    <s v="UP"/>
    <n v="599"/>
    <n v="4860"/>
    <n v="2700"/>
    <n v="21.31"/>
    <n v="59.25"/>
    <n v="688.9"/>
    <x v="1"/>
    <n v="29.1"/>
    <n v="-23.55"/>
    <n v="24.06"/>
    <n v="86100"/>
    <n v="232400"/>
    <n v="202706"/>
    <s v="UP"/>
    <s v="Short Buildup"/>
    <n v="30966.15"/>
  </r>
  <r>
    <x v="13"/>
    <s v="Long Buildup"/>
    <s v="UP"/>
    <n v="907"/>
    <n v="2280"/>
    <n v="880"/>
    <n v="24.88"/>
    <n v="60.65"/>
    <n v="614"/>
    <x v="2"/>
    <n v="40.15"/>
    <n v="-29.6"/>
    <n v="23.57"/>
    <n v="154760"/>
    <n v="286080"/>
    <n v="299789"/>
    <s v="UP"/>
    <s v="Short Buildup"/>
    <n v="30966.15"/>
  </r>
  <r>
    <x v="13"/>
    <s v="Long Buildup"/>
    <s v="UP"/>
    <n v="13343"/>
    <n v="57600"/>
    <n v="9580"/>
    <n v="22.2"/>
    <n v="43.55"/>
    <n v="517.1"/>
    <x v="3"/>
    <n v="54.95"/>
    <n v="-37.299999999999997"/>
    <n v="23.26"/>
    <n v="331060"/>
    <n v="869400"/>
    <n v="648532"/>
    <s v="UP"/>
    <s v="Short Buildup"/>
    <n v="30966.15"/>
  </r>
  <r>
    <x v="13"/>
    <s v="Long Buildup"/>
    <s v="UP"/>
    <n v="10755"/>
    <n v="20080"/>
    <n v="3700"/>
    <n v="22.95"/>
    <n v="37.35"/>
    <n v="440.9"/>
    <x v="4"/>
    <n v="74.599999999999994"/>
    <n v="-43.65"/>
    <n v="22.94"/>
    <n v="251480"/>
    <n v="425300"/>
    <n v="372692"/>
    <s v="UP"/>
    <s v="Short Buildup"/>
    <n v="30966.15"/>
  </r>
  <r>
    <x v="13"/>
    <s v="Long Buildup"/>
    <s v="UP"/>
    <n v="48095"/>
    <n v="55900"/>
    <n v="27700"/>
    <n v="21.85"/>
    <n v="28.25"/>
    <n v="360.7"/>
    <x v="5"/>
    <n v="99.85"/>
    <n v="-52.35"/>
    <n v="22.57"/>
    <n v="304060"/>
    <n v="476540"/>
    <n v="442093"/>
    <s v="UP"/>
    <s v="Short Buildup"/>
    <n v="30966.15"/>
  </r>
  <r>
    <x v="13"/>
    <s v="Long Buildup"/>
    <s v="UP"/>
    <n v="155542"/>
    <n v="208200"/>
    <n v="65580"/>
    <n v="21.82"/>
    <n v="18.649999999999999"/>
    <n v="292.3"/>
    <x v="6"/>
    <n v="131.80000000000001"/>
    <n v="-59.35"/>
    <n v="22.28"/>
    <n v="316700"/>
    <n v="574340"/>
    <n v="453928"/>
    <s v="UP"/>
    <s v="Short Buildup"/>
    <n v="30966.15"/>
  </r>
  <r>
    <x v="13"/>
    <s v="Long Buildup"/>
    <s v="UP"/>
    <n v="277020"/>
    <n v="393380"/>
    <n v="173180"/>
    <n v="21.48"/>
    <n v="12.15"/>
    <n v="233"/>
    <x v="7"/>
    <n v="171.2"/>
    <n v="-65.3"/>
    <n v="22.03"/>
    <n v="313760"/>
    <n v="522480"/>
    <n v="387005"/>
    <s v="UP"/>
    <s v="Short Buildup"/>
    <n v="30966.15"/>
  </r>
  <r>
    <x v="13"/>
    <s v="Long Buildup"/>
    <s v="UP"/>
    <n v="614557"/>
    <n v="1075040"/>
    <n v="296780"/>
    <n v="21.62"/>
    <n v="5.4"/>
    <n v="183.2"/>
    <x v="8"/>
    <n v="218.2"/>
    <n v="-73.75"/>
    <n v="21.96"/>
    <n v="331920"/>
    <n v="783140"/>
    <n v="380615"/>
    <s v="UP"/>
    <s v="Short Buildup"/>
    <n v="30966.15"/>
  </r>
  <r>
    <x v="13"/>
    <s v="Short Buildup"/>
    <s v="UP"/>
    <n v="381974"/>
    <n v="504360"/>
    <n v="134440"/>
    <n v="21.63"/>
    <n v="-0.3"/>
    <n v="139.94999999999999"/>
    <x v="9"/>
    <n v="275.75"/>
    <n v="-77.7"/>
    <n v="22.1"/>
    <n v="50900"/>
    <n v="155160"/>
    <n v="86630"/>
    <s v="UP"/>
    <s v="Short Buildup"/>
    <n v="30966.15"/>
  </r>
  <r>
    <x v="13"/>
    <s v="Short Buildup"/>
    <s v="UP"/>
    <n v="583803"/>
    <n v="712080"/>
    <n v="152680"/>
    <n v="21.75"/>
    <n v="-4.0999999999999996"/>
    <n v="106.75"/>
    <x v="10"/>
    <n v="342.25"/>
    <n v="-83"/>
    <n v="22.2"/>
    <n v="15420"/>
    <n v="120520"/>
    <n v="49269"/>
    <s v="UP"/>
    <s v="Short Buildup"/>
    <n v="30966.15"/>
  </r>
  <r>
    <x v="13"/>
    <s v="Short Buildup"/>
    <s v="UP"/>
    <n v="414330"/>
    <n v="633900"/>
    <n v="186220"/>
    <n v="21.86"/>
    <n v="-6.8"/>
    <n v="78.75"/>
    <x v="11"/>
    <n v="414.3"/>
    <n v="-94.4"/>
    <n v="21.78"/>
    <n v="-5440"/>
    <n v="97740"/>
    <n v="13108"/>
    <s v="DOWN"/>
    <s v="Long Liquidation"/>
    <n v="30966.15"/>
  </r>
  <r>
    <x v="13"/>
    <s v="Short Buildup"/>
    <s v="UP"/>
    <n v="366184"/>
    <n v="540720"/>
    <n v="147560"/>
    <n v="21.98"/>
    <n v="-9.6999999999999993"/>
    <n v="56.15"/>
    <x v="12"/>
    <n v="494.6"/>
    <n v="-87.35"/>
    <n v="21.85"/>
    <n v="4260"/>
    <n v="54740"/>
    <n v="4243"/>
    <s v="UP"/>
    <s v="Short Buildup"/>
    <n v="30966.15"/>
  </r>
  <r>
    <x v="13"/>
    <s v="Short Buildup"/>
    <s v="UP"/>
    <n v="540537"/>
    <n v="1441560"/>
    <n v="247200"/>
    <n v="22.3"/>
    <n v="-8.9499999999999993"/>
    <n v="41"/>
    <x v="13"/>
    <n v="580"/>
    <n v="-87.3"/>
    <n v="22.39"/>
    <n v="3560"/>
    <n v="471660"/>
    <n v="6865"/>
    <s v="UP"/>
    <s v="Short Buildup"/>
    <n v="30966.15"/>
  </r>
  <r>
    <x v="13"/>
    <s v="Short Buildup"/>
    <s v="UP"/>
    <n v="213786"/>
    <n v="359540"/>
    <n v="75320"/>
    <n v="22.39"/>
    <n v="-9.15"/>
    <n v="28.6"/>
    <x v="14"/>
    <n v="665"/>
    <n v="-95.85"/>
    <n v="24.54"/>
    <s v="-"/>
    <n v="17660"/>
    <n v="304"/>
    <s v="UP"/>
    <s v="Short Buildup"/>
    <n v="30966.15"/>
  </r>
  <r>
    <x v="13"/>
    <s v="Short Buildup"/>
    <s v="UP"/>
    <n v="141155"/>
    <n v="384840"/>
    <n v="26880"/>
    <n v="22.67"/>
    <n v="-8.15"/>
    <n v="20"/>
    <x v="15"/>
    <n v="748.05"/>
    <n v="-95.65"/>
    <n v="26.79"/>
    <n v="-1240"/>
    <n v="10100"/>
    <n v="319"/>
    <s v="DOWN"/>
    <s v="Long Liquidation"/>
    <n v="30966.15"/>
  </r>
  <r>
    <x v="13"/>
    <n v="0.83480357360634672"/>
    <m/>
    <m/>
    <n v="6395780"/>
    <m/>
    <m/>
    <m/>
    <m/>
    <x v="16"/>
    <m/>
    <m/>
    <m/>
    <m/>
    <n v="5339220"/>
    <m/>
    <m/>
    <m/>
    <m/>
  </r>
  <r>
    <x v="13"/>
    <s v="n"/>
    <s v="UP"/>
    <n v="168"/>
    <n v="1440"/>
    <n v="1020"/>
    <n v="27.63"/>
    <n v="100.2"/>
    <n v="821.15"/>
    <x v="0"/>
    <n v="20.7"/>
    <n v="-19.45"/>
    <n v="24.46"/>
    <n v="27900"/>
    <n v="241960"/>
    <n v="158498"/>
    <s v="UP"/>
    <s v="Short Buildup"/>
    <n v="30966.15"/>
  </r>
  <r>
    <x v="13"/>
    <s v="Long Buildup"/>
    <s v="UP"/>
    <n v="599"/>
    <n v="4860"/>
    <n v="2700"/>
    <n v="21.31"/>
    <n v="59.25"/>
    <n v="688.9"/>
    <x v="1"/>
    <n v="29.1"/>
    <n v="-23.55"/>
    <n v="24.06"/>
    <n v="86100"/>
    <n v="232400"/>
    <n v="202706"/>
    <s v="UP"/>
    <s v="Short Buildup"/>
    <n v="30966.15"/>
  </r>
  <r>
    <x v="13"/>
    <s v="Long Buildup"/>
    <s v="UP"/>
    <n v="907"/>
    <n v="2280"/>
    <n v="880"/>
    <n v="24.88"/>
    <n v="60.65"/>
    <n v="614"/>
    <x v="2"/>
    <n v="40.15"/>
    <n v="-29.6"/>
    <n v="23.57"/>
    <n v="154760"/>
    <n v="286080"/>
    <n v="299789"/>
    <s v="UP"/>
    <s v="Short Buildup"/>
    <n v="30966.15"/>
  </r>
  <r>
    <x v="13"/>
    <s v="Long Buildup"/>
    <s v="UP"/>
    <n v="13343"/>
    <n v="57600"/>
    <n v="9580"/>
    <n v="22.2"/>
    <n v="43.55"/>
    <n v="517.1"/>
    <x v="3"/>
    <n v="54.95"/>
    <n v="-37.299999999999997"/>
    <n v="23.26"/>
    <n v="331060"/>
    <n v="869400"/>
    <n v="648532"/>
    <s v="UP"/>
    <s v="Short Buildup"/>
    <n v="30966.15"/>
  </r>
  <r>
    <x v="13"/>
    <s v="Long Buildup"/>
    <s v="UP"/>
    <n v="10755"/>
    <n v="20080"/>
    <n v="3700"/>
    <n v="22.95"/>
    <n v="37.35"/>
    <n v="440.9"/>
    <x v="4"/>
    <n v="74.599999999999994"/>
    <n v="-43.65"/>
    <n v="22.94"/>
    <n v="251480"/>
    <n v="425300"/>
    <n v="372692"/>
    <s v="UP"/>
    <s v="Short Buildup"/>
    <n v="30966.15"/>
  </r>
  <r>
    <x v="13"/>
    <s v="Long Buildup"/>
    <s v="UP"/>
    <n v="48095"/>
    <n v="55900"/>
    <n v="27700"/>
    <n v="21.85"/>
    <n v="28.25"/>
    <n v="360.7"/>
    <x v="5"/>
    <n v="99.85"/>
    <n v="-52.35"/>
    <n v="22.57"/>
    <n v="304060"/>
    <n v="476540"/>
    <n v="442093"/>
    <s v="UP"/>
    <s v="Short Buildup"/>
    <n v="30966.15"/>
  </r>
  <r>
    <x v="13"/>
    <s v="Long Buildup"/>
    <s v="UP"/>
    <n v="155542"/>
    <n v="208200"/>
    <n v="65580"/>
    <n v="21.82"/>
    <n v="18.649999999999999"/>
    <n v="292.3"/>
    <x v="6"/>
    <n v="131.80000000000001"/>
    <n v="-59.35"/>
    <n v="22.28"/>
    <n v="316700"/>
    <n v="574340"/>
    <n v="453928"/>
    <s v="UP"/>
    <s v="Short Buildup"/>
    <n v="30966.15"/>
  </r>
  <r>
    <x v="13"/>
    <s v="Long Buildup"/>
    <s v="UP"/>
    <n v="277020"/>
    <n v="393380"/>
    <n v="173180"/>
    <n v="21.48"/>
    <n v="12.15"/>
    <n v="233"/>
    <x v="7"/>
    <n v="171.2"/>
    <n v="-65.3"/>
    <n v="22.03"/>
    <n v="313760"/>
    <n v="522480"/>
    <n v="387005"/>
    <s v="UP"/>
    <s v="Short Buildup"/>
    <n v="30966.15"/>
  </r>
  <r>
    <x v="13"/>
    <s v="Long Buildup"/>
    <s v="UP"/>
    <n v="614557"/>
    <n v="1075040"/>
    <n v="296780"/>
    <n v="21.62"/>
    <n v="5.4"/>
    <n v="183.2"/>
    <x v="8"/>
    <n v="218.2"/>
    <n v="-73.75"/>
    <n v="21.96"/>
    <n v="331920"/>
    <n v="783140"/>
    <n v="380615"/>
    <s v="UP"/>
    <s v="Short Buildup"/>
    <n v="30966.15"/>
  </r>
  <r>
    <x v="13"/>
    <s v="Short Buildup"/>
    <s v="UP"/>
    <n v="381974"/>
    <n v="504360"/>
    <n v="134440"/>
    <n v="21.63"/>
    <n v="-0.3"/>
    <n v="139.94999999999999"/>
    <x v="9"/>
    <n v="275.75"/>
    <n v="-77.7"/>
    <n v="22.1"/>
    <n v="50900"/>
    <n v="155160"/>
    <n v="86630"/>
    <s v="UP"/>
    <s v="Short Buildup"/>
    <n v="30966.15"/>
  </r>
  <r>
    <x v="13"/>
    <s v="Short Buildup"/>
    <s v="UP"/>
    <n v="583803"/>
    <n v="712080"/>
    <n v="152680"/>
    <n v="21.75"/>
    <n v="-4.0999999999999996"/>
    <n v="106.75"/>
    <x v="10"/>
    <n v="342.25"/>
    <n v="-83"/>
    <n v="22.2"/>
    <n v="15420"/>
    <n v="120520"/>
    <n v="49269"/>
    <s v="UP"/>
    <s v="Short Buildup"/>
    <n v="30966.15"/>
  </r>
  <r>
    <x v="13"/>
    <s v="Short Buildup"/>
    <s v="UP"/>
    <n v="414330"/>
    <n v="633900"/>
    <n v="186220"/>
    <n v="21.86"/>
    <n v="-6.8"/>
    <n v="78.75"/>
    <x v="11"/>
    <n v="414.3"/>
    <n v="-94.4"/>
    <n v="21.78"/>
    <n v="-5440"/>
    <n v="97740"/>
    <n v="13108"/>
    <s v="DOWN"/>
    <s v="Long Liquidation"/>
    <n v="30966.15"/>
  </r>
  <r>
    <x v="13"/>
    <s v="Short Buildup"/>
    <s v="UP"/>
    <n v="366184"/>
    <n v="540720"/>
    <n v="147560"/>
    <n v="21.98"/>
    <n v="-9.6999999999999993"/>
    <n v="56.15"/>
    <x v="12"/>
    <n v="494.6"/>
    <n v="-87.35"/>
    <n v="21.85"/>
    <n v="4260"/>
    <n v="54740"/>
    <n v="4243"/>
    <s v="UP"/>
    <s v="Short Buildup"/>
    <n v="30966.15"/>
  </r>
  <r>
    <x v="13"/>
    <s v="Short Buildup"/>
    <s v="UP"/>
    <n v="540537"/>
    <n v="1441560"/>
    <n v="247200"/>
    <n v="22.3"/>
    <n v="-8.9499999999999993"/>
    <n v="41"/>
    <x v="13"/>
    <n v="580"/>
    <n v="-87.3"/>
    <n v="22.39"/>
    <n v="3560"/>
    <n v="471660"/>
    <n v="6865"/>
    <s v="UP"/>
    <s v="Short Buildup"/>
    <n v="30966.15"/>
  </r>
  <r>
    <x v="13"/>
    <s v="Short Buildup"/>
    <s v="UP"/>
    <n v="213786"/>
    <n v="359540"/>
    <n v="75320"/>
    <n v="22.39"/>
    <n v="-9.15"/>
    <n v="28.6"/>
    <x v="14"/>
    <n v="665"/>
    <n v="-95.85"/>
    <n v="24.54"/>
    <s v="-"/>
    <n v="17660"/>
    <n v="304"/>
    <s v="UP"/>
    <s v="Short Buildup"/>
    <n v="30966.15"/>
  </r>
  <r>
    <x v="13"/>
    <s v="Short Buildup"/>
    <s v="UP"/>
    <n v="141155"/>
    <n v="384840"/>
    <n v="26880"/>
    <n v="22.67"/>
    <n v="-8.15"/>
    <n v="20"/>
    <x v="15"/>
    <n v="748.05"/>
    <n v="-95.65"/>
    <n v="26.79"/>
    <n v="-1240"/>
    <n v="10100"/>
    <n v="319"/>
    <s v="DOWN"/>
    <s v="Long Liquidation"/>
    <n v="30966.15"/>
  </r>
  <r>
    <x v="13"/>
    <n v="0.83480357360634672"/>
    <m/>
    <m/>
    <n v="6395780"/>
    <m/>
    <m/>
    <m/>
    <m/>
    <x v="16"/>
    <m/>
    <m/>
    <m/>
    <m/>
    <n v="5339220"/>
    <m/>
    <m/>
    <m/>
    <m/>
  </r>
  <r>
    <x v="13"/>
    <s v="n"/>
    <s v="UP"/>
    <n v="168"/>
    <n v="1440"/>
    <n v="1020"/>
    <n v="27.63"/>
    <n v="100.2"/>
    <n v="821.15"/>
    <x v="0"/>
    <n v="20.7"/>
    <n v="-19.45"/>
    <n v="24.46"/>
    <n v="27900"/>
    <n v="241960"/>
    <n v="158498"/>
    <s v="UP"/>
    <s v="Short Buildup"/>
    <n v="30966.15"/>
  </r>
  <r>
    <x v="13"/>
    <s v="Long Buildup"/>
    <s v="UP"/>
    <n v="599"/>
    <n v="4860"/>
    <n v="2700"/>
    <n v="21.31"/>
    <n v="59.25"/>
    <n v="688.9"/>
    <x v="1"/>
    <n v="29.1"/>
    <n v="-23.55"/>
    <n v="24.06"/>
    <n v="86100"/>
    <n v="232400"/>
    <n v="202706"/>
    <s v="UP"/>
    <s v="Short Buildup"/>
    <n v="30966.15"/>
  </r>
  <r>
    <x v="13"/>
    <s v="Long Buildup"/>
    <s v="UP"/>
    <n v="907"/>
    <n v="2280"/>
    <n v="880"/>
    <n v="24.88"/>
    <n v="60.65"/>
    <n v="614"/>
    <x v="2"/>
    <n v="40.15"/>
    <n v="-29.6"/>
    <n v="23.57"/>
    <n v="154760"/>
    <n v="286080"/>
    <n v="299789"/>
    <s v="UP"/>
    <s v="Short Buildup"/>
    <n v="30966.15"/>
  </r>
  <r>
    <x v="13"/>
    <s v="Long Buildup"/>
    <s v="UP"/>
    <n v="13343"/>
    <n v="57600"/>
    <n v="9580"/>
    <n v="22.2"/>
    <n v="43.55"/>
    <n v="517.1"/>
    <x v="3"/>
    <n v="54.95"/>
    <n v="-37.299999999999997"/>
    <n v="23.26"/>
    <n v="331060"/>
    <n v="869400"/>
    <n v="648532"/>
    <s v="UP"/>
    <s v="Short Buildup"/>
    <n v="30966.15"/>
  </r>
  <r>
    <x v="13"/>
    <s v="Long Buildup"/>
    <s v="UP"/>
    <n v="10755"/>
    <n v="20080"/>
    <n v="3700"/>
    <n v="22.95"/>
    <n v="37.35"/>
    <n v="440.9"/>
    <x v="4"/>
    <n v="74.599999999999994"/>
    <n v="-43.65"/>
    <n v="22.94"/>
    <n v="251480"/>
    <n v="425300"/>
    <n v="372692"/>
    <s v="UP"/>
    <s v="Short Buildup"/>
    <n v="30966.15"/>
  </r>
  <r>
    <x v="13"/>
    <s v="Long Buildup"/>
    <s v="UP"/>
    <n v="48095"/>
    <n v="55900"/>
    <n v="27700"/>
    <n v="21.85"/>
    <n v="28.25"/>
    <n v="360.7"/>
    <x v="5"/>
    <n v="99.85"/>
    <n v="-52.35"/>
    <n v="22.57"/>
    <n v="304060"/>
    <n v="476540"/>
    <n v="442093"/>
    <s v="UP"/>
    <s v="Short Buildup"/>
    <n v="30966.15"/>
  </r>
  <r>
    <x v="13"/>
    <s v="Long Buildup"/>
    <s v="UP"/>
    <n v="155542"/>
    <n v="208200"/>
    <n v="65580"/>
    <n v="21.82"/>
    <n v="18.649999999999999"/>
    <n v="292.3"/>
    <x v="6"/>
    <n v="131.80000000000001"/>
    <n v="-59.35"/>
    <n v="22.28"/>
    <n v="316700"/>
    <n v="574340"/>
    <n v="453928"/>
    <s v="UP"/>
    <s v="Short Buildup"/>
    <n v="30966.15"/>
  </r>
  <r>
    <x v="13"/>
    <s v="Long Buildup"/>
    <s v="UP"/>
    <n v="277020"/>
    <n v="393380"/>
    <n v="173180"/>
    <n v="21.48"/>
    <n v="12.15"/>
    <n v="233"/>
    <x v="7"/>
    <n v="171.2"/>
    <n v="-65.3"/>
    <n v="22.03"/>
    <n v="313760"/>
    <n v="522480"/>
    <n v="387005"/>
    <s v="UP"/>
    <s v="Short Buildup"/>
    <n v="30966.15"/>
  </r>
  <r>
    <x v="13"/>
    <s v="Long Buildup"/>
    <s v="UP"/>
    <n v="614557"/>
    <n v="1075040"/>
    <n v="296780"/>
    <n v="21.62"/>
    <n v="5.4"/>
    <n v="183.2"/>
    <x v="8"/>
    <n v="218.2"/>
    <n v="-73.75"/>
    <n v="21.96"/>
    <n v="331920"/>
    <n v="783140"/>
    <n v="380615"/>
    <s v="UP"/>
    <s v="Short Buildup"/>
    <n v="30966.15"/>
  </r>
  <r>
    <x v="13"/>
    <s v="Short Buildup"/>
    <s v="UP"/>
    <n v="381974"/>
    <n v="504360"/>
    <n v="134440"/>
    <n v="21.63"/>
    <n v="-0.3"/>
    <n v="139.94999999999999"/>
    <x v="9"/>
    <n v="275.75"/>
    <n v="-77.7"/>
    <n v="22.1"/>
    <n v="50900"/>
    <n v="155160"/>
    <n v="86630"/>
    <s v="UP"/>
    <s v="Short Buildup"/>
    <n v="30966.15"/>
  </r>
  <r>
    <x v="13"/>
    <s v="Short Buildup"/>
    <s v="UP"/>
    <n v="583803"/>
    <n v="712080"/>
    <n v="152680"/>
    <n v="21.75"/>
    <n v="-4.0999999999999996"/>
    <n v="106.75"/>
    <x v="10"/>
    <n v="342.25"/>
    <n v="-83"/>
    <n v="22.2"/>
    <n v="15420"/>
    <n v="120520"/>
    <n v="49269"/>
    <s v="UP"/>
    <s v="Short Buildup"/>
    <n v="30966.15"/>
  </r>
  <r>
    <x v="13"/>
    <s v="Short Buildup"/>
    <s v="UP"/>
    <n v="414330"/>
    <n v="633900"/>
    <n v="186220"/>
    <n v="21.86"/>
    <n v="-6.8"/>
    <n v="78.75"/>
    <x v="11"/>
    <n v="414.3"/>
    <n v="-94.4"/>
    <n v="21.78"/>
    <n v="-5440"/>
    <n v="97740"/>
    <n v="13108"/>
    <s v="DOWN"/>
    <s v="Long Liquidation"/>
    <n v="30966.15"/>
  </r>
  <r>
    <x v="13"/>
    <s v="Short Buildup"/>
    <s v="UP"/>
    <n v="366184"/>
    <n v="540720"/>
    <n v="147560"/>
    <n v="21.98"/>
    <n v="-9.6999999999999993"/>
    <n v="56.15"/>
    <x v="12"/>
    <n v="494.6"/>
    <n v="-87.35"/>
    <n v="21.85"/>
    <n v="4260"/>
    <n v="54740"/>
    <n v="4243"/>
    <s v="UP"/>
    <s v="Short Buildup"/>
    <n v="30966.15"/>
  </r>
  <r>
    <x v="13"/>
    <s v="Short Buildup"/>
    <s v="UP"/>
    <n v="540537"/>
    <n v="1441560"/>
    <n v="247200"/>
    <n v="22.3"/>
    <n v="-8.9499999999999993"/>
    <n v="41"/>
    <x v="13"/>
    <n v="580"/>
    <n v="-87.3"/>
    <n v="22.39"/>
    <n v="3560"/>
    <n v="471660"/>
    <n v="6865"/>
    <s v="UP"/>
    <s v="Short Buildup"/>
    <n v="30966.15"/>
  </r>
  <r>
    <x v="13"/>
    <s v="Short Buildup"/>
    <s v="UP"/>
    <n v="213786"/>
    <n v="359540"/>
    <n v="75320"/>
    <n v="22.39"/>
    <n v="-9.15"/>
    <n v="28.6"/>
    <x v="14"/>
    <n v="665"/>
    <n v="-95.85"/>
    <n v="24.54"/>
    <s v="-"/>
    <n v="17660"/>
    <n v="304"/>
    <s v="UP"/>
    <s v="Short Buildup"/>
    <n v="30966.15"/>
  </r>
  <r>
    <x v="13"/>
    <s v="Short Buildup"/>
    <s v="UP"/>
    <n v="141155"/>
    <n v="384840"/>
    <n v="26880"/>
    <n v="22.67"/>
    <n v="-8.15"/>
    <n v="20"/>
    <x v="15"/>
    <n v="748.05"/>
    <n v="-95.65"/>
    <n v="26.79"/>
    <n v="-1240"/>
    <n v="10100"/>
    <n v="319"/>
    <s v="DOWN"/>
    <s v="Long Liquidation"/>
    <n v="30966.15"/>
  </r>
  <r>
    <x v="13"/>
    <n v="0.83480357360634672"/>
    <m/>
    <m/>
    <n v="6395780"/>
    <m/>
    <m/>
    <m/>
    <m/>
    <x v="16"/>
    <m/>
    <m/>
    <m/>
    <m/>
    <n v="5339220"/>
    <m/>
    <m/>
    <m/>
    <m/>
  </r>
  <r>
    <x v="13"/>
    <s v="n"/>
    <s v="UP"/>
    <n v="168"/>
    <n v="1440"/>
    <n v="1020"/>
    <n v="27.63"/>
    <n v="100.2"/>
    <n v="821.15"/>
    <x v="0"/>
    <n v="20.7"/>
    <n v="-19.45"/>
    <n v="24.46"/>
    <n v="27900"/>
    <n v="241960"/>
    <n v="158498"/>
    <s v="UP"/>
    <s v="Short Buildup"/>
    <n v="30966.15"/>
  </r>
  <r>
    <x v="13"/>
    <s v="Long Buildup"/>
    <s v="UP"/>
    <n v="599"/>
    <n v="4860"/>
    <n v="2700"/>
    <n v="21.31"/>
    <n v="59.25"/>
    <n v="688.9"/>
    <x v="1"/>
    <n v="29.1"/>
    <n v="-23.55"/>
    <n v="24.06"/>
    <n v="86100"/>
    <n v="232400"/>
    <n v="202706"/>
    <s v="UP"/>
    <s v="Short Buildup"/>
    <n v="30966.15"/>
  </r>
  <r>
    <x v="13"/>
    <s v="Long Buildup"/>
    <s v="UP"/>
    <n v="907"/>
    <n v="2280"/>
    <n v="880"/>
    <n v="24.88"/>
    <n v="60.65"/>
    <n v="614"/>
    <x v="2"/>
    <n v="40.15"/>
    <n v="-29.6"/>
    <n v="23.57"/>
    <n v="154760"/>
    <n v="286080"/>
    <n v="299789"/>
    <s v="UP"/>
    <s v="Short Buildup"/>
    <n v="30966.15"/>
  </r>
  <r>
    <x v="13"/>
    <s v="Long Buildup"/>
    <s v="UP"/>
    <n v="13343"/>
    <n v="57600"/>
    <n v="9580"/>
    <n v="22.2"/>
    <n v="43.55"/>
    <n v="517.1"/>
    <x v="3"/>
    <n v="54.95"/>
    <n v="-37.299999999999997"/>
    <n v="23.26"/>
    <n v="331060"/>
    <n v="869400"/>
    <n v="648532"/>
    <s v="UP"/>
    <s v="Short Buildup"/>
    <n v="30966.15"/>
  </r>
  <r>
    <x v="13"/>
    <s v="Long Buildup"/>
    <s v="UP"/>
    <n v="10755"/>
    <n v="20080"/>
    <n v="3700"/>
    <n v="22.95"/>
    <n v="37.35"/>
    <n v="440.9"/>
    <x v="4"/>
    <n v="74.599999999999994"/>
    <n v="-43.65"/>
    <n v="22.94"/>
    <n v="251480"/>
    <n v="425300"/>
    <n v="372692"/>
    <s v="UP"/>
    <s v="Short Buildup"/>
    <n v="30966.15"/>
  </r>
  <r>
    <x v="13"/>
    <s v="Long Buildup"/>
    <s v="UP"/>
    <n v="48095"/>
    <n v="55900"/>
    <n v="27700"/>
    <n v="21.85"/>
    <n v="28.25"/>
    <n v="360.7"/>
    <x v="5"/>
    <n v="99.85"/>
    <n v="-52.35"/>
    <n v="22.57"/>
    <n v="304060"/>
    <n v="476540"/>
    <n v="442093"/>
    <s v="UP"/>
    <s v="Short Buildup"/>
    <n v="30966.15"/>
  </r>
  <r>
    <x v="13"/>
    <s v="Long Buildup"/>
    <s v="UP"/>
    <n v="155542"/>
    <n v="208200"/>
    <n v="65580"/>
    <n v="21.82"/>
    <n v="18.649999999999999"/>
    <n v="292.3"/>
    <x v="6"/>
    <n v="131.80000000000001"/>
    <n v="-59.35"/>
    <n v="22.28"/>
    <n v="316700"/>
    <n v="574340"/>
    <n v="453928"/>
    <s v="UP"/>
    <s v="Short Buildup"/>
    <n v="30966.15"/>
  </r>
  <r>
    <x v="13"/>
    <s v="Long Buildup"/>
    <s v="UP"/>
    <n v="277020"/>
    <n v="393380"/>
    <n v="173180"/>
    <n v="21.48"/>
    <n v="12.15"/>
    <n v="233"/>
    <x v="7"/>
    <n v="171.2"/>
    <n v="-65.3"/>
    <n v="22.03"/>
    <n v="313760"/>
    <n v="522480"/>
    <n v="387005"/>
    <s v="UP"/>
    <s v="Short Buildup"/>
    <n v="30966.15"/>
  </r>
  <r>
    <x v="13"/>
    <s v="Long Buildup"/>
    <s v="UP"/>
    <n v="614557"/>
    <n v="1075040"/>
    <n v="296780"/>
    <n v="21.62"/>
    <n v="5.4"/>
    <n v="183.2"/>
    <x v="8"/>
    <n v="218.2"/>
    <n v="-73.75"/>
    <n v="21.96"/>
    <n v="331920"/>
    <n v="783140"/>
    <n v="380615"/>
    <s v="UP"/>
    <s v="Short Buildup"/>
    <n v="30966.15"/>
  </r>
  <r>
    <x v="13"/>
    <s v="Short Buildup"/>
    <s v="UP"/>
    <n v="381974"/>
    <n v="504360"/>
    <n v="134440"/>
    <n v="21.63"/>
    <n v="-0.3"/>
    <n v="139.94999999999999"/>
    <x v="9"/>
    <n v="275.75"/>
    <n v="-77.7"/>
    <n v="22.1"/>
    <n v="50900"/>
    <n v="155160"/>
    <n v="86630"/>
    <s v="UP"/>
    <s v="Short Buildup"/>
    <n v="30966.15"/>
  </r>
  <r>
    <x v="13"/>
    <s v="Short Buildup"/>
    <s v="UP"/>
    <n v="583803"/>
    <n v="712080"/>
    <n v="152680"/>
    <n v="21.75"/>
    <n v="-4.0999999999999996"/>
    <n v="106.75"/>
    <x v="10"/>
    <n v="342.25"/>
    <n v="-83"/>
    <n v="22.2"/>
    <n v="15420"/>
    <n v="120520"/>
    <n v="49269"/>
    <s v="UP"/>
    <s v="Short Buildup"/>
    <n v="30966.15"/>
  </r>
  <r>
    <x v="13"/>
    <s v="Short Buildup"/>
    <s v="UP"/>
    <n v="414330"/>
    <n v="633900"/>
    <n v="186220"/>
    <n v="21.86"/>
    <n v="-6.8"/>
    <n v="78.75"/>
    <x v="11"/>
    <n v="414.3"/>
    <n v="-94.4"/>
    <n v="21.78"/>
    <n v="-5440"/>
    <n v="97740"/>
    <n v="13108"/>
    <s v="DOWN"/>
    <s v="Long Liquidation"/>
    <n v="30966.15"/>
  </r>
  <r>
    <x v="13"/>
    <s v="Short Buildup"/>
    <s v="UP"/>
    <n v="366184"/>
    <n v="540720"/>
    <n v="147560"/>
    <n v="21.98"/>
    <n v="-9.6999999999999993"/>
    <n v="56.15"/>
    <x v="12"/>
    <n v="494.6"/>
    <n v="-87.35"/>
    <n v="21.85"/>
    <n v="4260"/>
    <n v="54740"/>
    <n v="4243"/>
    <s v="UP"/>
    <s v="Short Buildup"/>
    <n v="30966.15"/>
  </r>
  <r>
    <x v="13"/>
    <s v="Short Buildup"/>
    <s v="UP"/>
    <n v="540537"/>
    <n v="1441560"/>
    <n v="247200"/>
    <n v="22.3"/>
    <n v="-8.9499999999999993"/>
    <n v="41"/>
    <x v="13"/>
    <n v="580"/>
    <n v="-87.3"/>
    <n v="22.39"/>
    <n v="3560"/>
    <n v="471660"/>
    <n v="6865"/>
    <s v="UP"/>
    <s v="Short Buildup"/>
    <n v="30966.15"/>
  </r>
  <r>
    <x v="13"/>
    <s v="Short Buildup"/>
    <s v="UP"/>
    <n v="213786"/>
    <n v="359540"/>
    <n v="75320"/>
    <n v="22.39"/>
    <n v="-9.15"/>
    <n v="28.6"/>
    <x v="14"/>
    <n v="665"/>
    <n v="-95.85"/>
    <n v="24.54"/>
    <s v="-"/>
    <n v="17660"/>
    <n v="304"/>
    <s v="UP"/>
    <s v="Short Buildup"/>
    <n v="30966.15"/>
  </r>
  <r>
    <x v="13"/>
    <s v="Short Buildup"/>
    <s v="UP"/>
    <n v="141155"/>
    <n v="384840"/>
    <n v="26880"/>
    <n v="22.67"/>
    <n v="-8.15"/>
    <n v="20"/>
    <x v="15"/>
    <n v="748.05"/>
    <n v="-95.65"/>
    <n v="26.79"/>
    <n v="-1240"/>
    <n v="10100"/>
    <n v="319"/>
    <s v="DOWN"/>
    <s v="Long Liquidation"/>
    <n v="30966.15"/>
  </r>
  <r>
    <x v="13"/>
    <n v="0.83480357360634672"/>
    <m/>
    <m/>
    <n v="6395780"/>
    <m/>
    <m/>
    <m/>
    <m/>
    <x v="16"/>
    <m/>
    <m/>
    <m/>
    <m/>
    <n v="5339220"/>
    <m/>
    <m/>
    <m/>
    <m/>
  </r>
  <r>
    <x v="13"/>
    <s v="n"/>
    <s v="UP"/>
    <n v="168"/>
    <n v="1440"/>
    <n v="1020"/>
    <n v="27.63"/>
    <n v="100.2"/>
    <n v="821.15"/>
    <x v="0"/>
    <n v="20.7"/>
    <n v="-19.45"/>
    <n v="24.46"/>
    <n v="27900"/>
    <n v="241960"/>
    <n v="158498"/>
    <s v="UP"/>
    <s v="Short Buildup"/>
    <n v="30966.15"/>
  </r>
  <r>
    <x v="13"/>
    <s v="Long Buildup"/>
    <s v="UP"/>
    <n v="599"/>
    <n v="4860"/>
    <n v="2700"/>
    <n v="21.31"/>
    <n v="59.25"/>
    <n v="688.9"/>
    <x v="1"/>
    <n v="29.1"/>
    <n v="-23.55"/>
    <n v="24.06"/>
    <n v="86100"/>
    <n v="232400"/>
    <n v="202706"/>
    <s v="UP"/>
    <s v="Short Buildup"/>
    <n v="30966.15"/>
  </r>
  <r>
    <x v="13"/>
    <s v="Long Buildup"/>
    <s v="UP"/>
    <n v="907"/>
    <n v="2280"/>
    <n v="880"/>
    <n v="24.88"/>
    <n v="60.65"/>
    <n v="614"/>
    <x v="2"/>
    <n v="40.15"/>
    <n v="-29.6"/>
    <n v="23.57"/>
    <n v="154760"/>
    <n v="286080"/>
    <n v="299789"/>
    <s v="UP"/>
    <s v="Short Buildup"/>
    <n v="30966.15"/>
  </r>
  <r>
    <x v="13"/>
    <s v="Long Buildup"/>
    <s v="UP"/>
    <n v="13343"/>
    <n v="57600"/>
    <n v="9580"/>
    <n v="22.2"/>
    <n v="43.55"/>
    <n v="517.1"/>
    <x v="3"/>
    <n v="54.95"/>
    <n v="-37.299999999999997"/>
    <n v="23.26"/>
    <n v="331060"/>
    <n v="869400"/>
    <n v="648532"/>
    <s v="UP"/>
    <s v="Short Buildup"/>
    <n v="30966.15"/>
  </r>
  <r>
    <x v="13"/>
    <s v="Long Buildup"/>
    <s v="UP"/>
    <n v="10755"/>
    <n v="20080"/>
    <n v="3700"/>
    <n v="22.95"/>
    <n v="37.35"/>
    <n v="440.9"/>
    <x v="4"/>
    <n v="74.599999999999994"/>
    <n v="-43.65"/>
    <n v="22.94"/>
    <n v="251480"/>
    <n v="425300"/>
    <n v="372692"/>
    <s v="UP"/>
    <s v="Short Buildup"/>
    <n v="30966.15"/>
  </r>
  <r>
    <x v="13"/>
    <s v="Long Buildup"/>
    <s v="UP"/>
    <n v="48095"/>
    <n v="55900"/>
    <n v="27700"/>
    <n v="21.85"/>
    <n v="28.25"/>
    <n v="360.7"/>
    <x v="5"/>
    <n v="99.85"/>
    <n v="-52.35"/>
    <n v="22.57"/>
    <n v="304060"/>
    <n v="476540"/>
    <n v="442093"/>
    <s v="UP"/>
    <s v="Short Buildup"/>
    <n v="30966.15"/>
  </r>
  <r>
    <x v="13"/>
    <s v="Long Buildup"/>
    <s v="UP"/>
    <n v="155542"/>
    <n v="208200"/>
    <n v="65580"/>
    <n v="21.82"/>
    <n v="18.649999999999999"/>
    <n v="292.3"/>
    <x v="6"/>
    <n v="131.80000000000001"/>
    <n v="-59.35"/>
    <n v="22.28"/>
    <n v="316700"/>
    <n v="574340"/>
    <n v="453928"/>
    <s v="UP"/>
    <s v="Short Buildup"/>
    <n v="30966.15"/>
  </r>
  <r>
    <x v="13"/>
    <s v="Long Buildup"/>
    <s v="UP"/>
    <n v="277020"/>
    <n v="393380"/>
    <n v="173180"/>
    <n v="21.48"/>
    <n v="12.15"/>
    <n v="233"/>
    <x v="7"/>
    <n v="171.2"/>
    <n v="-65.3"/>
    <n v="22.03"/>
    <n v="313760"/>
    <n v="522480"/>
    <n v="387005"/>
    <s v="UP"/>
    <s v="Short Buildup"/>
    <n v="30966.15"/>
  </r>
  <r>
    <x v="13"/>
    <s v="Long Buildup"/>
    <s v="UP"/>
    <n v="614557"/>
    <n v="1075040"/>
    <n v="296780"/>
    <n v="21.62"/>
    <n v="5.4"/>
    <n v="183.2"/>
    <x v="8"/>
    <n v="218.2"/>
    <n v="-73.75"/>
    <n v="21.96"/>
    <n v="331920"/>
    <n v="783140"/>
    <n v="380615"/>
    <s v="UP"/>
    <s v="Short Buildup"/>
    <n v="30966.15"/>
  </r>
  <r>
    <x v="13"/>
    <s v="Short Buildup"/>
    <s v="UP"/>
    <n v="381974"/>
    <n v="504360"/>
    <n v="134440"/>
    <n v="21.63"/>
    <n v="-0.3"/>
    <n v="139.94999999999999"/>
    <x v="9"/>
    <n v="275.75"/>
    <n v="-77.7"/>
    <n v="22.1"/>
    <n v="50900"/>
    <n v="155160"/>
    <n v="86630"/>
    <s v="UP"/>
    <s v="Short Buildup"/>
    <n v="30966.15"/>
  </r>
  <r>
    <x v="13"/>
    <s v="Short Buildup"/>
    <s v="UP"/>
    <n v="583803"/>
    <n v="712080"/>
    <n v="152680"/>
    <n v="21.75"/>
    <n v="-4.0999999999999996"/>
    <n v="106.75"/>
    <x v="10"/>
    <n v="342.25"/>
    <n v="-83"/>
    <n v="22.2"/>
    <n v="15420"/>
    <n v="120520"/>
    <n v="49269"/>
    <s v="UP"/>
    <s v="Short Buildup"/>
    <n v="30966.15"/>
  </r>
  <r>
    <x v="13"/>
    <s v="Short Buildup"/>
    <s v="UP"/>
    <n v="414330"/>
    <n v="633900"/>
    <n v="186220"/>
    <n v="21.86"/>
    <n v="-6.8"/>
    <n v="78.75"/>
    <x v="11"/>
    <n v="414.3"/>
    <n v="-94.4"/>
    <n v="21.78"/>
    <n v="-5440"/>
    <n v="97740"/>
    <n v="13108"/>
    <s v="DOWN"/>
    <s v="Long Liquidation"/>
    <n v="30966.15"/>
  </r>
  <r>
    <x v="13"/>
    <s v="Short Buildup"/>
    <s v="UP"/>
    <n v="366184"/>
    <n v="540720"/>
    <n v="147560"/>
    <n v="21.98"/>
    <n v="-9.6999999999999993"/>
    <n v="56.15"/>
    <x v="12"/>
    <n v="494.6"/>
    <n v="-87.35"/>
    <n v="21.85"/>
    <n v="4260"/>
    <n v="54740"/>
    <n v="4243"/>
    <s v="UP"/>
    <s v="Short Buildup"/>
    <n v="30966.15"/>
  </r>
  <r>
    <x v="13"/>
    <s v="Short Buildup"/>
    <s v="UP"/>
    <n v="540537"/>
    <n v="1441560"/>
    <n v="247200"/>
    <n v="22.3"/>
    <n v="-8.9499999999999993"/>
    <n v="41"/>
    <x v="13"/>
    <n v="580"/>
    <n v="-87.3"/>
    <n v="22.39"/>
    <n v="3560"/>
    <n v="471660"/>
    <n v="6865"/>
    <s v="UP"/>
    <s v="Short Buildup"/>
    <n v="30966.15"/>
  </r>
  <r>
    <x v="13"/>
    <s v="Short Buildup"/>
    <s v="UP"/>
    <n v="213786"/>
    <n v="359540"/>
    <n v="75320"/>
    <n v="22.39"/>
    <n v="-9.15"/>
    <n v="28.6"/>
    <x v="14"/>
    <n v="665"/>
    <n v="-95.85"/>
    <n v="24.54"/>
    <s v="-"/>
    <n v="17660"/>
    <n v="304"/>
    <s v="UP"/>
    <s v="Short Buildup"/>
    <n v="30966.15"/>
  </r>
  <r>
    <x v="13"/>
    <s v="Short Buildup"/>
    <s v="UP"/>
    <n v="141155"/>
    <n v="384840"/>
    <n v="26880"/>
    <n v="22.67"/>
    <n v="-8.15"/>
    <n v="20"/>
    <x v="15"/>
    <n v="748.05"/>
    <n v="-95.65"/>
    <n v="26.79"/>
    <n v="-1240"/>
    <n v="10100"/>
    <n v="319"/>
    <s v="DOWN"/>
    <s v="Long Liquidation"/>
    <n v="30966.15"/>
  </r>
  <r>
    <x v="13"/>
    <n v="0.83480357360634672"/>
    <m/>
    <m/>
    <n v="6395780"/>
    <m/>
    <m/>
    <m/>
    <m/>
    <x v="16"/>
    <m/>
    <m/>
    <m/>
    <m/>
    <n v="5339220"/>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r>
    <x v="14"/>
    <m/>
    <m/>
    <m/>
    <m/>
    <m/>
    <m/>
    <m/>
    <m/>
    <x v="17"/>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316" applyNumberFormats="0" applyBorderFormats="0" applyFontFormats="0" applyPatternFormats="0" applyAlignmentFormats="0" applyWidthHeightFormats="1" dataCaption="Values" updatedVersion="5" minRefreshableVersion="3" useAutoFormatting="1" itemPrintTitles="1" createdVersion="5" indent="0" outline="1" outlineData="1" chartFormat="112">
  <location ref="A3:B19" firstHeaderRow="1" firstDataRow="1" firstDataCol="1" rowPageCount="1" colPageCount="1"/>
  <pivotFields count="19">
    <pivotField axis="axisRow" showAll="0" sortType="ascending">
      <items count="17">
        <item m="1" x="15"/>
        <item x="0"/>
        <item x="1"/>
        <item x="2"/>
        <item x="3"/>
        <item x="4"/>
        <item x="5"/>
        <item x="6"/>
        <item x="7"/>
        <item x="8"/>
        <item x="9"/>
        <item x="10"/>
        <item x="11"/>
        <item x="12"/>
        <item x="13"/>
        <item x="14"/>
        <item t="default"/>
      </items>
      <extLst>
        <ext xmlns:x14="http://schemas.microsoft.com/office/spreadsheetml/2009/9/main" uri="{2946ED86-A175-432a-8AC1-64E0C546D7DE}">
          <x14:pivotField fillDownLabels="1"/>
        </ext>
      </extLst>
    </pivotField>
    <pivotField dataField="1" showAll="0"/>
    <pivotField showAll="0" defaultSubtotal="0"/>
    <pivotField showAll="0"/>
    <pivotField showAll="0"/>
    <pivotField showAll="0" countASubtotal="1"/>
    <pivotField showAll="0" defaultSubtotal="0"/>
    <pivotField showAll="0"/>
    <pivotField showAll="0"/>
    <pivotField axis="axisPage" showAll="0">
      <items count="70">
        <item m="1" x="50"/>
        <item m="1" x="57"/>
        <item m="1" x="63"/>
        <item m="1" x="67"/>
        <item m="1" x="22"/>
        <item m="1" x="29"/>
        <item m="1" x="39"/>
        <item m="1" x="48"/>
        <item m="1" x="56"/>
        <item m="1" x="61"/>
        <item m="1" x="66"/>
        <item m="1" x="20"/>
        <item m="1" x="28"/>
        <item m="1" x="37"/>
        <item m="1" x="47"/>
        <item m="1" x="54"/>
        <item m="1" x="60"/>
        <item x="0"/>
        <item x="1"/>
        <item x="2"/>
        <item x="17"/>
        <item m="1" x="68"/>
        <item m="1" x="31"/>
        <item m="1" x="49"/>
        <item m="1" x="62"/>
        <item m="1" x="21"/>
        <item m="1" x="38"/>
        <item m="1" x="55"/>
        <item m="1" x="65"/>
        <item m="1" x="27"/>
        <item m="1" x="46"/>
        <item m="1" x="59"/>
        <item m="1" x="19"/>
        <item m="1" x="36"/>
        <item m="1" x="52"/>
        <item m="1" x="45"/>
        <item m="1" x="53"/>
        <item m="1" x="41"/>
        <item m="1" x="23"/>
        <item m="1" x="32"/>
        <item x="3"/>
        <item x="4"/>
        <item x="5"/>
        <item x="6"/>
        <item x="7"/>
        <item x="8"/>
        <item x="9"/>
        <item x="10"/>
        <item x="11"/>
        <item x="12"/>
        <item x="13"/>
        <item x="14"/>
        <item x="15"/>
        <item m="1" x="26"/>
        <item m="1" x="35"/>
        <item m="1" x="44"/>
        <item m="1" x="51"/>
        <item m="1" x="58"/>
        <item m="1" x="64"/>
        <item m="1" x="18"/>
        <item m="1" x="24"/>
        <item m="1" x="33"/>
        <item m="1" x="42"/>
        <item m="1" x="25"/>
        <item m="1" x="30"/>
        <item m="1" x="34"/>
        <item m="1" x="40"/>
        <item m="1" x="43"/>
        <item x="16"/>
        <item t="default"/>
      </items>
    </pivotField>
    <pivotField showAll="0"/>
    <pivotField showAll="0"/>
    <pivotField showAll="0" defaultSubtotal="0"/>
    <pivotField showAll="0"/>
    <pivotField showAll="0"/>
    <pivotField showAll="0"/>
    <pivotField showAll="0" defaultSubtotal="0"/>
    <pivotField showAll="0"/>
    <pivotField showAll="0"/>
  </pivotFields>
  <rowFields count="1">
    <field x="0"/>
  </rowFields>
  <rowItems count="16">
    <i>
      <x v="1"/>
    </i>
    <i>
      <x v="2"/>
    </i>
    <i>
      <x v="3"/>
    </i>
    <i>
      <x v="4"/>
    </i>
    <i>
      <x v="5"/>
    </i>
    <i>
      <x v="6"/>
    </i>
    <i>
      <x v="7"/>
    </i>
    <i>
      <x v="8"/>
    </i>
    <i>
      <x v="9"/>
    </i>
    <i>
      <x v="10"/>
    </i>
    <i>
      <x v="11"/>
    </i>
    <i>
      <x v="12"/>
    </i>
    <i>
      <x v="13"/>
    </i>
    <i>
      <x v="14"/>
    </i>
    <i>
      <x v="15"/>
    </i>
    <i t="grand">
      <x/>
    </i>
  </rowItems>
  <colItems count="1">
    <i/>
  </colItems>
  <pageFields count="1">
    <pageField fld="9" hier="-1"/>
  </pageFields>
  <dataFields count="1">
    <dataField name="PCR" fld="1" subtotal="average" baseField="0" baseItem="0" numFmtId="2"/>
  </dataFields>
  <chartFormats count="1">
    <chartFormat chart="9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Call" cacheId="316" applyNumberFormats="0" applyBorderFormats="0" applyFontFormats="0" applyPatternFormats="0" applyAlignmentFormats="0" applyWidthHeightFormats="1" dataCaption="Values" updatedVersion="5" minRefreshableVersion="3" useAutoFormatting="1" itemPrintTitles="1" createdVersion="5" indent="0" outline="1" outlineData="1" chartFormat="107">
  <location ref="A3:C19" firstHeaderRow="0" firstDataRow="1" firstDataCol="1" rowPageCount="1" colPageCount="1"/>
  <pivotFields count="19">
    <pivotField axis="axisRow" showAll="0" sortType="ascending">
      <items count="17">
        <item m="1" x="15"/>
        <item x="0"/>
        <item x="1"/>
        <item x="2"/>
        <item x="3"/>
        <item x="4"/>
        <item x="5"/>
        <item x="6"/>
        <item x="7"/>
        <item x="8"/>
        <item x="9"/>
        <item x="10"/>
        <item x="11"/>
        <item x="12"/>
        <item x="13"/>
        <item x="14"/>
        <item t="default"/>
      </items>
    </pivotField>
    <pivotField showAll="0"/>
    <pivotField showAll="0" defaultSubtotal="0"/>
    <pivotField showAll="0"/>
    <pivotField showAll="0"/>
    <pivotField dataField="1" showAll="0" countASubtotal="1"/>
    <pivotField showAll="0" defaultSubtotal="0"/>
    <pivotField showAll="0"/>
    <pivotField dataField="1" showAll="0"/>
    <pivotField axis="axisPage" multipleItemSelectionAllowed="1" showAll="0" defaultSubtotal="0">
      <items count="69">
        <item m="1" x="50"/>
        <item m="1" x="57"/>
        <item m="1" x="63"/>
        <item m="1" x="67"/>
        <item m="1" x="22"/>
        <item m="1" x="29"/>
        <item m="1" x="39"/>
        <item m="1" x="48"/>
        <item m="1" x="56"/>
        <item m="1" x="61"/>
        <item m="1" x="66"/>
        <item m="1" x="20"/>
        <item m="1" x="28"/>
        <item m="1" x="37"/>
        <item m="1" x="47"/>
        <item m="1" x="54"/>
        <item m="1" x="60"/>
        <item x="0"/>
        <item x="1"/>
        <item x="2"/>
        <item x="17"/>
        <item m="1" x="68"/>
        <item m="1" x="31"/>
        <item m="1" x="49"/>
        <item m="1" x="62"/>
        <item m="1" x="21"/>
        <item m="1" x="38"/>
        <item m="1" x="55"/>
        <item m="1" x="65"/>
        <item m="1" x="27"/>
        <item m="1" x="46"/>
        <item m="1" x="59"/>
        <item m="1" x="19"/>
        <item m="1" x="36"/>
        <item m="1" x="52"/>
        <item m="1" x="45"/>
        <item m="1" x="53"/>
        <item m="1" x="41"/>
        <item m="1" x="23"/>
        <item m="1" x="32"/>
        <item x="3"/>
        <item x="4"/>
        <item x="5"/>
        <item x="6"/>
        <item x="7"/>
        <item x="8"/>
        <item x="9"/>
        <item x="10"/>
        <item x="11"/>
        <item x="12"/>
        <item x="13"/>
        <item x="14"/>
        <item x="15"/>
        <item m="1" x="26"/>
        <item m="1" x="35"/>
        <item m="1" x="44"/>
        <item m="1" x="51"/>
        <item m="1" x="58"/>
        <item m="1" x="64"/>
        <item m="1" x="18"/>
        <item m="1" x="24"/>
        <item m="1" x="33"/>
        <item m="1" x="42"/>
        <item m="1" x="25"/>
        <item m="1" x="30"/>
        <item m="1" x="34"/>
        <item m="1" x="40"/>
        <item m="1" x="43"/>
        <item x="16"/>
      </items>
    </pivotField>
    <pivotField showAll="0"/>
    <pivotField showAll="0"/>
    <pivotField showAll="0" defaultSubtotal="0"/>
    <pivotField showAll="0"/>
    <pivotField showAll="0"/>
    <pivotField showAll="0"/>
    <pivotField showAll="0" defaultSubtotal="0"/>
    <pivotField showAll="0"/>
    <pivotField showAll="0"/>
  </pivotFields>
  <rowFields count="1">
    <field x="0"/>
  </rowFields>
  <rowItems count="16">
    <i>
      <x v="1"/>
    </i>
    <i>
      <x v="2"/>
    </i>
    <i>
      <x v="3"/>
    </i>
    <i>
      <x v="4"/>
    </i>
    <i>
      <x v="5"/>
    </i>
    <i>
      <x v="6"/>
    </i>
    <i>
      <x v="7"/>
    </i>
    <i>
      <x v="8"/>
    </i>
    <i>
      <x v="9"/>
    </i>
    <i>
      <x v="10"/>
    </i>
    <i>
      <x v="11"/>
    </i>
    <i>
      <x v="12"/>
    </i>
    <i>
      <x v="13"/>
    </i>
    <i>
      <x v="14"/>
    </i>
    <i>
      <x v="15"/>
    </i>
    <i t="grand">
      <x/>
    </i>
  </rowItems>
  <colFields count="1">
    <field x="-2"/>
  </colFields>
  <colItems count="2">
    <i>
      <x/>
    </i>
    <i i="1">
      <x v="1"/>
    </i>
  </colItems>
  <pageFields count="1">
    <pageField fld="9" hier="-1"/>
  </pageFields>
  <dataFields count="2">
    <dataField name="Call_change in OI" fld="5" subtotal="average" baseField="0" baseItem="5"/>
    <dataField name="Call_LTP" fld="8" subtotal="average" baseField="0" baseItem="5"/>
  </dataFields>
  <chartFormats count="6">
    <chartFormat chart="78" format="246" series="1">
      <pivotArea type="data" outline="0" fieldPosition="0">
        <references count="2">
          <reference field="4294967294" count="1" selected="0">
            <x v="1"/>
          </reference>
          <reference field="9" count="1" selected="0">
            <x v="8"/>
          </reference>
        </references>
      </pivotArea>
    </chartFormat>
    <chartFormat chart="78" format="247" series="1">
      <pivotArea type="data" outline="0" fieldPosition="0">
        <references count="2">
          <reference field="4294967294" count="1" selected="0">
            <x v="0"/>
          </reference>
          <reference field="9" count="1" selected="0">
            <x v="8"/>
          </reference>
        </references>
      </pivotArea>
    </chartFormat>
    <chartFormat chart="78" format="248" series="1">
      <pivotArea type="data" outline="0" fieldPosition="0">
        <references count="2">
          <reference field="4294967294" count="1" selected="0">
            <x v="0"/>
          </reference>
          <reference field="9" count="1" selected="0">
            <x v="39"/>
          </reference>
        </references>
      </pivotArea>
    </chartFormat>
    <chartFormat chart="78" format="249" series="1">
      <pivotArea type="data" outline="0" fieldPosition="0">
        <references count="2">
          <reference field="4294967294" count="1" selected="0">
            <x v="1"/>
          </reference>
          <reference field="9" count="1" selected="0">
            <x v="39"/>
          </reference>
        </references>
      </pivotArea>
    </chartFormat>
    <chartFormat chart="78" format="250" series="1">
      <pivotArea type="data" outline="0" fieldPosition="0">
        <references count="1">
          <reference field="4294967294" count="1" selected="0">
            <x v="0"/>
          </reference>
        </references>
      </pivotArea>
    </chartFormat>
    <chartFormat chart="78" format="25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3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location ref="A3:C19" firstHeaderRow="0" firstDataRow="1" firstDataCol="1" rowPageCount="1" colPageCount="1"/>
  <pivotFields count="19">
    <pivotField axis="axisRow" showAll="0" sortType="ascending">
      <items count="17">
        <item m="1" x="15"/>
        <item x="0"/>
        <item x="1"/>
        <item x="2"/>
        <item x="3"/>
        <item x="4"/>
        <item x="5"/>
        <item x="6"/>
        <item x="7"/>
        <item x="8"/>
        <item x="9"/>
        <item x="10"/>
        <item x="11"/>
        <item x="12"/>
        <item x="13"/>
        <item x="14"/>
        <item t="default"/>
      </items>
    </pivotField>
    <pivotField showAll="0"/>
    <pivotField showAll="0" defaultSubtotal="0"/>
    <pivotField showAll="0"/>
    <pivotField showAll="0"/>
    <pivotField showAll="0"/>
    <pivotField dataField="1" showAll="0" defaultSubtotal="0"/>
    <pivotField showAll="0"/>
    <pivotField showAll="0"/>
    <pivotField axis="axisPage" multipleItemSelectionAllowed="1" showAll="0">
      <items count="70">
        <item m="1" x="50"/>
        <item m="1" x="57"/>
        <item m="1" x="63"/>
        <item m="1" x="67"/>
        <item m="1" x="22"/>
        <item m="1" x="29"/>
        <item m="1" x="39"/>
        <item m="1" x="48"/>
        <item m="1" x="56"/>
        <item m="1" x="61"/>
        <item m="1" x="66"/>
        <item m="1" x="20"/>
        <item m="1" x="28"/>
        <item m="1" x="37"/>
        <item m="1" x="47"/>
        <item m="1" x="54"/>
        <item m="1" x="60"/>
        <item x="0"/>
        <item x="1"/>
        <item x="2"/>
        <item x="17"/>
        <item m="1" x="68"/>
        <item m="1" x="31"/>
        <item m="1" x="49"/>
        <item m="1" x="62"/>
        <item m="1" x="21"/>
        <item m="1" x="38"/>
        <item m="1" x="55"/>
        <item m="1" x="65"/>
        <item m="1" x="27"/>
        <item m="1" x="46"/>
        <item m="1" x="59"/>
        <item m="1" x="19"/>
        <item m="1" x="36"/>
        <item m="1" x="52"/>
        <item m="1" x="45"/>
        <item m="1" x="53"/>
        <item m="1" x="41"/>
        <item m="1" x="23"/>
        <item m="1" x="32"/>
        <item x="3"/>
        <item x="4"/>
        <item x="5"/>
        <item x="6"/>
        <item x="7"/>
        <item x="8"/>
        <item x="9"/>
        <item x="10"/>
        <item x="11"/>
        <item x="12"/>
        <item x="13"/>
        <item x="14"/>
        <item x="15"/>
        <item m="1" x="26"/>
        <item m="1" x="35"/>
        <item m="1" x="44"/>
        <item m="1" x="51"/>
        <item m="1" x="58"/>
        <item m="1" x="64"/>
        <item m="1" x="18"/>
        <item m="1" x="24"/>
        <item m="1" x="33"/>
        <item m="1" x="42"/>
        <item m="1" x="25"/>
        <item m="1" x="30"/>
        <item m="1" x="34"/>
        <item m="1" x="40"/>
        <item m="1" x="43"/>
        <item x="16"/>
        <item t="default"/>
      </items>
    </pivotField>
    <pivotField showAll="0"/>
    <pivotField showAll="0"/>
    <pivotField dataField="1" showAll="0" defaultSubtotal="0"/>
    <pivotField showAll="0"/>
    <pivotField showAll="0"/>
    <pivotField showAll="0"/>
    <pivotField showAll="0" defaultSubtotal="0"/>
    <pivotField showAll="0"/>
    <pivotField showAll="0"/>
  </pivotFields>
  <rowFields count="1">
    <field x="0"/>
  </rowFields>
  <rowItems count="16">
    <i>
      <x v="1"/>
    </i>
    <i>
      <x v="2"/>
    </i>
    <i>
      <x v="3"/>
    </i>
    <i>
      <x v="4"/>
    </i>
    <i>
      <x v="5"/>
    </i>
    <i>
      <x v="6"/>
    </i>
    <i>
      <x v="7"/>
    </i>
    <i>
      <x v="8"/>
    </i>
    <i>
      <x v="9"/>
    </i>
    <i>
      <x v="10"/>
    </i>
    <i>
      <x v="11"/>
    </i>
    <i>
      <x v="12"/>
    </i>
    <i>
      <x v="13"/>
    </i>
    <i>
      <x v="14"/>
    </i>
    <i>
      <x v="15"/>
    </i>
    <i t="grand">
      <x/>
    </i>
  </rowItems>
  <colFields count="1">
    <field x="-2"/>
  </colFields>
  <colItems count="2">
    <i>
      <x/>
    </i>
    <i i="1">
      <x v="1"/>
    </i>
  </colItems>
  <pageFields count="1">
    <pageField fld="9" hier="-1"/>
  </pageFields>
  <dataFields count="2">
    <dataField name="Call_ IV" fld="6" subtotal="average" baseField="0" baseItem="13"/>
    <dataField name="Put_IV" fld="12" subtotal="average" baseField="0" baseItem="13"/>
  </dataFields>
  <chartFormats count="25">
    <chartFormat chart="13" format="228" series="1">
      <pivotArea type="data" outline="0" fieldPosition="0">
        <references count="1">
          <reference field="9" count="1" selected="0">
            <x v="2"/>
          </reference>
        </references>
      </pivotArea>
    </chartFormat>
    <chartFormat chart="13" format="229" series="1">
      <pivotArea type="data" outline="0" fieldPosition="0">
        <references count="1">
          <reference field="9" count="1" selected="0">
            <x v="3"/>
          </reference>
        </references>
      </pivotArea>
    </chartFormat>
    <chartFormat chart="13" format="230" series="1">
      <pivotArea type="data" outline="0" fieldPosition="0">
        <references count="1">
          <reference field="9" count="1" selected="0">
            <x v="4"/>
          </reference>
        </references>
      </pivotArea>
    </chartFormat>
    <chartFormat chart="13" format="231" series="1">
      <pivotArea type="data" outline="0" fieldPosition="0">
        <references count="1">
          <reference field="9" count="1" selected="0">
            <x v="5"/>
          </reference>
        </references>
      </pivotArea>
    </chartFormat>
    <chartFormat chart="13" format="232" series="1">
      <pivotArea type="data" outline="0" fieldPosition="0">
        <references count="1">
          <reference field="9" count="1" selected="0">
            <x v="6"/>
          </reference>
        </references>
      </pivotArea>
    </chartFormat>
    <chartFormat chart="13" format="233" series="1">
      <pivotArea type="data" outline="0" fieldPosition="0">
        <references count="1">
          <reference field="9" count="1" selected="0">
            <x v="7"/>
          </reference>
        </references>
      </pivotArea>
    </chartFormat>
    <chartFormat chart="13" format="234" series="1">
      <pivotArea type="data" outline="0" fieldPosition="0">
        <references count="1">
          <reference field="9" count="1" selected="0">
            <x v="8"/>
          </reference>
        </references>
      </pivotArea>
    </chartFormat>
    <chartFormat chart="13" format="235" series="1">
      <pivotArea type="data" outline="0" fieldPosition="0">
        <references count="1">
          <reference field="9" count="1" selected="0">
            <x v="9"/>
          </reference>
        </references>
      </pivotArea>
    </chartFormat>
    <chartFormat chart="13" format="236" series="1">
      <pivotArea type="data" outline="0" fieldPosition="0">
        <references count="1">
          <reference field="9" count="1" selected="0">
            <x v="10"/>
          </reference>
        </references>
      </pivotArea>
    </chartFormat>
    <chartFormat chart="13" format="237" series="1">
      <pivotArea type="data" outline="0" fieldPosition="0">
        <references count="1">
          <reference field="9" count="1" selected="0">
            <x v="11"/>
          </reference>
        </references>
      </pivotArea>
    </chartFormat>
    <chartFormat chart="13" format="238" series="1">
      <pivotArea type="data" outline="0" fieldPosition="0">
        <references count="1">
          <reference field="9" count="1" selected="0">
            <x v="12"/>
          </reference>
        </references>
      </pivotArea>
    </chartFormat>
    <chartFormat chart="13" format="239" series="1">
      <pivotArea type="data" outline="0" fieldPosition="0">
        <references count="1">
          <reference field="9" count="1" selected="0">
            <x v="13"/>
          </reference>
        </references>
      </pivotArea>
    </chartFormat>
    <chartFormat chart="13" format="240" series="1">
      <pivotArea type="data" outline="0" fieldPosition="0">
        <references count="1">
          <reference field="9" count="1" selected="0">
            <x v="14"/>
          </reference>
        </references>
      </pivotArea>
    </chartFormat>
    <chartFormat chart="13" format="241" series="1">
      <pivotArea type="data" outline="0" fieldPosition="0">
        <references count="1">
          <reference field="9" count="1" selected="0">
            <x v="15"/>
          </reference>
        </references>
      </pivotArea>
    </chartFormat>
    <chartFormat chart="13" format="242" series="1">
      <pivotArea type="data" outline="0" fieldPosition="0">
        <references count="1">
          <reference field="9" count="1" selected="0">
            <x v="16"/>
          </reference>
        </references>
      </pivotArea>
    </chartFormat>
    <chartFormat chart="13" format="243" series="1">
      <pivotArea type="data" outline="0" fieldPosition="0">
        <references count="1">
          <reference field="9" count="1" selected="0">
            <x v="17"/>
          </reference>
        </references>
      </pivotArea>
    </chartFormat>
    <chartFormat chart="13" format="244" series="1">
      <pivotArea type="data" outline="0" fieldPosition="0">
        <references count="1">
          <reference field="9" count="1" selected="0">
            <x v="18"/>
          </reference>
        </references>
      </pivotArea>
    </chartFormat>
    <chartFormat chart="13" format="246" series="1">
      <pivotArea type="data" outline="0" fieldPosition="0">
        <references count="1">
          <reference field="9" count="1" selected="0">
            <x v="20"/>
          </reference>
        </references>
      </pivotArea>
    </chartFormat>
    <chartFormat chart="13" format="247" series="1">
      <pivotArea type="data" outline="0" fieldPosition="0">
        <references count="1">
          <reference field="9" count="1" selected="0">
            <x v="37"/>
          </reference>
        </references>
      </pivotArea>
    </chartFormat>
    <chartFormat chart="13" format="248" series="1">
      <pivotArea type="data" outline="0" fieldPosition="0">
        <references count="1">
          <reference field="9" count="1" selected="0">
            <x v="38"/>
          </reference>
        </references>
      </pivotArea>
    </chartFormat>
    <chartFormat chart="13" format="249" series="1">
      <pivotArea type="data" outline="0" fieldPosition="0">
        <references count="1">
          <reference field="9" count="1" selected="0">
            <x v="39"/>
          </reference>
        </references>
      </pivotArea>
    </chartFormat>
    <chartFormat chart="13" format="250" series="1">
      <pivotArea type="data" outline="0" fieldPosition="0">
        <references count="1">
          <reference field="9" count="1" selected="0">
            <x v="0"/>
          </reference>
        </references>
      </pivotArea>
    </chartFormat>
    <chartFormat chart="13" format="251" series="1">
      <pivotArea type="data" outline="0" fieldPosition="0">
        <references count="1">
          <reference field="9" count="1" selected="0">
            <x v="1"/>
          </reference>
        </references>
      </pivotArea>
    </chartFormat>
    <chartFormat chart="13" format="254" series="1">
      <pivotArea type="data" outline="0" fieldPosition="0">
        <references count="1">
          <reference field="4294967294" count="1" selected="0">
            <x v="0"/>
          </reference>
        </references>
      </pivotArea>
    </chartFormat>
    <chartFormat chart="13" format="25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ut" cacheId="3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5">
  <location ref="A3:C19" firstHeaderRow="0" firstDataRow="1" firstDataCol="1" rowPageCount="1" colPageCount="1"/>
  <pivotFields count="19">
    <pivotField axis="axisRow" showAll="0" sortType="ascending">
      <items count="17">
        <item m="1" x="15"/>
        <item x="0"/>
        <item x="1"/>
        <item x="2"/>
        <item x="3"/>
        <item x="4"/>
        <item x="5"/>
        <item x="6"/>
        <item x="7"/>
        <item x="8"/>
        <item x="9"/>
        <item x="10"/>
        <item x="11"/>
        <item x="12"/>
        <item x="13"/>
        <item x="14"/>
        <item t="default"/>
      </items>
    </pivotField>
    <pivotField showAll="0"/>
    <pivotField showAll="0" defaultSubtotal="0"/>
    <pivotField showAll="0"/>
    <pivotField showAll="0"/>
    <pivotField showAll="0"/>
    <pivotField showAll="0" defaultSubtotal="0"/>
    <pivotField showAll="0"/>
    <pivotField showAll="0"/>
    <pivotField axis="axisPage" multipleItemSelectionAllowed="1" showAll="0">
      <items count="70">
        <item m="1" x="50"/>
        <item m="1" x="57"/>
        <item m="1" x="63"/>
        <item m="1" x="67"/>
        <item m="1" x="22"/>
        <item m="1" x="29"/>
        <item m="1" x="39"/>
        <item m="1" x="48"/>
        <item m="1" x="56"/>
        <item m="1" x="61"/>
        <item m="1" x="66"/>
        <item m="1" x="20"/>
        <item m="1" x="28"/>
        <item m="1" x="37"/>
        <item m="1" x="47"/>
        <item m="1" x="54"/>
        <item m="1" x="60"/>
        <item x="0"/>
        <item x="1"/>
        <item x="2"/>
        <item x="17"/>
        <item m="1" x="68"/>
        <item m="1" x="31"/>
        <item m="1" x="49"/>
        <item m="1" x="62"/>
        <item m="1" x="21"/>
        <item m="1" x="38"/>
        <item m="1" x="55"/>
        <item m="1" x="65"/>
        <item m="1" x="27"/>
        <item m="1" x="46"/>
        <item m="1" x="59"/>
        <item m="1" x="19"/>
        <item m="1" x="36"/>
        <item m="1" x="52"/>
        <item m="1" x="45"/>
        <item m="1" x="53"/>
        <item m="1" x="41"/>
        <item m="1" x="23"/>
        <item m="1" x="32"/>
        <item x="3"/>
        <item x="4"/>
        <item x="5"/>
        <item x="6"/>
        <item x="7"/>
        <item x="8"/>
        <item x="9"/>
        <item x="10"/>
        <item x="11"/>
        <item x="12"/>
        <item x="13"/>
        <item x="14"/>
        <item x="15"/>
        <item m="1" x="26"/>
        <item m="1" x="35"/>
        <item m="1" x="44"/>
        <item m="1" x="51"/>
        <item m="1" x="58"/>
        <item m="1" x="64"/>
        <item m="1" x="18"/>
        <item m="1" x="24"/>
        <item m="1" x="33"/>
        <item m="1" x="42"/>
        <item m="1" x="25"/>
        <item m="1" x="30"/>
        <item m="1" x="34"/>
        <item m="1" x="40"/>
        <item m="1" x="43"/>
        <item x="16"/>
        <item t="default"/>
      </items>
    </pivotField>
    <pivotField dataField="1" showAll="0"/>
    <pivotField showAll="0"/>
    <pivotField showAll="0" defaultSubtotal="0"/>
    <pivotField dataField="1" showAll="0"/>
    <pivotField showAll="0"/>
    <pivotField showAll="0"/>
    <pivotField showAll="0" defaultSubtotal="0"/>
    <pivotField showAll="0"/>
    <pivotField showAll="0"/>
  </pivotFields>
  <rowFields count="1">
    <field x="0"/>
  </rowFields>
  <rowItems count="16">
    <i>
      <x v="1"/>
    </i>
    <i>
      <x v="2"/>
    </i>
    <i>
      <x v="3"/>
    </i>
    <i>
      <x v="4"/>
    </i>
    <i>
      <x v="5"/>
    </i>
    <i>
      <x v="6"/>
    </i>
    <i>
      <x v="7"/>
    </i>
    <i>
      <x v="8"/>
    </i>
    <i>
      <x v="9"/>
    </i>
    <i>
      <x v="10"/>
    </i>
    <i>
      <x v="11"/>
    </i>
    <i>
      <x v="12"/>
    </i>
    <i>
      <x v="13"/>
    </i>
    <i>
      <x v="14"/>
    </i>
    <i>
      <x v="15"/>
    </i>
    <i t="grand">
      <x/>
    </i>
  </rowItems>
  <colFields count="1">
    <field x="-2"/>
  </colFields>
  <colItems count="2">
    <i>
      <x/>
    </i>
    <i i="1">
      <x v="1"/>
    </i>
  </colItems>
  <pageFields count="1">
    <pageField fld="9" hier="-1"/>
  </pageFields>
  <dataFields count="2">
    <dataField name="Put_Change in OI" fld="13" subtotal="average" baseField="0" baseItem="0"/>
    <dataField name="Put_LTP" fld="10" subtotal="average" baseField="0" baseItem="0"/>
  </dataFields>
  <chartFormats count="82">
    <chartFormat chart="7" format="315" series="1">
      <pivotArea type="data" outline="0" fieldPosition="0">
        <references count="2">
          <reference field="4294967294" count="1" selected="0">
            <x v="0"/>
          </reference>
          <reference field="9" count="1" selected="0">
            <x v="3"/>
          </reference>
        </references>
      </pivotArea>
    </chartFormat>
    <chartFormat chart="7" format="317" series="1">
      <pivotArea type="data" outline="0" fieldPosition="0">
        <references count="2">
          <reference field="4294967294" count="1" selected="0">
            <x v="1"/>
          </reference>
          <reference field="9" count="1" selected="0">
            <x v="3"/>
          </reference>
        </references>
      </pivotArea>
    </chartFormat>
    <chartFormat chart="7" format="318" series="1">
      <pivotArea type="data" outline="0" fieldPosition="0">
        <references count="2">
          <reference field="4294967294" count="1" selected="0">
            <x v="0"/>
          </reference>
          <reference field="9" count="1" selected="0">
            <x v="5"/>
          </reference>
        </references>
      </pivotArea>
    </chartFormat>
    <chartFormat chart="7" format="320" series="1">
      <pivotArea type="data" outline="0" fieldPosition="0">
        <references count="2">
          <reference field="4294967294" count="1" selected="0">
            <x v="1"/>
          </reference>
          <reference field="9" count="1" selected="0">
            <x v="5"/>
          </reference>
        </references>
      </pivotArea>
    </chartFormat>
    <chartFormat chart="7" format="321" series="1">
      <pivotArea type="data" outline="0" fieldPosition="0">
        <references count="2">
          <reference field="4294967294" count="1" selected="0">
            <x v="0"/>
          </reference>
          <reference field="9" count="1" selected="0">
            <x v="2"/>
          </reference>
        </references>
      </pivotArea>
    </chartFormat>
    <chartFormat chart="7" format="323" series="1">
      <pivotArea type="data" outline="0" fieldPosition="0">
        <references count="2">
          <reference field="4294967294" count="1" selected="0">
            <x v="1"/>
          </reference>
          <reference field="9" count="1" selected="0">
            <x v="2"/>
          </reference>
        </references>
      </pivotArea>
    </chartFormat>
    <chartFormat chart="7" format="324" series="1">
      <pivotArea type="data" outline="0" fieldPosition="0">
        <references count="2">
          <reference field="4294967294" count="1" selected="0">
            <x v="0"/>
          </reference>
          <reference field="9" count="1" selected="0">
            <x v="0"/>
          </reference>
        </references>
      </pivotArea>
    </chartFormat>
    <chartFormat chart="7" format="326" series="1">
      <pivotArea type="data" outline="0" fieldPosition="0">
        <references count="2">
          <reference field="4294967294" count="1" selected="0">
            <x v="1"/>
          </reference>
          <reference field="9" count="1" selected="0">
            <x v="0"/>
          </reference>
        </references>
      </pivotArea>
    </chartFormat>
    <chartFormat chart="7" format="327" series="1">
      <pivotArea type="data" outline="0" fieldPosition="0">
        <references count="2">
          <reference field="4294967294" count="1" selected="0">
            <x v="0"/>
          </reference>
          <reference field="9" count="1" selected="0">
            <x v="1"/>
          </reference>
        </references>
      </pivotArea>
    </chartFormat>
    <chartFormat chart="7" format="329" series="1">
      <pivotArea type="data" outline="0" fieldPosition="0">
        <references count="2">
          <reference field="4294967294" count="1" selected="0">
            <x v="1"/>
          </reference>
          <reference field="9" count="1" selected="0">
            <x v="1"/>
          </reference>
        </references>
      </pivotArea>
    </chartFormat>
    <chartFormat chart="7" format="330" series="1">
      <pivotArea type="data" outline="0" fieldPosition="0">
        <references count="2">
          <reference field="4294967294" count="1" selected="0">
            <x v="0"/>
          </reference>
          <reference field="9" count="1" selected="0">
            <x v="4"/>
          </reference>
        </references>
      </pivotArea>
    </chartFormat>
    <chartFormat chart="7" format="332" series="1">
      <pivotArea type="data" outline="0" fieldPosition="0">
        <references count="2">
          <reference field="4294967294" count="1" selected="0">
            <x v="1"/>
          </reference>
          <reference field="9" count="1" selected="0">
            <x v="4"/>
          </reference>
        </references>
      </pivotArea>
    </chartFormat>
    <chartFormat chart="7" format="333" series="1">
      <pivotArea type="data" outline="0" fieldPosition="0">
        <references count="2">
          <reference field="4294967294" count="1" selected="0">
            <x v="0"/>
          </reference>
          <reference field="9" count="1" selected="0">
            <x v="6"/>
          </reference>
        </references>
      </pivotArea>
    </chartFormat>
    <chartFormat chart="7" format="335" series="1">
      <pivotArea type="data" outline="0" fieldPosition="0">
        <references count="2">
          <reference field="4294967294" count="1" selected="0">
            <x v="1"/>
          </reference>
          <reference field="9" count="1" selected="0">
            <x v="6"/>
          </reference>
        </references>
      </pivotArea>
    </chartFormat>
    <chartFormat chart="7" format="336" series="1">
      <pivotArea type="data" outline="0" fieldPosition="0">
        <references count="2">
          <reference field="4294967294" count="1" selected="0">
            <x v="0"/>
          </reference>
          <reference field="9" count="1" selected="0">
            <x v="7"/>
          </reference>
        </references>
      </pivotArea>
    </chartFormat>
    <chartFormat chart="7" format="338" series="1">
      <pivotArea type="data" outline="0" fieldPosition="0">
        <references count="2">
          <reference field="4294967294" count="1" selected="0">
            <x v="1"/>
          </reference>
          <reference field="9" count="1" selected="0">
            <x v="7"/>
          </reference>
        </references>
      </pivotArea>
    </chartFormat>
    <chartFormat chart="7" format="339" series="1">
      <pivotArea type="data" outline="0" fieldPosition="0">
        <references count="2">
          <reference field="4294967294" count="1" selected="0">
            <x v="0"/>
          </reference>
          <reference field="9" count="1" selected="0">
            <x v="8"/>
          </reference>
        </references>
      </pivotArea>
    </chartFormat>
    <chartFormat chart="7" format="341" series="1">
      <pivotArea type="data" outline="0" fieldPosition="0">
        <references count="2">
          <reference field="4294967294" count="1" selected="0">
            <x v="1"/>
          </reference>
          <reference field="9" count="1" selected="0">
            <x v="8"/>
          </reference>
        </references>
      </pivotArea>
    </chartFormat>
    <chartFormat chart="7" format="342" series="1">
      <pivotArea type="data" outline="0" fieldPosition="0">
        <references count="2">
          <reference field="4294967294" count="1" selected="0">
            <x v="0"/>
          </reference>
          <reference field="9" count="1" selected="0">
            <x v="9"/>
          </reference>
        </references>
      </pivotArea>
    </chartFormat>
    <chartFormat chart="7" format="344" series="1">
      <pivotArea type="data" outline="0" fieldPosition="0">
        <references count="2">
          <reference field="4294967294" count="1" selected="0">
            <x v="1"/>
          </reference>
          <reference field="9" count="1" selected="0">
            <x v="9"/>
          </reference>
        </references>
      </pivotArea>
    </chartFormat>
    <chartFormat chart="7" format="345" series="1">
      <pivotArea type="data" outline="0" fieldPosition="0">
        <references count="2">
          <reference field="4294967294" count="1" selected="0">
            <x v="0"/>
          </reference>
          <reference field="9" count="1" selected="0">
            <x v="10"/>
          </reference>
        </references>
      </pivotArea>
    </chartFormat>
    <chartFormat chart="7" format="347" series="1">
      <pivotArea type="data" outline="0" fieldPosition="0">
        <references count="2">
          <reference field="4294967294" count="1" selected="0">
            <x v="1"/>
          </reference>
          <reference field="9" count="1" selected="0">
            <x v="10"/>
          </reference>
        </references>
      </pivotArea>
    </chartFormat>
    <chartFormat chart="7" format="348" series="1">
      <pivotArea type="data" outline="0" fieldPosition="0">
        <references count="2">
          <reference field="4294967294" count="1" selected="0">
            <x v="0"/>
          </reference>
          <reference field="9" count="1" selected="0">
            <x v="11"/>
          </reference>
        </references>
      </pivotArea>
    </chartFormat>
    <chartFormat chart="7" format="350" series="1">
      <pivotArea type="data" outline="0" fieldPosition="0">
        <references count="2">
          <reference field="4294967294" count="1" selected="0">
            <x v="1"/>
          </reference>
          <reference field="9" count="1" selected="0">
            <x v="11"/>
          </reference>
        </references>
      </pivotArea>
    </chartFormat>
    <chartFormat chart="7" format="351" series="1">
      <pivotArea type="data" outline="0" fieldPosition="0">
        <references count="2">
          <reference field="4294967294" count="1" selected="0">
            <x v="0"/>
          </reference>
          <reference field="9" count="1" selected="0">
            <x v="12"/>
          </reference>
        </references>
      </pivotArea>
    </chartFormat>
    <chartFormat chart="7" format="353" series="1">
      <pivotArea type="data" outline="0" fieldPosition="0">
        <references count="2">
          <reference field="4294967294" count="1" selected="0">
            <x v="1"/>
          </reference>
          <reference field="9" count="1" selected="0">
            <x v="12"/>
          </reference>
        </references>
      </pivotArea>
    </chartFormat>
    <chartFormat chart="7" format="354" series="1">
      <pivotArea type="data" outline="0" fieldPosition="0">
        <references count="2">
          <reference field="4294967294" count="1" selected="0">
            <x v="0"/>
          </reference>
          <reference field="9" count="1" selected="0">
            <x v="13"/>
          </reference>
        </references>
      </pivotArea>
    </chartFormat>
    <chartFormat chart="7" format="356" series="1">
      <pivotArea type="data" outline="0" fieldPosition="0">
        <references count="2">
          <reference field="4294967294" count="1" selected="0">
            <x v="1"/>
          </reference>
          <reference field="9" count="1" selected="0">
            <x v="13"/>
          </reference>
        </references>
      </pivotArea>
    </chartFormat>
    <chartFormat chart="7" format="357" series="1">
      <pivotArea type="data" outline="0" fieldPosition="0">
        <references count="2">
          <reference field="4294967294" count="1" selected="0">
            <x v="0"/>
          </reference>
          <reference field="9" count="1" selected="0">
            <x v="14"/>
          </reference>
        </references>
      </pivotArea>
    </chartFormat>
    <chartFormat chart="7" format="359" series="1">
      <pivotArea type="data" outline="0" fieldPosition="0">
        <references count="2">
          <reference field="4294967294" count="1" selected="0">
            <x v="1"/>
          </reference>
          <reference field="9" count="1" selected="0">
            <x v="14"/>
          </reference>
        </references>
      </pivotArea>
    </chartFormat>
    <chartFormat chart="7" format="360" series="1">
      <pivotArea type="data" outline="0" fieldPosition="0">
        <references count="2">
          <reference field="4294967294" count="1" selected="0">
            <x v="0"/>
          </reference>
          <reference field="9" count="1" selected="0">
            <x v="15"/>
          </reference>
        </references>
      </pivotArea>
    </chartFormat>
    <chartFormat chart="7" format="362" series="1">
      <pivotArea type="data" outline="0" fieldPosition="0">
        <references count="2">
          <reference field="4294967294" count="1" selected="0">
            <x v="1"/>
          </reference>
          <reference field="9" count="1" selected="0">
            <x v="15"/>
          </reference>
        </references>
      </pivotArea>
    </chartFormat>
    <chartFormat chart="7" format="363" series="1">
      <pivotArea type="data" outline="0" fieldPosition="0">
        <references count="2">
          <reference field="4294967294" count="1" selected="0">
            <x v="0"/>
          </reference>
          <reference field="9" count="1" selected="0">
            <x v="16"/>
          </reference>
        </references>
      </pivotArea>
    </chartFormat>
    <chartFormat chart="7" format="365" series="1">
      <pivotArea type="data" outline="0" fieldPosition="0">
        <references count="2">
          <reference field="4294967294" count="1" selected="0">
            <x v="1"/>
          </reference>
          <reference field="9" count="1" selected="0">
            <x v="16"/>
          </reference>
        </references>
      </pivotArea>
    </chartFormat>
    <chartFormat chart="7" format="366" series="1">
      <pivotArea type="data" outline="0" fieldPosition="0">
        <references count="2">
          <reference field="4294967294" count="1" selected="0">
            <x v="0"/>
          </reference>
          <reference field="9" count="1" selected="0">
            <x v="17"/>
          </reference>
        </references>
      </pivotArea>
    </chartFormat>
    <chartFormat chart="7" format="368" series="1">
      <pivotArea type="data" outline="0" fieldPosition="0">
        <references count="2">
          <reference field="4294967294" count="1" selected="0">
            <x v="1"/>
          </reference>
          <reference field="9" count="1" selected="0">
            <x v="17"/>
          </reference>
        </references>
      </pivotArea>
    </chartFormat>
    <chartFormat chart="7" format="369" series="1">
      <pivotArea type="data" outline="0" fieldPosition="0">
        <references count="2">
          <reference field="4294967294" count="1" selected="0">
            <x v="0"/>
          </reference>
          <reference field="9" count="1" selected="0">
            <x v="18"/>
          </reference>
        </references>
      </pivotArea>
    </chartFormat>
    <chartFormat chart="7" format="371" series="1">
      <pivotArea type="data" outline="0" fieldPosition="0">
        <references count="2">
          <reference field="4294967294" count="1" selected="0">
            <x v="1"/>
          </reference>
          <reference field="9" count="1" selected="0">
            <x v="18"/>
          </reference>
        </references>
      </pivotArea>
    </chartFormat>
    <chartFormat chart="7" format="372" series="1">
      <pivotArea type="data" outline="0" fieldPosition="0">
        <references count="2">
          <reference field="4294967294" count="1" selected="0">
            <x v="0"/>
          </reference>
          <reference field="9" count="1" selected="0">
            <x v="19"/>
          </reference>
        </references>
      </pivotArea>
    </chartFormat>
    <chartFormat chart="7" format="374" series="1">
      <pivotArea type="data" outline="0" fieldPosition="0">
        <references count="2">
          <reference field="4294967294" count="1" selected="0">
            <x v="1"/>
          </reference>
          <reference field="9" count="1" selected="0">
            <x v="19"/>
          </reference>
        </references>
      </pivotArea>
    </chartFormat>
    <chartFormat chart="7" format="378" series="1">
      <pivotArea type="data" outline="0" fieldPosition="0">
        <references count="2">
          <reference field="4294967294" count="1" selected="0">
            <x v="0"/>
          </reference>
          <reference field="9" count="1" selected="0">
            <x v="20"/>
          </reference>
        </references>
      </pivotArea>
    </chartFormat>
    <chartFormat chart="7" format="380" series="1">
      <pivotArea type="data" outline="0" fieldPosition="0">
        <references count="2">
          <reference field="4294967294" count="1" selected="0">
            <x v="1"/>
          </reference>
          <reference field="9" count="1" selected="0">
            <x v="20"/>
          </reference>
        </references>
      </pivotArea>
    </chartFormat>
    <chartFormat chart="7" format="381" series="1">
      <pivotArea type="data" outline="0" fieldPosition="0">
        <references count="2">
          <reference field="4294967294" count="1" selected="0">
            <x v="0"/>
          </reference>
          <reference field="9" count="1" selected="0">
            <x v="21"/>
          </reference>
        </references>
      </pivotArea>
    </chartFormat>
    <chartFormat chart="7" format="383" series="1">
      <pivotArea type="data" outline="0" fieldPosition="0">
        <references count="2">
          <reference field="4294967294" count="1" selected="0">
            <x v="1"/>
          </reference>
          <reference field="9" count="1" selected="0">
            <x v="21"/>
          </reference>
        </references>
      </pivotArea>
    </chartFormat>
    <chartFormat chart="7" format="384" series="1">
      <pivotArea type="data" outline="0" fieldPosition="0">
        <references count="2">
          <reference field="4294967294" count="1" selected="0">
            <x v="0"/>
          </reference>
          <reference field="9" count="1" selected="0">
            <x v="22"/>
          </reference>
        </references>
      </pivotArea>
    </chartFormat>
    <chartFormat chart="7" format="386" series="1">
      <pivotArea type="data" outline="0" fieldPosition="0">
        <references count="2">
          <reference field="4294967294" count="1" selected="0">
            <x v="1"/>
          </reference>
          <reference field="9" count="1" selected="0">
            <x v="22"/>
          </reference>
        </references>
      </pivotArea>
    </chartFormat>
    <chartFormat chart="7" format="387" series="1">
      <pivotArea type="data" outline="0" fieldPosition="0">
        <references count="2">
          <reference field="4294967294" count="1" selected="0">
            <x v="0"/>
          </reference>
          <reference field="9" count="1" selected="0">
            <x v="23"/>
          </reference>
        </references>
      </pivotArea>
    </chartFormat>
    <chartFormat chart="7" format="389" series="1">
      <pivotArea type="data" outline="0" fieldPosition="0">
        <references count="2">
          <reference field="4294967294" count="1" selected="0">
            <x v="1"/>
          </reference>
          <reference field="9" count="1" selected="0">
            <x v="23"/>
          </reference>
        </references>
      </pivotArea>
    </chartFormat>
    <chartFormat chart="7" format="390" series="1">
      <pivotArea type="data" outline="0" fieldPosition="0">
        <references count="2">
          <reference field="4294967294" count="1" selected="0">
            <x v="0"/>
          </reference>
          <reference field="9" count="1" selected="0">
            <x v="24"/>
          </reference>
        </references>
      </pivotArea>
    </chartFormat>
    <chartFormat chart="7" format="392" series="1">
      <pivotArea type="data" outline="0" fieldPosition="0">
        <references count="2">
          <reference field="4294967294" count="1" selected="0">
            <x v="1"/>
          </reference>
          <reference field="9" count="1" selected="0">
            <x v="24"/>
          </reference>
        </references>
      </pivotArea>
    </chartFormat>
    <chartFormat chart="7" format="393" series="1">
      <pivotArea type="data" outline="0" fieldPosition="0">
        <references count="2">
          <reference field="4294967294" count="1" selected="0">
            <x v="0"/>
          </reference>
          <reference field="9" count="1" selected="0">
            <x v="25"/>
          </reference>
        </references>
      </pivotArea>
    </chartFormat>
    <chartFormat chart="7" format="395" series="1">
      <pivotArea type="data" outline="0" fieldPosition="0">
        <references count="2">
          <reference field="4294967294" count="1" selected="0">
            <x v="1"/>
          </reference>
          <reference field="9" count="1" selected="0">
            <x v="25"/>
          </reference>
        </references>
      </pivotArea>
    </chartFormat>
    <chartFormat chart="7" format="396" series="1">
      <pivotArea type="data" outline="0" fieldPosition="0">
        <references count="2">
          <reference field="4294967294" count="1" selected="0">
            <x v="0"/>
          </reference>
          <reference field="9" count="1" selected="0">
            <x v="26"/>
          </reference>
        </references>
      </pivotArea>
    </chartFormat>
    <chartFormat chart="7" format="398" series="1">
      <pivotArea type="data" outline="0" fieldPosition="0">
        <references count="2">
          <reference field="4294967294" count="1" selected="0">
            <x v="1"/>
          </reference>
          <reference field="9" count="1" selected="0">
            <x v="26"/>
          </reference>
        </references>
      </pivotArea>
    </chartFormat>
    <chartFormat chart="7" format="399" series="1">
      <pivotArea type="data" outline="0" fieldPosition="0">
        <references count="2">
          <reference field="4294967294" count="1" selected="0">
            <x v="0"/>
          </reference>
          <reference field="9" count="1" selected="0">
            <x v="27"/>
          </reference>
        </references>
      </pivotArea>
    </chartFormat>
    <chartFormat chart="7" format="401" series="1">
      <pivotArea type="data" outline="0" fieldPosition="0">
        <references count="2">
          <reference field="4294967294" count="1" selected="0">
            <x v="1"/>
          </reference>
          <reference field="9" count="1" selected="0">
            <x v="27"/>
          </reference>
        </references>
      </pivotArea>
    </chartFormat>
    <chartFormat chart="7" format="402" series="1">
      <pivotArea type="data" outline="0" fieldPosition="0">
        <references count="2">
          <reference field="4294967294" count="1" selected="0">
            <x v="0"/>
          </reference>
          <reference field="9" count="1" selected="0">
            <x v="28"/>
          </reference>
        </references>
      </pivotArea>
    </chartFormat>
    <chartFormat chart="7" format="404" series="1">
      <pivotArea type="data" outline="0" fieldPosition="0">
        <references count="2">
          <reference field="4294967294" count="1" selected="0">
            <x v="1"/>
          </reference>
          <reference field="9" count="1" selected="0">
            <x v="28"/>
          </reference>
        </references>
      </pivotArea>
    </chartFormat>
    <chartFormat chart="7" format="405" series="1">
      <pivotArea type="data" outline="0" fieldPosition="0">
        <references count="2">
          <reference field="4294967294" count="1" selected="0">
            <x v="0"/>
          </reference>
          <reference field="9" count="1" selected="0">
            <x v="29"/>
          </reference>
        </references>
      </pivotArea>
    </chartFormat>
    <chartFormat chart="7" format="407" series="1">
      <pivotArea type="data" outline="0" fieldPosition="0">
        <references count="2">
          <reference field="4294967294" count="1" selected="0">
            <x v="1"/>
          </reference>
          <reference field="9" count="1" selected="0">
            <x v="29"/>
          </reference>
        </references>
      </pivotArea>
    </chartFormat>
    <chartFormat chart="7" format="408" series="1">
      <pivotArea type="data" outline="0" fieldPosition="0">
        <references count="2">
          <reference field="4294967294" count="1" selected="0">
            <x v="0"/>
          </reference>
          <reference field="9" count="1" selected="0">
            <x v="30"/>
          </reference>
        </references>
      </pivotArea>
    </chartFormat>
    <chartFormat chart="7" format="410" series="1">
      <pivotArea type="data" outline="0" fieldPosition="0">
        <references count="2">
          <reference field="4294967294" count="1" selected="0">
            <x v="1"/>
          </reference>
          <reference field="9" count="1" selected="0">
            <x v="30"/>
          </reference>
        </references>
      </pivotArea>
    </chartFormat>
    <chartFormat chart="7" format="411" series="1">
      <pivotArea type="data" outline="0" fieldPosition="0">
        <references count="2">
          <reference field="4294967294" count="1" selected="0">
            <x v="0"/>
          </reference>
          <reference field="9" count="1" selected="0">
            <x v="31"/>
          </reference>
        </references>
      </pivotArea>
    </chartFormat>
    <chartFormat chart="7" format="413" series="1">
      <pivotArea type="data" outline="0" fieldPosition="0">
        <references count="2">
          <reference field="4294967294" count="1" selected="0">
            <x v="1"/>
          </reference>
          <reference field="9" count="1" selected="0">
            <x v="31"/>
          </reference>
        </references>
      </pivotArea>
    </chartFormat>
    <chartFormat chart="7" format="414" series="1">
      <pivotArea type="data" outline="0" fieldPosition="0">
        <references count="2">
          <reference field="4294967294" count="1" selected="0">
            <x v="0"/>
          </reference>
          <reference field="9" count="1" selected="0">
            <x v="32"/>
          </reference>
        </references>
      </pivotArea>
    </chartFormat>
    <chartFormat chart="7" format="416" series="1">
      <pivotArea type="data" outline="0" fieldPosition="0">
        <references count="2">
          <reference field="4294967294" count="1" selected="0">
            <x v="1"/>
          </reference>
          <reference field="9" count="1" selected="0">
            <x v="32"/>
          </reference>
        </references>
      </pivotArea>
    </chartFormat>
    <chartFormat chart="7" format="417" series="1">
      <pivotArea type="data" outline="0" fieldPosition="0">
        <references count="2">
          <reference field="4294967294" count="1" selected="0">
            <x v="0"/>
          </reference>
          <reference field="9" count="1" selected="0">
            <x v="33"/>
          </reference>
        </references>
      </pivotArea>
    </chartFormat>
    <chartFormat chart="7" format="419" series="1">
      <pivotArea type="data" outline="0" fieldPosition="0">
        <references count="2">
          <reference field="4294967294" count="1" selected="0">
            <x v="1"/>
          </reference>
          <reference field="9" count="1" selected="0">
            <x v="33"/>
          </reference>
        </references>
      </pivotArea>
    </chartFormat>
    <chartFormat chart="7" format="420" series="1">
      <pivotArea type="data" outline="0" fieldPosition="0">
        <references count="2">
          <reference field="4294967294" count="1" selected="0">
            <x v="0"/>
          </reference>
          <reference field="9" count="1" selected="0">
            <x v="34"/>
          </reference>
        </references>
      </pivotArea>
    </chartFormat>
    <chartFormat chart="7" format="422" series="1">
      <pivotArea type="data" outline="0" fieldPosition="0">
        <references count="2">
          <reference field="4294967294" count="1" selected="0">
            <x v="1"/>
          </reference>
          <reference field="9" count="1" selected="0">
            <x v="34"/>
          </reference>
        </references>
      </pivotArea>
    </chartFormat>
    <chartFormat chart="7" format="423" series="1">
      <pivotArea type="data" outline="0" fieldPosition="0">
        <references count="2">
          <reference field="4294967294" count="1" selected="0">
            <x v="0"/>
          </reference>
          <reference field="9" count="1" selected="0">
            <x v="35"/>
          </reference>
        </references>
      </pivotArea>
    </chartFormat>
    <chartFormat chart="7" format="425" series="1">
      <pivotArea type="data" outline="0" fieldPosition="0">
        <references count="2">
          <reference field="4294967294" count="1" selected="0">
            <x v="1"/>
          </reference>
          <reference field="9" count="1" selected="0">
            <x v="35"/>
          </reference>
        </references>
      </pivotArea>
    </chartFormat>
    <chartFormat chart="7" format="426" series="1">
      <pivotArea type="data" outline="0" fieldPosition="0">
        <references count="2">
          <reference field="4294967294" count="1" selected="0">
            <x v="0"/>
          </reference>
          <reference field="9" count="1" selected="0">
            <x v="36"/>
          </reference>
        </references>
      </pivotArea>
    </chartFormat>
    <chartFormat chart="7" format="428" series="1">
      <pivotArea type="data" outline="0" fieldPosition="0">
        <references count="2">
          <reference field="4294967294" count="1" selected="0">
            <x v="1"/>
          </reference>
          <reference field="9" count="1" selected="0">
            <x v="36"/>
          </reference>
        </references>
      </pivotArea>
    </chartFormat>
    <chartFormat chart="7" format="429" series="1">
      <pivotArea type="data" outline="0" fieldPosition="0">
        <references count="2">
          <reference field="4294967294" count="1" selected="0">
            <x v="0"/>
          </reference>
          <reference field="9" count="1" selected="0">
            <x v="39"/>
          </reference>
        </references>
      </pivotArea>
    </chartFormat>
    <chartFormat chart="7" format="430" series="1">
      <pivotArea type="data" outline="0" fieldPosition="0">
        <references count="2">
          <reference field="4294967294" count="1" selected="0">
            <x v="1"/>
          </reference>
          <reference field="9" count="1" selected="0">
            <x v="39"/>
          </reference>
        </references>
      </pivotArea>
    </chartFormat>
    <chartFormat chart="7" format="431" series="1">
      <pivotArea type="data" outline="0" fieldPosition="0">
        <references count="2">
          <reference field="4294967294" count="1" selected="0">
            <x v="0"/>
          </reference>
          <reference field="9" count="1" selected="0">
            <x v="37"/>
          </reference>
        </references>
      </pivotArea>
    </chartFormat>
    <chartFormat chart="7" format="432" series="1">
      <pivotArea type="data" outline="0" fieldPosition="0">
        <references count="2">
          <reference field="4294967294" count="1" selected="0">
            <x v="1"/>
          </reference>
          <reference field="9" count="1" selected="0">
            <x v="37"/>
          </reference>
        </references>
      </pivotArea>
    </chartFormat>
    <chartFormat chart="7" format="433" series="1">
      <pivotArea type="data" outline="0" fieldPosition="0">
        <references count="2">
          <reference field="4294967294" count="1" selected="0">
            <x v="0"/>
          </reference>
          <reference field="9" count="1" selected="0">
            <x v="38"/>
          </reference>
        </references>
      </pivotArea>
    </chartFormat>
    <chartFormat chart="7" format="434" series="1">
      <pivotArea type="data" outline="0" fieldPosition="0">
        <references count="2">
          <reference field="4294967294" count="1" selected="0">
            <x v="1"/>
          </reference>
          <reference field="9" count="1" selected="0">
            <x v="38"/>
          </reference>
        </references>
      </pivotArea>
    </chartFormat>
    <chartFormat chart="7" format="439" series="1">
      <pivotArea type="data" outline="0" fieldPosition="0">
        <references count="1">
          <reference field="4294967294" count="1" selected="0">
            <x v="0"/>
          </reference>
        </references>
      </pivotArea>
    </chartFormat>
    <chartFormat chart="7" format="44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optionKeys.jsp?symbolCode=-10006&amp;symbol=NIFTY&amp;symbol=NIFTY&amp;instrument=-&amp;date=-&amp;segmentLink=17&amp;symbolCount=2&amp;segmentLink=17" refreshOnLoad="1" connectionId="1" autoFormatId="16" applyNumberFormats="0" applyBorderFormats="0" applyFontFormats="1" applyPatternFormats="1" applyAlignmentFormats="0" applyWidthHeightFormats="0"/>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rike" sourceName="strike">
  <pivotTables>
    <pivotTable tabId="26" name="Call"/>
    <pivotTable tabId="27" name="Put"/>
    <pivotTable tabId="31" name="PivotTable1"/>
  </pivotTables>
  <data>
    <tabular pivotCacheId="2">
      <items count="69">
        <i x="0" s="1"/>
        <i x="1" s="1"/>
        <i x="2" s="1"/>
        <i x="3" s="1"/>
        <i x="4" s="1"/>
        <i x="5" s="1"/>
        <i x="6" s="1"/>
        <i x="7" s="1"/>
        <i x="8" s="1"/>
        <i x="9" s="1"/>
        <i x="10" s="1"/>
        <i x="11" s="1"/>
        <i x="12" s="1"/>
        <i x="13" s="1"/>
        <i x="14" s="1"/>
        <i x="15" s="1"/>
        <i x="68" s="1" nd="1"/>
        <i x="31" s="1" nd="1"/>
        <i x="49" s="1" nd="1"/>
        <i x="62" s="1" nd="1"/>
        <i x="21" s="1" nd="1"/>
        <i x="38" s="1" nd="1"/>
        <i x="55" s="1" nd="1"/>
        <i x="65" s="1" nd="1"/>
        <i x="27" s="1" nd="1"/>
        <i x="46" s="1" nd="1"/>
        <i x="59" s="1" nd="1"/>
        <i x="19" s="1" nd="1"/>
        <i x="36" s="1" nd="1"/>
        <i x="52" s="1" nd="1"/>
        <i x="45" s="1" nd="1"/>
        <i x="53" s="1" nd="1"/>
        <i x="23" s="1" nd="1"/>
        <i x="32" s="1" nd="1"/>
        <i x="41" s="1" nd="1"/>
        <i x="50" s="1" nd="1"/>
        <i x="57" s="1" nd="1"/>
        <i x="63" s="1" nd="1"/>
        <i x="67" s="1" nd="1"/>
        <i x="22" s="1" nd="1"/>
        <i x="29" s="1" nd="1"/>
        <i x="39" s="1" nd="1"/>
        <i x="48" s="1" nd="1"/>
        <i x="56" s="1" nd="1"/>
        <i x="61" s="1" nd="1"/>
        <i x="66" s="1" nd="1"/>
        <i x="20" s="1" nd="1"/>
        <i x="28" s="1" nd="1"/>
        <i x="37" s="1" nd="1"/>
        <i x="47" s="1" nd="1"/>
        <i x="54" s="1" nd="1"/>
        <i x="60" s="1" nd="1"/>
        <i x="26" s="1" nd="1"/>
        <i x="35" s="1" nd="1"/>
        <i x="44" s="1" nd="1"/>
        <i x="51" s="1" nd="1"/>
        <i x="58" s="1" nd="1"/>
        <i x="64" s="1" nd="1"/>
        <i x="18" s="1" nd="1"/>
        <i x="24" s="1" nd="1"/>
        <i x="33" s="1" nd="1"/>
        <i x="42" s="1" nd="1"/>
        <i x="25" s="1" nd="1"/>
        <i x="30" s="1" nd="1"/>
        <i x="34" s="1" nd="1"/>
        <i x="40" s="1" nd="1"/>
        <i x="43" s="1" nd="1"/>
        <i x="16" s="1" nd="1"/>
        <i x="1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rike" cache="Slicer_strike" caption="strike" columnCount="18" style="SlicerStyleLight1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N137"/>
  <sheetViews>
    <sheetView workbookViewId="0">
      <selection activeCell="A2" sqref="A2"/>
    </sheetView>
  </sheetViews>
  <sheetFormatPr defaultRowHeight="15" x14ac:dyDescent="0.25"/>
  <cols>
    <col min="1" max="1" width="12.5703125" customWidth="1"/>
    <col min="2" max="2" width="19" customWidth="1"/>
    <col min="3" max="3" width="31.140625" bestFit="1" customWidth="1"/>
    <col min="4" max="4" width="64.42578125" customWidth="1"/>
    <col min="5" max="5" width="10" bestFit="1" customWidth="1"/>
    <col min="6" max="6" width="9.140625" customWidth="1"/>
    <col min="7" max="7" width="3" customWidth="1"/>
    <col min="8" max="8" width="5.5703125" customWidth="1"/>
    <col min="9" max="9" width="9.140625" bestFit="1" customWidth="1"/>
    <col min="10" max="10" width="4.140625" customWidth="1"/>
    <col min="11" max="12" width="5.5703125" customWidth="1"/>
    <col min="13" max="13" width="4.140625" customWidth="1"/>
    <col min="14" max="14" width="11" bestFit="1" customWidth="1"/>
    <col min="15" max="18" width="5.5703125" customWidth="1"/>
    <col min="19" max="19" width="9.140625" bestFit="1" customWidth="1"/>
    <col min="20" max="20" width="5.5703125" customWidth="1"/>
    <col min="21" max="21" width="3" customWidth="1"/>
    <col min="22" max="22" width="9.140625" customWidth="1"/>
    <col min="23" max="23" width="10" bestFit="1" customWidth="1"/>
    <col min="24" max="24" width="9.140625" customWidth="1"/>
    <col min="25" max="25" width="6.28515625" bestFit="1" customWidth="1"/>
    <col min="26" max="26" width="10" customWidth="1"/>
    <col min="27" max="27" width="10.42578125" style="23" bestFit="1" customWidth="1"/>
    <col min="28" max="28" width="10.140625" customWidth="1"/>
    <col min="29" max="29" width="5.5703125" customWidth="1"/>
    <col min="30" max="30" width="9.140625" customWidth="1"/>
    <col min="31" max="31" width="6.5703125" customWidth="1"/>
    <col min="32" max="33" width="5.5703125" customWidth="1"/>
    <col min="34" max="34" width="6.5703125" customWidth="1"/>
    <col min="35" max="35" width="11" customWidth="1"/>
    <col min="36" max="36" width="6.5703125" customWidth="1"/>
    <col min="37" max="39" width="5.5703125" customWidth="1"/>
    <col min="40" max="40" width="9.140625" customWidth="1"/>
    <col min="41" max="41" width="5.5703125" customWidth="1"/>
    <col min="42" max="42" width="3" customWidth="1"/>
    <col min="43" max="43" width="8" customWidth="1"/>
    <col min="44" max="44" width="10" customWidth="1"/>
    <col min="45" max="45" width="10.140625" customWidth="1"/>
    <col min="46" max="46" width="5.7109375" customWidth="1"/>
    <col min="47" max="47" width="10" customWidth="1"/>
    <col min="48" max="48" width="8" customWidth="1"/>
    <col min="49" max="49" width="6" customWidth="1"/>
    <col min="50" max="50" width="8.140625" customWidth="1"/>
    <col min="52" max="52" width="6.5703125" customWidth="1"/>
    <col min="53" max="54" width="8.140625" customWidth="1"/>
    <col min="55" max="55" width="6.5703125" customWidth="1"/>
    <col min="56" max="56" width="11" customWidth="1"/>
    <col min="57" max="57" width="7.5703125" customWidth="1"/>
    <col min="58" max="59" width="8.140625" customWidth="1"/>
    <col min="60" max="60" width="7.5703125" customWidth="1"/>
    <col min="62" max="62" width="8.140625" customWidth="1"/>
    <col min="63" max="63" width="6" customWidth="1"/>
    <col min="64" max="64" width="8" customWidth="1"/>
    <col min="65" max="65" width="10" customWidth="1"/>
    <col min="66" max="66" width="10.140625" customWidth="1"/>
    <col min="67" max="67" width="5.7109375" customWidth="1"/>
  </cols>
  <sheetData>
    <row r="1" spans="1:28" x14ac:dyDescent="0.25">
      <c r="A1" s="26" t="str">
        <f>MID(D1,41,12)</f>
        <v xml:space="preserve"> on Jan 28, </v>
      </c>
      <c r="B1" s="28"/>
      <c r="C1" t="s">
        <v>15</v>
      </c>
      <c r="D1" s="1" t="s">
        <v>90</v>
      </c>
      <c r="E1" s="1"/>
      <c r="F1" s="1"/>
      <c r="G1" s="1"/>
      <c r="H1" s="1"/>
      <c r="I1" s="1"/>
      <c r="J1" s="1"/>
      <c r="K1" s="1"/>
      <c r="L1" s="1"/>
      <c r="M1" s="1"/>
      <c r="N1" s="1"/>
      <c r="O1" s="1"/>
      <c r="P1" s="1"/>
      <c r="Q1" s="1"/>
      <c r="R1" s="1"/>
      <c r="S1" s="1"/>
      <c r="T1" s="1"/>
      <c r="U1" s="1"/>
      <c r="V1" s="1"/>
      <c r="W1" s="1"/>
      <c r="X1" s="1"/>
      <c r="Y1" s="1"/>
    </row>
    <row r="2" spans="1:28" x14ac:dyDescent="0.25">
      <c r="A2" s="26" t="str">
        <f>"Last Update @  "&amp;MID(D1,58,5)</f>
        <v>Last Update @  13:51</v>
      </c>
      <c r="B2" s="28"/>
      <c r="C2" t="s">
        <v>45</v>
      </c>
      <c r="D2" s="1"/>
      <c r="E2" s="1"/>
      <c r="F2" s="1"/>
      <c r="G2" s="1"/>
      <c r="H2" s="1"/>
      <c r="I2" s="1"/>
      <c r="J2" s="1"/>
      <c r="K2" s="1"/>
      <c r="L2" s="1"/>
      <c r="M2" s="1"/>
      <c r="N2" s="1"/>
      <c r="O2" s="1"/>
      <c r="P2" s="1"/>
      <c r="Q2" s="1"/>
      <c r="R2" s="1"/>
      <c r="S2" s="1"/>
      <c r="T2" s="1"/>
      <c r="U2" s="1"/>
      <c r="V2" s="1"/>
      <c r="W2" s="1"/>
      <c r="X2" s="1"/>
      <c r="Y2" s="1"/>
    </row>
    <row r="3" spans="1:28" x14ac:dyDescent="0.25">
      <c r="A3" s="27" t="str">
        <f>MID(D1,18,10)</f>
        <v xml:space="preserve"> BANKNIFTY</v>
      </c>
      <c r="B3" s="28"/>
      <c r="C3" t="s">
        <v>46</v>
      </c>
      <c r="D3" s="1"/>
      <c r="E3" s="1"/>
      <c r="F3" s="1"/>
      <c r="G3" s="1"/>
      <c r="H3" s="1"/>
      <c r="I3" s="1"/>
      <c r="J3" s="1"/>
      <c r="K3" s="1"/>
      <c r="L3" s="1"/>
      <c r="M3" s="1"/>
      <c r="N3" s="1"/>
      <c r="O3" s="1"/>
      <c r="P3" s="1"/>
      <c r="Q3" s="1"/>
      <c r="R3" s="1"/>
      <c r="S3" s="1"/>
      <c r="T3" s="1"/>
      <c r="U3" s="1"/>
      <c r="V3" s="1"/>
      <c r="W3" s="1"/>
      <c r="X3" s="1"/>
      <c r="Y3" s="1"/>
    </row>
    <row r="4" spans="1:28" x14ac:dyDescent="0.25">
      <c r="A4" s="27">
        <f>VALUE(MID(D1,29,8))</f>
        <v>30966.15</v>
      </c>
      <c r="B4" s="28"/>
      <c r="C4" t="s">
        <v>47</v>
      </c>
      <c r="D4" s="1"/>
      <c r="E4" s="1"/>
      <c r="F4" s="1"/>
      <c r="G4" s="1"/>
      <c r="H4" s="1"/>
      <c r="I4" s="1"/>
      <c r="J4" s="1"/>
      <c r="K4" s="1"/>
      <c r="L4" s="1"/>
      <c r="M4" s="1"/>
      <c r="N4" s="1"/>
      <c r="O4" s="1"/>
      <c r="P4" s="1"/>
      <c r="Q4" s="1"/>
      <c r="R4" s="1"/>
      <c r="S4" s="1"/>
      <c r="T4" s="1"/>
      <c r="U4" s="1"/>
      <c r="V4" s="1"/>
      <c r="W4" s="1"/>
      <c r="X4" s="1"/>
      <c r="Y4" s="1"/>
      <c r="AA4" s="23" t="s">
        <v>32</v>
      </c>
      <c r="AB4">
        <v>77</v>
      </c>
    </row>
    <row r="5" spans="1:28" x14ac:dyDescent="0.25">
      <c r="A5" s="27">
        <f>ROUND(A4,-2)</f>
        <v>31000</v>
      </c>
      <c r="B5" s="28"/>
      <c r="C5" t="s">
        <v>48</v>
      </c>
      <c r="D5" s="1"/>
      <c r="E5" s="1"/>
      <c r="F5" s="1"/>
      <c r="G5" s="1"/>
      <c r="H5" s="1"/>
      <c r="I5" s="1"/>
      <c r="J5" s="1"/>
      <c r="K5" s="1"/>
      <c r="L5" s="1"/>
      <c r="M5" s="1"/>
      <c r="N5" s="1"/>
      <c r="O5" s="1"/>
      <c r="P5" s="1"/>
      <c r="Q5" s="1"/>
      <c r="R5" s="1"/>
      <c r="S5" s="1"/>
      <c r="T5" s="1"/>
      <c r="U5" s="1"/>
      <c r="V5" s="1"/>
      <c r="W5" s="1"/>
      <c r="X5" s="1"/>
      <c r="Y5" s="1"/>
      <c r="AB5">
        <f>+AB4*60</f>
        <v>4620</v>
      </c>
    </row>
    <row r="6" spans="1:28" x14ac:dyDescent="0.25">
      <c r="A6" t="str">
        <f>"CE"&amp;N6</f>
        <v>CE</v>
      </c>
      <c r="B6" t="str">
        <f>"PE"&amp;N6</f>
        <v>PE</v>
      </c>
      <c r="D6" s="1"/>
      <c r="E6" s="1"/>
      <c r="F6" s="1"/>
      <c r="G6" s="1"/>
      <c r="H6" s="1"/>
      <c r="I6" s="1"/>
      <c r="J6" s="1"/>
      <c r="K6" s="1"/>
      <c r="L6" s="1"/>
      <c r="M6" s="1"/>
      <c r="N6" s="1"/>
      <c r="O6" s="1"/>
      <c r="P6" s="1"/>
      <c r="Q6" s="1"/>
      <c r="R6" s="1"/>
      <c r="S6" s="1"/>
      <c r="T6" s="1"/>
      <c r="U6" s="1"/>
      <c r="V6" s="1"/>
      <c r="W6" s="1"/>
      <c r="X6" s="1"/>
      <c r="Y6" s="1"/>
      <c r="AA6" s="23" t="e">
        <f>X6/D6</f>
        <v>#DIV/0!</v>
      </c>
      <c r="AB6">
        <f>+AB5*5</f>
        <v>23100</v>
      </c>
    </row>
    <row r="7" spans="1:28" x14ac:dyDescent="0.25">
      <c r="A7" t="str">
        <f t="shared" ref="A7:A41" si="0">"CE"&amp;N7</f>
        <v>CE</v>
      </c>
      <c r="B7" t="str">
        <f t="shared" ref="B7:B41" si="1">"PE"&amp;N7</f>
        <v>PE</v>
      </c>
      <c r="D7" s="1"/>
      <c r="E7" s="1"/>
      <c r="F7" s="1"/>
      <c r="G7" s="1"/>
      <c r="H7" s="1"/>
      <c r="I7" s="1"/>
      <c r="J7" s="1"/>
      <c r="K7" s="1"/>
      <c r="L7" s="1"/>
      <c r="M7" s="1"/>
      <c r="N7" s="1"/>
      <c r="O7" s="1"/>
      <c r="P7" s="1"/>
      <c r="Q7" s="1"/>
      <c r="R7" s="1"/>
      <c r="S7" s="1"/>
      <c r="T7" s="1"/>
      <c r="U7" s="1"/>
      <c r="V7" s="1"/>
      <c r="W7" s="1"/>
      <c r="X7" s="1"/>
      <c r="Y7" s="1"/>
      <c r="AA7" s="23" t="e">
        <f t="shared" ref="AA7:AA58" si="2">X7/D7</f>
        <v>#DIV/0!</v>
      </c>
    </row>
    <row r="8" spans="1:28" x14ac:dyDescent="0.25">
      <c r="A8" t="str">
        <f t="shared" si="0"/>
        <v>CE</v>
      </c>
      <c r="B8" t="str">
        <f t="shared" si="1"/>
        <v>PE</v>
      </c>
      <c r="C8" t="s">
        <v>0</v>
      </c>
      <c r="D8" s="1"/>
      <c r="E8" s="1"/>
      <c r="F8" s="1"/>
      <c r="G8" s="1"/>
      <c r="H8" s="1"/>
      <c r="I8" s="1"/>
      <c r="J8" s="1"/>
      <c r="K8" s="1"/>
      <c r="L8" s="1"/>
      <c r="M8" s="1"/>
      <c r="N8" s="1"/>
      <c r="O8" s="1" t="s">
        <v>1</v>
      </c>
      <c r="P8" s="1"/>
      <c r="Q8" s="1"/>
      <c r="R8" s="1"/>
      <c r="S8" s="1"/>
      <c r="T8" s="1"/>
      <c r="U8" s="1"/>
      <c r="V8" s="1"/>
      <c r="W8" s="1"/>
      <c r="X8" s="1"/>
      <c r="Y8" s="1"/>
      <c r="AA8" s="23" t="e">
        <f t="shared" si="2"/>
        <v>#DIV/0!</v>
      </c>
    </row>
    <row r="9" spans="1:28" x14ac:dyDescent="0.25">
      <c r="A9" t="str">
        <f t="shared" si="0"/>
        <v>CEStrike Price</v>
      </c>
      <c r="B9" t="str">
        <f t="shared" si="1"/>
        <v>PEStrike Price</v>
      </c>
      <c r="C9" t="s">
        <v>2</v>
      </c>
      <c r="D9" s="1" t="s">
        <v>3</v>
      </c>
      <c r="E9" s="1" t="s">
        <v>4</v>
      </c>
      <c r="F9" s="1" t="s">
        <v>5</v>
      </c>
      <c r="G9" s="1" t="s">
        <v>6</v>
      </c>
      <c r="H9" s="1" t="s">
        <v>7</v>
      </c>
      <c r="I9" s="1" t="s">
        <v>8</v>
      </c>
      <c r="J9" s="1" t="s">
        <v>9</v>
      </c>
      <c r="K9" s="1" t="s">
        <v>9</v>
      </c>
      <c r="L9" s="1" t="s">
        <v>12</v>
      </c>
      <c r="M9" s="1" t="s">
        <v>12</v>
      </c>
      <c r="N9" s="1" t="s">
        <v>13</v>
      </c>
      <c r="O9" s="1" t="s">
        <v>9</v>
      </c>
      <c r="P9" s="1" t="s">
        <v>9</v>
      </c>
      <c r="Q9" s="1" t="s">
        <v>12</v>
      </c>
      <c r="R9" s="1" t="s">
        <v>12</v>
      </c>
      <c r="S9" s="1" t="s">
        <v>8</v>
      </c>
      <c r="T9" s="1" t="s">
        <v>7</v>
      </c>
      <c r="U9" s="1" t="s">
        <v>6</v>
      </c>
      <c r="V9" s="1" t="s">
        <v>5</v>
      </c>
      <c r="W9" s="1" t="s">
        <v>4</v>
      </c>
      <c r="X9" s="1" t="s">
        <v>3</v>
      </c>
      <c r="Y9" s="1" t="s">
        <v>2</v>
      </c>
      <c r="AA9" s="23" t="e">
        <f t="shared" si="2"/>
        <v>#VALUE!</v>
      </c>
    </row>
    <row r="10" spans="1:28" x14ac:dyDescent="0.25">
      <c r="A10" t="str">
        <f t="shared" si="0"/>
        <v>CE</v>
      </c>
      <c r="B10" t="str">
        <f t="shared" si="1"/>
        <v>PE</v>
      </c>
      <c r="D10" s="1"/>
      <c r="E10" s="1"/>
      <c r="F10" s="1"/>
      <c r="G10" s="1"/>
      <c r="H10" s="1"/>
      <c r="I10" s="1"/>
      <c r="J10" s="1" t="s">
        <v>10</v>
      </c>
      <c r="K10" s="1" t="s">
        <v>11</v>
      </c>
      <c r="L10" s="1" t="s">
        <v>11</v>
      </c>
      <c r="M10" s="1" t="s">
        <v>10</v>
      </c>
      <c r="N10" s="1"/>
      <c r="O10" s="1" t="s">
        <v>10</v>
      </c>
      <c r="P10" s="1" t="s">
        <v>11</v>
      </c>
      <c r="Q10" s="1" t="s">
        <v>11</v>
      </c>
      <c r="R10" s="1" t="s">
        <v>10</v>
      </c>
      <c r="S10" s="1"/>
      <c r="T10" s="1"/>
      <c r="U10" s="1"/>
      <c r="V10" s="1"/>
      <c r="W10" s="1"/>
      <c r="X10" s="1"/>
      <c r="Y10" s="1"/>
      <c r="AA10" s="23" t="e">
        <f t="shared" si="2"/>
        <v>#DIV/0!</v>
      </c>
    </row>
    <row r="11" spans="1:28" x14ac:dyDescent="0.25">
      <c r="A11" t="str">
        <f t="shared" si="0"/>
        <v>CE27700</v>
      </c>
      <c r="B11" t="str">
        <f t="shared" si="1"/>
        <v>PE27700</v>
      </c>
      <c r="C11" t="s">
        <v>44</v>
      </c>
      <c r="D11" s="1">
        <v>3120</v>
      </c>
      <c r="E11" s="1">
        <v>-180</v>
      </c>
      <c r="F11" s="1">
        <v>23</v>
      </c>
      <c r="G11" s="1" t="s">
        <v>14</v>
      </c>
      <c r="H11" s="1">
        <v>3282.25</v>
      </c>
      <c r="I11" s="1">
        <v>55.8</v>
      </c>
      <c r="J11" s="1">
        <v>20</v>
      </c>
      <c r="K11" s="1">
        <v>3239.75</v>
      </c>
      <c r="L11" s="1">
        <v>3293.05</v>
      </c>
      <c r="M11" s="1">
        <v>20</v>
      </c>
      <c r="N11" s="1">
        <v>27700</v>
      </c>
      <c r="O11" s="1">
        <v>20</v>
      </c>
      <c r="P11" s="1">
        <v>1.1000000000000001</v>
      </c>
      <c r="Q11" s="1">
        <v>1.2</v>
      </c>
      <c r="R11" s="1">
        <v>120</v>
      </c>
      <c r="S11" s="1">
        <v>-0.25</v>
      </c>
      <c r="T11" s="1">
        <v>1.2</v>
      </c>
      <c r="U11" s="1">
        <v>55.76</v>
      </c>
      <c r="V11" s="1">
        <v>551</v>
      </c>
      <c r="W11" s="1">
        <v>-2240</v>
      </c>
      <c r="X11" s="1">
        <v>17800</v>
      </c>
      <c r="Y11" s="1" t="s">
        <v>44</v>
      </c>
      <c r="AA11" s="23">
        <f t="shared" si="2"/>
        <v>5.7051282051282053</v>
      </c>
    </row>
    <row r="12" spans="1:28" x14ac:dyDescent="0.25">
      <c r="A12" t="str">
        <f t="shared" si="0"/>
        <v>CE27800</v>
      </c>
      <c r="B12" t="str">
        <f t="shared" si="1"/>
        <v>PE27800</v>
      </c>
      <c r="C12" t="s">
        <v>44</v>
      </c>
      <c r="D12" s="1" t="s">
        <v>14</v>
      </c>
      <c r="E12" s="1" t="s">
        <v>14</v>
      </c>
      <c r="F12" s="1" t="s">
        <v>14</v>
      </c>
      <c r="G12" s="1" t="s">
        <v>14</v>
      </c>
      <c r="H12" s="1" t="s">
        <v>14</v>
      </c>
      <c r="I12" s="1" t="s">
        <v>14</v>
      </c>
      <c r="J12" s="1">
        <v>460</v>
      </c>
      <c r="K12" s="1">
        <v>3078.2</v>
      </c>
      <c r="L12" s="1">
        <v>3294.45</v>
      </c>
      <c r="M12" s="1">
        <v>460</v>
      </c>
      <c r="N12" s="1">
        <v>27800</v>
      </c>
      <c r="O12" s="1">
        <v>20</v>
      </c>
      <c r="P12" s="1">
        <v>1.55</v>
      </c>
      <c r="Q12" s="1">
        <v>2.75</v>
      </c>
      <c r="R12" s="1">
        <v>20</v>
      </c>
      <c r="S12" s="1">
        <v>-1.25</v>
      </c>
      <c r="T12" s="1">
        <v>1.3</v>
      </c>
      <c r="U12" s="1">
        <v>54.58</v>
      </c>
      <c r="V12" s="1">
        <v>28</v>
      </c>
      <c r="W12" s="1">
        <v>-500</v>
      </c>
      <c r="X12" s="1">
        <v>220</v>
      </c>
      <c r="Y12" s="1" t="s">
        <v>44</v>
      </c>
      <c r="AA12" s="23" t="e">
        <f t="shared" si="2"/>
        <v>#VALUE!</v>
      </c>
    </row>
    <row r="13" spans="1:28" x14ac:dyDescent="0.25">
      <c r="A13" t="str">
        <f t="shared" si="0"/>
        <v>CE27900</v>
      </c>
      <c r="B13" t="str">
        <f t="shared" si="1"/>
        <v>PE27900</v>
      </c>
      <c r="C13" t="s">
        <v>44</v>
      </c>
      <c r="D13" s="1" t="s">
        <v>14</v>
      </c>
      <c r="E13" s="1" t="s">
        <v>14</v>
      </c>
      <c r="F13" s="1" t="s">
        <v>14</v>
      </c>
      <c r="G13" s="1" t="s">
        <v>14</v>
      </c>
      <c r="H13" s="1" t="s">
        <v>14</v>
      </c>
      <c r="I13" s="1" t="s">
        <v>14</v>
      </c>
      <c r="J13" s="1">
        <v>460</v>
      </c>
      <c r="K13" s="1">
        <v>2959.7</v>
      </c>
      <c r="L13" s="1">
        <v>3204.4</v>
      </c>
      <c r="M13" s="1">
        <v>460</v>
      </c>
      <c r="N13" s="1">
        <v>27900</v>
      </c>
      <c r="O13" s="1">
        <v>400</v>
      </c>
      <c r="P13" s="1">
        <v>0.65</v>
      </c>
      <c r="Q13" s="1">
        <v>3.05</v>
      </c>
      <c r="R13" s="1">
        <v>800</v>
      </c>
      <c r="S13" s="1" t="s">
        <v>14</v>
      </c>
      <c r="T13" s="1" t="s">
        <v>14</v>
      </c>
      <c r="U13" s="1" t="s">
        <v>14</v>
      </c>
      <c r="V13" s="1" t="s">
        <v>14</v>
      </c>
      <c r="W13" s="1" t="s">
        <v>14</v>
      </c>
      <c r="X13" s="1" t="s">
        <v>14</v>
      </c>
      <c r="Y13" s="1" t="s">
        <v>44</v>
      </c>
      <c r="AA13" s="23" t="e">
        <f t="shared" si="2"/>
        <v>#VALUE!</v>
      </c>
    </row>
    <row r="14" spans="1:28" x14ac:dyDescent="0.25">
      <c r="A14" t="str">
        <f t="shared" si="0"/>
        <v>CE28000</v>
      </c>
      <c r="B14" t="str">
        <f t="shared" si="1"/>
        <v>PE28000</v>
      </c>
      <c r="C14" t="s">
        <v>44</v>
      </c>
      <c r="D14" s="1">
        <v>31940</v>
      </c>
      <c r="E14" s="1">
        <v>-860</v>
      </c>
      <c r="F14" s="1">
        <v>284</v>
      </c>
      <c r="G14" s="1">
        <v>51.57</v>
      </c>
      <c r="H14" s="1">
        <v>2990.6</v>
      </c>
      <c r="I14" s="1">
        <v>104.15</v>
      </c>
      <c r="J14" s="1">
        <v>20</v>
      </c>
      <c r="K14" s="1">
        <v>2959.85</v>
      </c>
      <c r="L14" s="1">
        <v>2974.05</v>
      </c>
      <c r="M14" s="1">
        <v>80</v>
      </c>
      <c r="N14" s="1">
        <v>28000</v>
      </c>
      <c r="O14" s="1">
        <v>20</v>
      </c>
      <c r="P14" s="1">
        <v>1.9</v>
      </c>
      <c r="Q14" s="1">
        <v>2.15</v>
      </c>
      <c r="R14" s="1">
        <v>200</v>
      </c>
      <c r="S14" s="1">
        <v>-0.05</v>
      </c>
      <c r="T14" s="1">
        <v>1.85</v>
      </c>
      <c r="U14" s="1">
        <v>53.28</v>
      </c>
      <c r="V14" s="1">
        <v>678</v>
      </c>
      <c r="W14" s="1">
        <v>-1120</v>
      </c>
      <c r="X14" s="1">
        <v>48400</v>
      </c>
      <c r="Y14" s="1" t="s">
        <v>44</v>
      </c>
      <c r="AA14" s="23">
        <f t="shared" si="2"/>
        <v>1.5153412648716342</v>
      </c>
    </row>
    <row r="15" spans="1:28" x14ac:dyDescent="0.25">
      <c r="A15" t="str">
        <f t="shared" si="0"/>
        <v>CE28100</v>
      </c>
      <c r="B15" t="str">
        <f t="shared" si="1"/>
        <v>PE28100</v>
      </c>
      <c r="C15" t="s">
        <v>44</v>
      </c>
      <c r="D15" s="1">
        <v>80</v>
      </c>
      <c r="E15" s="1" t="s">
        <v>14</v>
      </c>
      <c r="F15" s="1" t="s">
        <v>14</v>
      </c>
      <c r="G15" s="1" t="s">
        <v>14</v>
      </c>
      <c r="H15" s="1" t="s">
        <v>14</v>
      </c>
      <c r="I15" s="1" t="s">
        <v>14</v>
      </c>
      <c r="J15" s="1">
        <v>460</v>
      </c>
      <c r="K15" s="1">
        <v>2777.1</v>
      </c>
      <c r="L15" s="1">
        <v>2996.6</v>
      </c>
      <c r="M15" s="1">
        <v>40</v>
      </c>
      <c r="N15" s="1">
        <v>28100</v>
      </c>
      <c r="O15" s="1">
        <v>600</v>
      </c>
      <c r="P15" s="1">
        <v>0.6</v>
      </c>
      <c r="Q15" s="1">
        <v>2.8</v>
      </c>
      <c r="R15" s="1">
        <v>20</v>
      </c>
      <c r="S15" s="1" t="s">
        <v>14</v>
      </c>
      <c r="T15" s="1" t="s">
        <v>14</v>
      </c>
      <c r="U15" s="1" t="s">
        <v>14</v>
      </c>
      <c r="V15" s="1" t="s">
        <v>14</v>
      </c>
      <c r="W15" s="1" t="s">
        <v>14</v>
      </c>
      <c r="X15" s="1">
        <v>80</v>
      </c>
      <c r="Y15" s="1" t="s">
        <v>44</v>
      </c>
      <c r="AA15" s="23">
        <f t="shared" si="2"/>
        <v>1</v>
      </c>
    </row>
    <row r="16" spans="1:28" x14ac:dyDescent="0.25">
      <c r="A16" t="str">
        <f t="shared" si="0"/>
        <v>CE28200</v>
      </c>
      <c r="B16" t="str">
        <f t="shared" si="1"/>
        <v>PE28200</v>
      </c>
      <c r="C16" t="s">
        <v>44</v>
      </c>
      <c r="D16" s="1">
        <v>200</v>
      </c>
      <c r="E16" s="1">
        <v>-100</v>
      </c>
      <c r="F16" s="1">
        <v>18</v>
      </c>
      <c r="G16" s="1">
        <v>71.2</v>
      </c>
      <c r="H16" s="1">
        <v>2812.1</v>
      </c>
      <c r="I16" s="1">
        <v>-76.349999999999994</v>
      </c>
      <c r="J16" s="1">
        <v>400</v>
      </c>
      <c r="K16" s="1">
        <v>2698.75</v>
      </c>
      <c r="L16" s="1">
        <v>2812.7</v>
      </c>
      <c r="M16" s="1">
        <v>460</v>
      </c>
      <c r="N16" s="1">
        <v>28200</v>
      </c>
      <c r="O16" s="1">
        <v>20</v>
      </c>
      <c r="P16" s="1">
        <v>1.3</v>
      </c>
      <c r="Q16" s="1">
        <v>2.4500000000000002</v>
      </c>
      <c r="R16" s="1">
        <v>20</v>
      </c>
      <c r="S16" s="1">
        <v>1</v>
      </c>
      <c r="T16" s="1">
        <v>2</v>
      </c>
      <c r="U16" s="1">
        <v>50.36</v>
      </c>
      <c r="V16" s="1">
        <v>25</v>
      </c>
      <c r="W16" s="1">
        <v>60</v>
      </c>
      <c r="X16" s="1">
        <v>400</v>
      </c>
      <c r="Y16" s="1" t="s">
        <v>44</v>
      </c>
      <c r="AA16" s="23">
        <f t="shared" si="2"/>
        <v>2</v>
      </c>
    </row>
    <row r="17" spans="1:27" x14ac:dyDescent="0.25">
      <c r="A17" t="str">
        <f t="shared" si="0"/>
        <v>CE28300</v>
      </c>
      <c r="B17" t="str">
        <f t="shared" si="1"/>
        <v>PE28300</v>
      </c>
      <c r="C17" t="s">
        <v>44</v>
      </c>
      <c r="D17" s="1" t="s">
        <v>14</v>
      </c>
      <c r="E17" s="1" t="s">
        <v>14</v>
      </c>
      <c r="F17" s="1" t="s">
        <v>14</v>
      </c>
      <c r="G17" s="1" t="s">
        <v>14</v>
      </c>
      <c r="H17" s="1" t="s">
        <v>14</v>
      </c>
      <c r="I17" s="1" t="s">
        <v>14</v>
      </c>
      <c r="J17" s="1">
        <v>760</v>
      </c>
      <c r="K17" s="1">
        <v>2566.85</v>
      </c>
      <c r="L17" s="1">
        <v>2803.7</v>
      </c>
      <c r="M17" s="1">
        <v>440</v>
      </c>
      <c r="N17" s="1">
        <v>28300</v>
      </c>
      <c r="O17" s="1">
        <v>800</v>
      </c>
      <c r="P17" s="1">
        <v>1</v>
      </c>
      <c r="Q17" s="1" t="s">
        <v>14</v>
      </c>
      <c r="R17" s="1" t="s">
        <v>14</v>
      </c>
      <c r="S17" s="1" t="s">
        <v>14</v>
      </c>
      <c r="T17" s="1">
        <v>0.9</v>
      </c>
      <c r="U17" s="1">
        <v>44.73</v>
      </c>
      <c r="V17" s="1">
        <v>2</v>
      </c>
      <c r="W17" s="1">
        <v>20</v>
      </c>
      <c r="X17" s="1">
        <v>40</v>
      </c>
      <c r="Y17" s="1" t="s">
        <v>44</v>
      </c>
      <c r="AA17" s="23" t="e">
        <f t="shared" si="2"/>
        <v>#VALUE!</v>
      </c>
    </row>
    <row r="18" spans="1:27" x14ac:dyDescent="0.25">
      <c r="A18" t="str">
        <f t="shared" si="0"/>
        <v>CE28400</v>
      </c>
      <c r="B18" t="str">
        <f t="shared" si="1"/>
        <v>PE28400</v>
      </c>
      <c r="C18" t="s">
        <v>44</v>
      </c>
      <c r="D18" s="1" t="s">
        <v>14</v>
      </c>
      <c r="E18" s="1" t="s">
        <v>14</v>
      </c>
      <c r="F18" s="1" t="s">
        <v>14</v>
      </c>
      <c r="G18" s="1" t="s">
        <v>14</v>
      </c>
      <c r="H18" s="1" t="s">
        <v>14</v>
      </c>
      <c r="I18" s="1" t="s">
        <v>14</v>
      </c>
      <c r="J18" s="1">
        <v>440</v>
      </c>
      <c r="K18" s="1">
        <v>2478.5500000000002</v>
      </c>
      <c r="L18" s="1">
        <v>2703</v>
      </c>
      <c r="M18" s="1">
        <v>440</v>
      </c>
      <c r="N18" s="1">
        <v>28400</v>
      </c>
      <c r="O18" s="1">
        <v>1200</v>
      </c>
      <c r="P18" s="1">
        <v>0.55000000000000004</v>
      </c>
      <c r="Q18" s="1" t="s">
        <v>14</v>
      </c>
      <c r="R18" s="1" t="s">
        <v>14</v>
      </c>
      <c r="S18" s="1" t="s">
        <v>14</v>
      </c>
      <c r="T18" s="1" t="s">
        <v>14</v>
      </c>
      <c r="U18" s="1" t="s">
        <v>14</v>
      </c>
      <c r="V18" s="1" t="s">
        <v>14</v>
      </c>
      <c r="W18" s="1" t="s">
        <v>14</v>
      </c>
      <c r="X18" s="1" t="s">
        <v>14</v>
      </c>
      <c r="Y18" s="1" t="s">
        <v>44</v>
      </c>
      <c r="AA18" s="23" t="e">
        <f t="shared" si="2"/>
        <v>#VALUE!</v>
      </c>
    </row>
    <row r="19" spans="1:27" x14ac:dyDescent="0.25">
      <c r="A19" t="str">
        <f t="shared" si="0"/>
        <v>CE28500</v>
      </c>
      <c r="B19" t="str">
        <f t="shared" si="1"/>
        <v>PE28500</v>
      </c>
      <c r="C19" t="s">
        <v>44</v>
      </c>
      <c r="D19" s="1">
        <v>7280</v>
      </c>
      <c r="E19" s="1">
        <v>-60</v>
      </c>
      <c r="F19" s="1">
        <v>88</v>
      </c>
      <c r="G19" s="1">
        <v>39.21</v>
      </c>
      <c r="H19" s="1">
        <v>2490</v>
      </c>
      <c r="I19" s="1">
        <v>101.65</v>
      </c>
      <c r="J19" s="1">
        <v>20</v>
      </c>
      <c r="K19" s="1">
        <v>2460.0500000000002</v>
      </c>
      <c r="L19" s="1">
        <v>2476.75</v>
      </c>
      <c r="M19" s="1">
        <v>20</v>
      </c>
      <c r="N19" s="1">
        <v>28500</v>
      </c>
      <c r="O19" s="1">
        <v>20</v>
      </c>
      <c r="P19" s="1">
        <v>1.9</v>
      </c>
      <c r="Q19" s="1">
        <v>2.2000000000000002</v>
      </c>
      <c r="R19" s="1">
        <v>120</v>
      </c>
      <c r="S19" s="1">
        <v>-0.9</v>
      </c>
      <c r="T19" s="1">
        <v>2.15</v>
      </c>
      <c r="U19" s="1">
        <v>45.67</v>
      </c>
      <c r="V19" s="1">
        <v>266</v>
      </c>
      <c r="W19" s="1">
        <v>-1860</v>
      </c>
      <c r="X19" s="1">
        <v>19540</v>
      </c>
      <c r="Y19" s="1" t="s">
        <v>44</v>
      </c>
      <c r="AA19" s="23">
        <f t="shared" si="2"/>
        <v>2.6840659340659339</v>
      </c>
    </row>
    <row r="20" spans="1:27" x14ac:dyDescent="0.25">
      <c r="A20" t="str">
        <f t="shared" si="0"/>
        <v>CE28600</v>
      </c>
      <c r="B20" t="str">
        <f t="shared" si="1"/>
        <v>PE28600</v>
      </c>
      <c r="C20" t="s">
        <v>44</v>
      </c>
      <c r="D20" s="1" t="s">
        <v>14</v>
      </c>
      <c r="E20" s="1" t="s">
        <v>14</v>
      </c>
      <c r="F20" s="1" t="s">
        <v>14</v>
      </c>
      <c r="G20" s="1" t="s">
        <v>14</v>
      </c>
      <c r="H20" s="1" t="s">
        <v>14</v>
      </c>
      <c r="I20" s="1" t="s">
        <v>14</v>
      </c>
      <c r="J20" s="1">
        <v>440</v>
      </c>
      <c r="K20" s="1">
        <v>2272.5</v>
      </c>
      <c r="L20" s="1">
        <v>2499.25</v>
      </c>
      <c r="M20" s="1">
        <v>140</v>
      </c>
      <c r="N20" s="1">
        <v>28600</v>
      </c>
      <c r="O20" s="1">
        <v>20</v>
      </c>
      <c r="P20" s="1">
        <v>1.9</v>
      </c>
      <c r="Q20" s="1">
        <v>2</v>
      </c>
      <c r="R20" s="1">
        <v>20</v>
      </c>
      <c r="S20" s="1">
        <v>-2.4500000000000002</v>
      </c>
      <c r="T20" s="1">
        <v>2.0499999999999998</v>
      </c>
      <c r="U20" s="1">
        <v>43.73</v>
      </c>
      <c r="V20" s="1">
        <v>78</v>
      </c>
      <c r="W20" s="1">
        <v>-200</v>
      </c>
      <c r="X20" s="1">
        <v>1820</v>
      </c>
      <c r="Y20" s="1" t="s">
        <v>44</v>
      </c>
      <c r="AA20" s="23" t="e">
        <f t="shared" si="2"/>
        <v>#VALUE!</v>
      </c>
    </row>
    <row r="21" spans="1:27" x14ac:dyDescent="0.25">
      <c r="A21" t="str">
        <f t="shared" si="0"/>
        <v>CE28700</v>
      </c>
      <c r="B21" t="str">
        <f t="shared" si="1"/>
        <v>PE28700</v>
      </c>
      <c r="C21" t="s">
        <v>44</v>
      </c>
      <c r="D21" s="1" t="s">
        <v>14</v>
      </c>
      <c r="E21" s="1" t="s">
        <v>14</v>
      </c>
      <c r="F21" s="1" t="s">
        <v>14</v>
      </c>
      <c r="G21" s="1" t="s">
        <v>14</v>
      </c>
      <c r="H21" s="1" t="s">
        <v>14</v>
      </c>
      <c r="I21" s="1" t="s">
        <v>14</v>
      </c>
      <c r="J21" s="1">
        <v>440</v>
      </c>
      <c r="K21" s="1">
        <v>2179.15</v>
      </c>
      <c r="L21" s="1">
        <v>2403.75</v>
      </c>
      <c r="M21" s="1">
        <v>440</v>
      </c>
      <c r="N21" s="1">
        <v>28700</v>
      </c>
      <c r="O21" s="1">
        <v>1200</v>
      </c>
      <c r="P21" s="1">
        <v>1.05</v>
      </c>
      <c r="Q21" s="1" t="s">
        <v>14</v>
      </c>
      <c r="R21" s="1" t="s">
        <v>14</v>
      </c>
      <c r="S21" s="1" t="s">
        <v>14</v>
      </c>
      <c r="T21" s="1" t="s">
        <v>14</v>
      </c>
      <c r="U21" s="1" t="s">
        <v>14</v>
      </c>
      <c r="V21" s="1" t="s">
        <v>14</v>
      </c>
      <c r="W21" s="1" t="s">
        <v>14</v>
      </c>
      <c r="X21" s="1" t="s">
        <v>14</v>
      </c>
      <c r="Y21" s="1" t="s">
        <v>44</v>
      </c>
      <c r="AA21" s="23" t="e">
        <f t="shared" si="2"/>
        <v>#VALUE!</v>
      </c>
    </row>
    <row r="22" spans="1:27" x14ac:dyDescent="0.25">
      <c r="A22" t="str">
        <f t="shared" si="0"/>
        <v>CE28800</v>
      </c>
      <c r="B22" t="str">
        <f t="shared" si="1"/>
        <v>PE28800</v>
      </c>
      <c r="C22" t="s">
        <v>44</v>
      </c>
      <c r="D22" s="1" t="s">
        <v>14</v>
      </c>
      <c r="E22" s="1" t="s">
        <v>14</v>
      </c>
      <c r="F22" s="1" t="s">
        <v>14</v>
      </c>
      <c r="G22" s="1" t="s">
        <v>14</v>
      </c>
      <c r="H22" s="1" t="s">
        <v>14</v>
      </c>
      <c r="I22" s="1" t="s">
        <v>14</v>
      </c>
      <c r="J22" s="1">
        <v>440</v>
      </c>
      <c r="K22" s="1">
        <v>2076.5</v>
      </c>
      <c r="L22" s="1">
        <v>2303.1999999999998</v>
      </c>
      <c r="M22" s="1">
        <v>440</v>
      </c>
      <c r="N22" s="1">
        <v>28800</v>
      </c>
      <c r="O22" s="1">
        <v>1200</v>
      </c>
      <c r="P22" s="1">
        <v>1.05</v>
      </c>
      <c r="Q22" s="1" t="s">
        <v>14</v>
      </c>
      <c r="R22" s="1" t="s">
        <v>14</v>
      </c>
      <c r="S22" s="1" t="s">
        <v>14</v>
      </c>
      <c r="T22" s="1" t="s">
        <v>14</v>
      </c>
      <c r="U22" s="1" t="s">
        <v>14</v>
      </c>
      <c r="V22" s="1" t="s">
        <v>14</v>
      </c>
      <c r="W22" s="1" t="s">
        <v>14</v>
      </c>
      <c r="X22" s="1">
        <v>280</v>
      </c>
      <c r="Y22" s="1" t="s">
        <v>44</v>
      </c>
      <c r="AA22" s="23" t="e">
        <f t="shared" si="2"/>
        <v>#VALUE!</v>
      </c>
    </row>
    <row r="23" spans="1:27" x14ac:dyDescent="0.25">
      <c r="A23" t="str">
        <f t="shared" si="0"/>
        <v>CE28900</v>
      </c>
      <c r="B23" t="str">
        <f t="shared" si="1"/>
        <v>PE28900</v>
      </c>
      <c r="C23" t="s">
        <v>44</v>
      </c>
      <c r="D23" s="1" t="s">
        <v>14</v>
      </c>
      <c r="E23" s="1" t="s">
        <v>14</v>
      </c>
      <c r="F23" s="1" t="s">
        <v>14</v>
      </c>
      <c r="G23" s="1" t="s">
        <v>14</v>
      </c>
      <c r="H23" s="1" t="s">
        <v>14</v>
      </c>
      <c r="I23" s="1" t="s">
        <v>14</v>
      </c>
      <c r="J23" s="1">
        <v>440</v>
      </c>
      <c r="K23" s="1">
        <v>1979.65</v>
      </c>
      <c r="L23" s="1">
        <v>2195</v>
      </c>
      <c r="M23" s="1">
        <v>140</v>
      </c>
      <c r="N23" s="1">
        <v>28900</v>
      </c>
      <c r="O23" s="1">
        <v>1000</v>
      </c>
      <c r="P23" s="1">
        <v>1.3</v>
      </c>
      <c r="Q23" s="1">
        <v>4.5</v>
      </c>
      <c r="R23" s="1">
        <v>600</v>
      </c>
      <c r="S23" s="1" t="s">
        <v>14</v>
      </c>
      <c r="T23" s="1" t="s">
        <v>14</v>
      </c>
      <c r="U23" s="1" t="s">
        <v>14</v>
      </c>
      <c r="V23" s="1" t="s">
        <v>14</v>
      </c>
      <c r="W23" s="1" t="s">
        <v>14</v>
      </c>
      <c r="X23" s="1">
        <v>20</v>
      </c>
      <c r="Y23" s="1" t="s">
        <v>44</v>
      </c>
      <c r="AA23" s="23" t="e">
        <f t="shared" si="2"/>
        <v>#VALUE!</v>
      </c>
    </row>
    <row r="24" spans="1:27" x14ac:dyDescent="0.25">
      <c r="A24" t="str">
        <f t="shared" si="0"/>
        <v>CE29000</v>
      </c>
      <c r="B24" t="str">
        <f t="shared" si="1"/>
        <v>PE29000</v>
      </c>
      <c r="C24" t="s">
        <v>44</v>
      </c>
      <c r="D24" s="1">
        <v>4380</v>
      </c>
      <c r="E24" s="1">
        <v>120</v>
      </c>
      <c r="F24" s="1">
        <v>101</v>
      </c>
      <c r="G24" s="1">
        <v>56.19</v>
      </c>
      <c r="H24" s="1">
        <v>2019</v>
      </c>
      <c r="I24" s="1">
        <v>146.25</v>
      </c>
      <c r="J24" s="1">
        <v>20</v>
      </c>
      <c r="K24" s="1">
        <v>1950.55</v>
      </c>
      <c r="L24" s="1">
        <v>1972.4</v>
      </c>
      <c r="M24" s="1">
        <v>240</v>
      </c>
      <c r="N24" s="1">
        <v>29000</v>
      </c>
      <c r="O24" s="1">
        <v>280</v>
      </c>
      <c r="P24" s="1">
        <v>2.2999999999999998</v>
      </c>
      <c r="Q24" s="1">
        <v>2.35</v>
      </c>
      <c r="R24" s="1">
        <v>120</v>
      </c>
      <c r="S24" s="1">
        <v>-1.6</v>
      </c>
      <c r="T24" s="1">
        <v>2.35</v>
      </c>
      <c r="U24" s="1">
        <v>37.56</v>
      </c>
      <c r="V24" s="1">
        <v>5669</v>
      </c>
      <c r="W24" s="1">
        <v>-10920</v>
      </c>
      <c r="X24" s="1">
        <v>108380</v>
      </c>
      <c r="Y24" s="1" t="s">
        <v>44</v>
      </c>
      <c r="AA24" s="23">
        <f t="shared" si="2"/>
        <v>24.744292237442924</v>
      </c>
    </row>
    <row r="25" spans="1:27" x14ac:dyDescent="0.25">
      <c r="A25" t="str">
        <f t="shared" si="0"/>
        <v>CE29100</v>
      </c>
      <c r="B25" t="str">
        <f t="shared" si="1"/>
        <v>PE29100</v>
      </c>
      <c r="C25" t="s">
        <v>44</v>
      </c>
      <c r="D25" s="1" t="s">
        <v>14</v>
      </c>
      <c r="E25" s="1" t="s">
        <v>14</v>
      </c>
      <c r="F25" s="1" t="s">
        <v>14</v>
      </c>
      <c r="G25" s="1" t="s">
        <v>14</v>
      </c>
      <c r="H25" s="1" t="s">
        <v>14</v>
      </c>
      <c r="I25" s="1" t="s">
        <v>14</v>
      </c>
      <c r="J25" s="1">
        <v>440</v>
      </c>
      <c r="K25" s="1">
        <v>1745.8</v>
      </c>
      <c r="L25" s="1">
        <v>1996.6</v>
      </c>
      <c r="M25" s="1">
        <v>140</v>
      </c>
      <c r="N25" s="1">
        <v>29100</v>
      </c>
      <c r="O25" s="1">
        <v>20</v>
      </c>
      <c r="P25" s="1">
        <v>2.25</v>
      </c>
      <c r="Q25" s="1">
        <v>3.5</v>
      </c>
      <c r="R25" s="1">
        <v>320</v>
      </c>
      <c r="S25" s="1">
        <v>-1.35</v>
      </c>
      <c r="T25" s="1">
        <v>2.9</v>
      </c>
      <c r="U25" s="1">
        <v>36.799999999999997</v>
      </c>
      <c r="V25" s="1">
        <v>169</v>
      </c>
      <c r="W25" s="1">
        <v>400</v>
      </c>
      <c r="X25" s="1">
        <v>1040</v>
      </c>
      <c r="Y25" s="1" t="s">
        <v>44</v>
      </c>
      <c r="AA25" s="23" t="e">
        <f t="shared" si="2"/>
        <v>#VALUE!</v>
      </c>
    </row>
    <row r="26" spans="1:27" x14ac:dyDescent="0.25">
      <c r="A26" t="str">
        <f t="shared" si="0"/>
        <v>CE29200</v>
      </c>
      <c r="B26" t="str">
        <f t="shared" si="1"/>
        <v>PE29200</v>
      </c>
      <c r="C26" t="s">
        <v>44</v>
      </c>
      <c r="D26" s="1" t="s">
        <v>14</v>
      </c>
      <c r="E26" s="1" t="s">
        <v>14</v>
      </c>
      <c r="F26" s="1" t="s">
        <v>14</v>
      </c>
      <c r="G26" s="1" t="s">
        <v>14</v>
      </c>
      <c r="H26" s="1" t="s">
        <v>14</v>
      </c>
      <c r="I26" s="1" t="s">
        <v>14</v>
      </c>
      <c r="J26" s="1">
        <v>440</v>
      </c>
      <c r="K26" s="1">
        <v>1652.5</v>
      </c>
      <c r="L26" s="1">
        <v>1897.45</v>
      </c>
      <c r="M26" s="1">
        <v>140</v>
      </c>
      <c r="N26" s="1">
        <v>29200</v>
      </c>
      <c r="O26" s="1">
        <v>100</v>
      </c>
      <c r="P26" s="1">
        <v>2.0499999999999998</v>
      </c>
      <c r="Q26" s="1">
        <v>2.4500000000000002</v>
      </c>
      <c r="R26" s="1">
        <v>20</v>
      </c>
      <c r="S26" s="1">
        <v>-1.55</v>
      </c>
      <c r="T26" s="1">
        <v>2.35</v>
      </c>
      <c r="U26" s="1">
        <v>34.119999999999997</v>
      </c>
      <c r="V26" s="1">
        <v>505</v>
      </c>
      <c r="W26" s="1">
        <v>-860</v>
      </c>
      <c r="X26" s="1">
        <v>2400</v>
      </c>
      <c r="Y26" s="1" t="s">
        <v>44</v>
      </c>
      <c r="AA26" s="23" t="e">
        <f t="shared" si="2"/>
        <v>#VALUE!</v>
      </c>
    </row>
    <row r="27" spans="1:27" x14ac:dyDescent="0.25">
      <c r="A27" t="str">
        <f t="shared" si="0"/>
        <v>CE29300</v>
      </c>
      <c r="B27" t="str">
        <f t="shared" si="1"/>
        <v>PE29300</v>
      </c>
      <c r="C27" t="s">
        <v>44</v>
      </c>
      <c r="D27" s="1" t="s">
        <v>14</v>
      </c>
      <c r="E27" s="1" t="s">
        <v>14</v>
      </c>
      <c r="F27" s="1" t="s">
        <v>14</v>
      </c>
      <c r="G27" s="1" t="s">
        <v>14</v>
      </c>
      <c r="H27" s="1" t="s">
        <v>14</v>
      </c>
      <c r="I27" s="1" t="s">
        <v>14</v>
      </c>
      <c r="J27" s="1">
        <v>440</v>
      </c>
      <c r="K27" s="1">
        <v>1545.5</v>
      </c>
      <c r="L27" s="1">
        <v>1793.7</v>
      </c>
      <c r="M27" s="1">
        <v>140</v>
      </c>
      <c r="N27" s="1">
        <v>29300</v>
      </c>
      <c r="O27" s="1">
        <v>80</v>
      </c>
      <c r="P27" s="1">
        <v>2.15</v>
      </c>
      <c r="Q27" s="1">
        <v>2.5</v>
      </c>
      <c r="R27" s="1">
        <v>80</v>
      </c>
      <c r="S27" s="1">
        <v>-2.25</v>
      </c>
      <c r="T27" s="1">
        <v>2.4</v>
      </c>
      <c r="U27" s="1">
        <v>32.39</v>
      </c>
      <c r="V27" s="1">
        <v>1131</v>
      </c>
      <c r="W27" s="1">
        <v>1120</v>
      </c>
      <c r="X27" s="1">
        <v>9480</v>
      </c>
      <c r="Y27" s="1" t="s">
        <v>44</v>
      </c>
      <c r="AA27" s="23" t="e">
        <f t="shared" si="2"/>
        <v>#VALUE!</v>
      </c>
    </row>
    <row r="28" spans="1:27" x14ac:dyDescent="0.25">
      <c r="A28" t="str">
        <f t="shared" si="0"/>
        <v>CE29400</v>
      </c>
      <c r="B28" t="str">
        <f t="shared" si="1"/>
        <v>PE29400</v>
      </c>
      <c r="C28" t="s">
        <v>44</v>
      </c>
      <c r="D28" s="1" t="s">
        <v>14</v>
      </c>
      <c r="E28" s="1" t="s">
        <v>14</v>
      </c>
      <c r="F28" s="1" t="s">
        <v>14</v>
      </c>
      <c r="G28" s="1" t="s">
        <v>14</v>
      </c>
      <c r="H28" s="1" t="s">
        <v>14</v>
      </c>
      <c r="I28" s="1" t="s">
        <v>14</v>
      </c>
      <c r="J28" s="1">
        <v>200</v>
      </c>
      <c r="K28" s="1">
        <v>1511.35</v>
      </c>
      <c r="L28" s="1">
        <v>1630.15</v>
      </c>
      <c r="M28" s="1">
        <v>440</v>
      </c>
      <c r="N28" s="1">
        <v>29400</v>
      </c>
      <c r="O28" s="1">
        <v>100</v>
      </c>
      <c r="P28" s="1">
        <v>2.2999999999999998</v>
      </c>
      <c r="Q28" s="1">
        <v>2.4</v>
      </c>
      <c r="R28" s="1">
        <v>60</v>
      </c>
      <c r="S28" s="1">
        <v>-2.65</v>
      </c>
      <c r="T28" s="1">
        <v>2.35</v>
      </c>
      <c r="U28" s="1">
        <v>30.66</v>
      </c>
      <c r="V28" s="1">
        <v>2376</v>
      </c>
      <c r="W28" s="1">
        <v>-500</v>
      </c>
      <c r="X28" s="1">
        <v>8440</v>
      </c>
      <c r="Y28" s="1" t="s">
        <v>44</v>
      </c>
      <c r="AA28" s="23" t="e">
        <f t="shared" si="2"/>
        <v>#VALUE!</v>
      </c>
    </row>
    <row r="29" spans="1:27" x14ac:dyDescent="0.25">
      <c r="A29" t="str">
        <f t="shared" si="0"/>
        <v>CE29500</v>
      </c>
      <c r="B29" t="str">
        <f t="shared" si="1"/>
        <v>PE29500</v>
      </c>
      <c r="C29" t="s">
        <v>44</v>
      </c>
      <c r="D29" s="1">
        <v>16120</v>
      </c>
      <c r="E29" s="1">
        <v>-340</v>
      </c>
      <c r="F29" s="1">
        <v>193</v>
      </c>
      <c r="G29" s="1" t="s">
        <v>14</v>
      </c>
      <c r="H29" s="1">
        <v>1481.25</v>
      </c>
      <c r="I29" s="1">
        <v>81.55</v>
      </c>
      <c r="J29" s="1">
        <v>400</v>
      </c>
      <c r="K29" s="1">
        <v>1453.55</v>
      </c>
      <c r="L29" s="1">
        <v>1473.7</v>
      </c>
      <c r="M29" s="1">
        <v>20</v>
      </c>
      <c r="N29" s="1">
        <v>29500</v>
      </c>
      <c r="O29" s="1">
        <v>420</v>
      </c>
      <c r="P29" s="1">
        <v>2.95</v>
      </c>
      <c r="Q29" s="1">
        <v>3</v>
      </c>
      <c r="R29" s="1">
        <v>620</v>
      </c>
      <c r="S29" s="1">
        <v>-3.65</v>
      </c>
      <c r="T29" s="1">
        <v>2.95</v>
      </c>
      <c r="U29" s="1">
        <v>29.74</v>
      </c>
      <c r="V29" s="1">
        <v>35536</v>
      </c>
      <c r="W29" s="1">
        <v>-23880</v>
      </c>
      <c r="X29" s="1">
        <v>402120</v>
      </c>
      <c r="Y29" s="1" t="s">
        <v>44</v>
      </c>
      <c r="AA29" s="23">
        <f t="shared" si="2"/>
        <v>24.945409429280396</v>
      </c>
    </row>
    <row r="30" spans="1:27" x14ac:dyDescent="0.25">
      <c r="A30" t="str">
        <f t="shared" si="0"/>
        <v>CE29600</v>
      </c>
      <c r="B30" t="str">
        <f t="shared" si="1"/>
        <v>PE29600</v>
      </c>
      <c r="C30" t="s">
        <v>44</v>
      </c>
      <c r="D30" s="1">
        <v>240</v>
      </c>
      <c r="E30" s="1" t="s">
        <v>14</v>
      </c>
      <c r="F30" s="1" t="s">
        <v>14</v>
      </c>
      <c r="G30" s="1" t="s">
        <v>14</v>
      </c>
      <c r="H30" s="1" t="s">
        <v>14</v>
      </c>
      <c r="I30" s="1" t="s">
        <v>14</v>
      </c>
      <c r="J30" s="1">
        <v>20</v>
      </c>
      <c r="K30" s="1">
        <v>1320.05</v>
      </c>
      <c r="L30" s="1">
        <v>1414.35</v>
      </c>
      <c r="M30" s="1">
        <v>20</v>
      </c>
      <c r="N30" s="1">
        <v>29600</v>
      </c>
      <c r="O30" s="1">
        <v>240</v>
      </c>
      <c r="P30" s="1">
        <v>3.3</v>
      </c>
      <c r="Q30" s="1">
        <v>3.45</v>
      </c>
      <c r="R30" s="1">
        <v>180</v>
      </c>
      <c r="S30" s="1">
        <v>-3.9</v>
      </c>
      <c r="T30" s="1">
        <v>3.3</v>
      </c>
      <c r="U30" s="1">
        <v>28.21</v>
      </c>
      <c r="V30" s="1">
        <v>16030</v>
      </c>
      <c r="W30" s="1">
        <v>-5020</v>
      </c>
      <c r="X30" s="1">
        <v>95800</v>
      </c>
      <c r="Y30" s="1" t="s">
        <v>44</v>
      </c>
      <c r="AA30" s="23">
        <f t="shared" si="2"/>
        <v>399.16666666666669</v>
      </c>
    </row>
    <row r="31" spans="1:27" x14ac:dyDescent="0.25">
      <c r="A31" t="str">
        <f t="shared" si="0"/>
        <v>CE29700</v>
      </c>
      <c r="B31" t="str">
        <f t="shared" si="1"/>
        <v>PE29700</v>
      </c>
      <c r="C31" t="s">
        <v>44</v>
      </c>
      <c r="D31" s="1" t="s">
        <v>14</v>
      </c>
      <c r="E31" s="1" t="s">
        <v>14</v>
      </c>
      <c r="F31" s="1" t="s">
        <v>14</v>
      </c>
      <c r="G31" s="1" t="s">
        <v>14</v>
      </c>
      <c r="H31" s="1" t="s">
        <v>14</v>
      </c>
      <c r="I31" s="1" t="s">
        <v>14</v>
      </c>
      <c r="J31" s="1">
        <v>540</v>
      </c>
      <c r="K31" s="1">
        <v>1174.25</v>
      </c>
      <c r="L31" s="1">
        <v>1379.1</v>
      </c>
      <c r="M31" s="1">
        <v>140</v>
      </c>
      <c r="N31" s="1">
        <v>29700</v>
      </c>
      <c r="O31" s="1">
        <v>220</v>
      </c>
      <c r="P31" s="1">
        <v>4.6500000000000004</v>
      </c>
      <c r="Q31" s="1">
        <v>4.8</v>
      </c>
      <c r="R31" s="1">
        <v>100</v>
      </c>
      <c r="S31" s="1">
        <v>-5.15</v>
      </c>
      <c r="T31" s="1">
        <v>4.55</v>
      </c>
      <c r="U31" s="1">
        <v>27.55</v>
      </c>
      <c r="V31" s="1">
        <v>22274</v>
      </c>
      <c r="W31" s="1">
        <v>-1140</v>
      </c>
      <c r="X31" s="1">
        <v>139640</v>
      </c>
      <c r="Y31" s="1" t="s">
        <v>44</v>
      </c>
      <c r="AA31" s="23" t="e">
        <f t="shared" si="2"/>
        <v>#VALUE!</v>
      </c>
    </row>
    <row r="32" spans="1:27" x14ac:dyDescent="0.25">
      <c r="A32" t="str">
        <f t="shared" si="0"/>
        <v>CE29800</v>
      </c>
      <c r="B32" t="str">
        <f t="shared" si="1"/>
        <v>PE29800</v>
      </c>
      <c r="C32" t="s">
        <v>44</v>
      </c>
      <c r="D32" s="1" t="s">
        <v>14</v>
      </c>
      <c r="E32" s="1" t="s">
        <v>14</v>
      </c>
      <c r="F32" s="1" t="s">
        <v>14</v>
      </c>
      <c r="G32" s="1" t="s">
        <v>14</v>
      </c>
      <c r="H32" s="1" t="s">
        <v>14</v>
      </c>
      <c r="I32" s="1" t="s">
        <v>14</v>
      </c>
      <c r="J32" s="1">
        <v>540</v>
      </c>
      <c r="K32" s="1">
        <v>1076.8</v>
      </c>
      <c r="L32" s="1">
        <v>1277.8</v>
      </c>
      <c r="M32" s="1">
        <v>140</v>
      </c>
      <c r="N32" s="1">
        <v>29800</v>
      </c>
      <c r="O32" s="1">
        <v>40</v>
      </c>
      <c r="P32" s="1">
        <v>6.5</v>
      </c>
      <c r="Q32" s="1">
        <v>6.65</v>
      </c>
      <c r="R32" s="1">
        <v>160</v>
      </c>
      <c r="S32" s="1">
        <v>-6.6</v>
      </c>
      <c r="T32" s="1">
        <v>6.5</v>
      </c>
      <c r="U32" s="1">
        <v>27.28</v>
      </c>
      <c r="V32" s="1">
        <v>36486</v>
      </c>
      <c r="W32" s="1">
        <v>5940</v>
      </c>
      <c r="X32" s="1">
        <v>133980</v>
      </c>
      <c r="Y32" s="1" t="s">
        <v>44</v>
      </c>
      <c r="AA32" s="23" t="e">
        <f t="shared" si="2"/>
        <v>#VALUE!</v>
      </c>
    </row>
    <row r="33" spans="1:27" x14ac:dyDescent="0.25">
      <c r="A33" t="str">
        <f t="shared" si="0"/>
        <v>CE29900</v>
      </c>
      <c r="B33" t="str">
        <f t="shared" si="1"/>
        <v>PE29900</v>
      </c>
      <c r="C33" t="s">
        <v>44</v>
      </c>
      <c r="D33" s="1">
        <v>80</v>
      </c>
      <c r="E33" s="1" t="s">
        <v>14</v>
      </c>
      <c r="F33" s="1" t="s">
        <v>14</v>
      </c>
      <c r="G33" s="1" t="s">
        <v>14</v>
      </c>
      <c r="H33" s="1" t="s">
        <v>14</v>
      </c>
      <c r="I33" s="1" t="s">
        <v>14</v>
      </c>
      <c r="J33" s="1">
        <v>20</v>
      </c>
      <c r="K33" s="1">
        <v>983.35</v>
      </c>
      <c r="L33" s="1">
        <v>1132.95</v>
      </c>
      <c r="M33" s="1">
        <v>20</v>
      </c>
      <c r="N33" s="1">
        <v>29900</v>
      </c>
      <c r="O33" s="1">
        <v>280</v>
      </c>
      <c r="P33" s="1">
        <v>9.1</v>
      </c>
      <c r="Q33" s="1">
        <v>9.25</v>
      </c>
      <c r="R33" s="1">
        <v>120</v>
      </c>
      <c r="S33" s="1">
        <v>-8.9</v>
      </c>
      <c r="T33" s="1">
        <v>9.15</v>
      </c>
      <c r="U33" s="1">
        <v>26.78</v>
      </c>
      <c r="V33" s="1">
        <v>47851</v>
      </c>
      <c r="W33" s="1">
        <v>49780</v>
      </c>
      <c r="X33" s="1">
        <v>142240</v>
      </c>
      <c r="Y33" s="1" t="s">
        <v>44</v>
      </c>
      <c r="AA33" s="23">
        <f t="shared" si="2"/>
        <v>1778</v>
      </c>
    </row>
    <row r="34" spans="1:27" x14ac:dyDescent="0.25">
      <c r="A34" t="str">
        <f t="shared" si="0"/>
        <v>CE30000</v>
      </c>
      <c r="B34" t="str">
        <f t="shared" si="1"/>
        <v>PE30000</v>
      </c>
      <c r="C34" t="s">
        <v>44</v>
      </c>
      <c r="D34" s="1">
        <v>17400</v>
      </c>
      <c r="E34" s="1" t="s">
        <v>14</v>
      </c>
      <c r="F34" s="1">
        <v>537</v>
      </c>
      <c r="G34" s="1" t="s">
        <v>14</v>
      </c>
      <c r="H34" s="1">
        <v>985</v>
      </c>
      <c r="I34" s="1">
        <v>77.2</v>
      </c>
      <c r="J34" s="1">
        <v>20</v>
      </c>
      <c r="K34" s="1">
        <v>967.45</v>
      </c>
      <c r="L34" s="1">
        <v>982.85</v>
      </c>
      <c r="M34" s="1">
        <v>140</v>
      </c>
      <c r="N34" s="1">
        <v>30000</v>
      </c>
      <c r="O34" s="1">
        <v>100</v>
      </c>
      <c r="P34" s="1">
        <v>12.15</v>
      </c>
      <c r="Q34" s="1">
        <v>12.25</v>
      </c>
      <c r="R34" s="1">
        <v>180</v>
      </c>
      <c r="S34" s="1">
        <v>-12.5</v>
      </c>
      <c r="T34" s="1">
        <v>12.15</v>
      </c>
      <c r="U34" s="1">
        <v>26.12</v>
      </c>
      <c r="V34" s="1">
        <v>162089</v>
      </c>
      <c r="W34" s="1">
        <v>20700</v>
      </c>
      <c r="X34" s="1">
        <v>551920</v>
      </c>
      <c r="Y34" s="1" t="s">
        <v>44</v>
      </c>
      <c r="AA34" s="23">
        <f t="shared" si="2"/>
        <v>31.719540229885059</v>
      </c>
    </row>
    <row r="35" spans="1:27" x14ac:dyDescent="0.25">
      <c r="A35" t="str">
        <f t="shared" si="0"/>
        <v>CE30100</v>
      </c>
      <c r="B35" t="str">
        <f t="shared" si="1"/>
        <v>PE30100</v>
      </c>
      <c r="C35" t="s">
        <v>44</v>
      </c>
      <c r="D35" s="1">
        <v>280</v>
      </c>
      <c r="E35" s="1" t="s">
        <v>14</v>
      </c>
      <c r="F35" s="1">
        <v>9</v>
      </c>
      <c r="G35" s="1">
        <v>28.29</v>
      </c>
      <c r="H35" s="1">
        <v>914.2</v>
      </c>
      <c r="I35" s="1">
        <v>98.15</v>
      </c>
      <c r="J35" s="1">
        <v>200</v>
      </c>
      <c r="K35" s="1">
        <v>856.5</v>
      </c>
      <c r="L35" s="1">
        <v>926.7</v>
      </c>
      <c r="M35" s="1">
        <v>20</v>
      </c>
      <c r="N35" s="1">
        <v>30100</v>
      </c>
      <c r="O35" s="1">
        <v>40</v>
      </c>
      <c r="P35" s="1">
        <v>15.6</v>
      </c>
      <c r="Q35" s="1">
        <v>15.7</v>
      </c>
      <c r="R35" s="1">
        <v>180</v>
      </c>
      <c r="S35" s="1">
        <v>-15.65</v>
      </c>
      <c r="T35" s="1">
        <v>15.8</v>
      </c>
      <c r="U35" s="1">
        <v>25.29</v>
      </c>
      <c r="V35" s="1">
        <v>135735</v>
      </c>
      <c r="W35" s="1">
        <v>56020</v>
      </c>
      <c r="X35" s="1">
        <v>139120</v>
      </c>
      <c r="Y35" s="1" t="s">
        <v>44</v>
      </c>
      <c r="AA35" s="23">
        <f t="shared" si="2"/>
        <v>496.85714285714283</v>
      </c>
    </row>
    <row r="36" spans="1:27" x14ac:dyDescent="0.25">
      <c r="A36" t="str">
        <f t="shared" si="0"/>
        <v>CE30200</v>
      </c>
      <c r="B36" t="str">
        <f t="shared" si="1"/>
        <v>PE30200</v>
      </c>
      <c r="C36" t="s">
        <v>44</v>
      </c>
      <c r="D36" s="1">
        <v>1440</v>
      </c>
      <c r="E36" s="1">
        <v>1020</v>
      </c>
      <c r="F36" s="1">
        <v>168</v>
      </c>
      <c r="G36" s="1">
        <v>27.63</v>
      </c>
      <c r="H36" s="1">
        <v>821.15</v>
      </c>
      <c r="I36" s="1">
        <v>100.2</v>
      </c>
      <c r="J36" s="1">
        <v>80</v>
      </c>
      <c r="K36" s="1">
        <v>775.2</v>
      </c>
      <c r="L36" s="1">
        <v>826.8</v>
      </c>
      <c r="M36" s="1">
        <v>20</v>
      </c>
      <c r="N36" s="1">
        <v>30200</v>
      </c>
      <c r="O36" s="1">
        <v>400</v>
      </c>
      <c r="P36" s="1">
        <v>20.55</v>
      </c>
      <c r="Q36" s="1">
        <v>20.8</v>
      </c>
      <c r="R36" s="1">
        <v>400</v>
      </c>
      <c r="S36" s="1">
        <v>-19.45</v>
      </c>
      <c r="T36" s="1">
        <v>20.7</v>
      </c>
      <c r="U36" s="1">
        <v>24.46</v>
      </c>
      <c r="V36" s="1">
        <v>158498</v>
      </c>
      <c r="W36" s="1">
        <v>27900</v>
      </c>
      <c r="X36" s="1">
        <v>241960</v>
      </c>
      <c r="Y36" s="1" t="s">
        <v>44</v>
      </c>
      <c r="AA36" s="23">
        <f t="shared" si="2"/>
        <v>168.02777777777777</v>
      </c>
    </row>
    <row r="37" spans="1:27" x14ac:dyDescent="0.25">
      <c r="A37" t="str">
        <f t="shared" si="0"/>
        <v>CE30300</v>
      </c>
      <c r="B37" t="str">
        <f t="shared" si="1"/>
        <v>PE30300</v>
      </c>
      <c r="C37" t="s">
        <v>44</v>
      </c>
      <c r="D37" s="1">
        <v>4860</v>
      </c>
      <c r="E37" s="1">
        <v>2700</v>
      </c>
      <c r="F37" s="1">
        <v>599</v>
      </c>
      <c r="G37" s="1">
        <v>21.31</v>
      </c>
      <c r="H37" s="1">
        <v>688.9</v>
      </c>
      <c r="I37" s="1">
        <v>59.25</v>
      </c>
      <c r="J37" s="1">
        <v>100</v>
      </c>
      <c r="K37" s="1">
        <v>682.95</v>
      </c>
      <c r="L37" s="1">
        <v>710.55</v>
      </c>
      <c r="M37" s="1">
        <v>20</v>
      </c>
      <c r="N37" s="1">
        <v>30300</v>
      </c>
      <c r="O37" s="1">
        <v>80</v>
      </c>
      <c r="P37" s="1">
        <v>28.65</v>
      </c>
      <c r="Q37" s="1">
        <v>28.8</v>
      </c>
      <c r="R37" s="1">
        <v>240</v>
      </c>
      <c r="S37" s="1">
        <v>-23.55</v>
      </c>
      <c r="T37" s="1">
        <v>29.1</v>
      </c>
      <c r="U37" s="1">
        <v>24.06</v>
      </c>
      <c r="V37" s="1">
        <v>202706</v>
      </c>
      <c r="W37" s="1">
        <v>86100</v>
      </c>
      <c r="X37" s="1">
        <v>232400</v>
      </c>
      <c r="Y37" s="1" t="s">
        <v>44</v>
      </c>
      <c r="AA37" s="23">
        <f t="shared" si="2"/>
        <v>47.818930041152264</v>
      </c>
    </row>
    <row r="38" spans="1:27" x14ac:dyDescent="0.25">
      <c r="A38" t="str">
        <f t="shared" si="0"/>
        <v>CE30400</v>
      </c>
      <c r="B38" t="str">
        <f t="shared" si="1"/>
        <v>PE30400</v>
      </c>
      <c r="C38" t="s">
        <v>44</v>
      </c>
      <c r="D38" s="1">
        <v>2280</v>
      </c>
      <c r="E38" s="1">
        <v>880</v>
      </c>
      <c r="F38" s="1">
        <v>907</v>
      </c>
      <c r="G38" s="1">
        <v>24.88</v>
      </c>
      <c r="H38" s="1">
        <v>614</v>
      </c>
      <c r="I38" s="1">
        <v>60.65</v>
      </c>
      <c r="J38" s="1">
        <v>20</v>
      </c>
      <c r="K38" s="1">
        <v>599.4</v>
      </c>
      <c r="L38" s="1">
        <v>610.45000000000005</v>
      </c>
      <c r="M38" s="1">
        <v>40</v>
      </c>
      <c r="N38" s="1">
        <v>30400</v>
      </c>
      <c r="O38" s="1">
        <v>80</v>
      </c>
      <c r="P38" s="1">
        <v>39.9</v>
      </c>
      <c r="Q38" s="1">
        <v>40.15</v>
      </c>
      <c r="R38" s="1">
        <v>100</v>
      </c>
      <c r="S38" s="1">
        <v>-29.6</v>
      </c>
      <c r="T38" s="1">
        <v>40.15</v>
      </c>
      <c r="U38" s="1">
        <v>23.57</v>
      </c>
      <c r="V38" s="1">
        <v>299789</v>
      </c>
      <c r="W38" s="1">
        <v>154760</v>
      </c>
      <c r="X38" s="1">
        <v>286080</v>
      </c>
      <c r="Y38" s="1" t="s">
        <v>44</v>
      </c>
      <c r="AA38" s="23">
        <f t="shared" si="2"/>
        <v>125.47368421052632</v>
      </c>
    </row>
    <row r="39" spans="1:27" x14ac:dyDescent="0.25">
      <c r="A39" t="str">
        <f t="shared" si="0"/>
        <v>CE30500</v>
      </c>
      <c r="B39" t="str">
        <f t="shared" si="1"/>
        <v>PE30500</v>
      </c>
      <c r="C39" t="s">
        <v>44</v>
      </c>
      <c r="D39" s="1">
        <v>57600</v>
      </c>
      <c r="E39" s="1">
        <v>9580</v>
      </c>
      <c r="F39" s="1">
        <v>13343</v>
      </c>
      <c r="G39" s="1">
        <v>22.2</v>
      </c>
      <c r="H39" s="1">
        <v>517.1</v>
      </c>
      <c r="I39" s="1">
        <v>43.55</v>
      </c>
      <c r="J39" s="1">
        <v>40</v>
      </c>
      <c r="K39" s="1">
        <v>515.15</v>
      </c>
      <c r="L39" s="1">
        <v>520.15</v>
      </c>
      <c r="M39" s="1">
        <v>60</v>
      </c>
      <c r="N39" s="1">
        <v>30500</v>
      </c>
      <c r="O39" s="1">
        <v>20</v>
      </c>
      <c r="P39" s="1">
        <v>54.85</v>
      </c>
      <c r="Q39" s="1">
        <v>55.1</v>
      </c>
      <c r="R39" s="1">
        <v>60</v>
      </c>
      <c r="S39" s="1">
        <v>-37.299999999999997</v>
      </c>
      <c r="T39" s="1">
        <v>54.95</v>
      </c>
      <c r="U39" s="1">
        <v>23.26</v>
      </c>
      <c r="V39" s="1">
        <v>648532</v>
      </c>
      <c r="W39" s="1">
        <v>331060</v>
      </c>
      <c r="X39" s="1">
        <v>869400</v>
      </c>
      <c r="Y39" s="1" t="s">
        <v>44</v>
      </c>
      <c r="AA39" s="23">
        <f t="shared" si="2"/>
        <v>15.09375</v>
      </c>
    </row>
    <row r="40" spans="1:27" x14ac:dyDescent="0.25">
      <c r="A40" t="str">
        <f t="shared" si="0"/>
        <v>CE30600</v>
      </c>
      <c r="B40" t="str">
        <f t="shared" si="1"/>
        <v>PE30600</v>
      </c>
      <c r="C40" t="s">
        <v>44</v>
      </c>
      <c r="D40" s="1">
        <v>20080</v>
      </c>
      <c r="E40" s="1">
        <v>3700</v>
      </c>
      <c r="F40" s="1">
        <v>10755</v>
      </c>
      <c r="G40" s="1">
        <v>22.95</v>
      </c>
      <c r="H40" s="1">
        <v>440.9</v>
      </c>
      <c r="I40" s="1">
        <v>37.35</v>
      </c>
      <c r="J40" s="1">
        <v>20</v>
      </c>
      <c r="K40" s="1">
        <v>436.05</v>
      </c>
      <c r="L40" s="1">
        <v>438.95</v>
      </c>
      <c r="M40" s="1">
        <v>80</v>
      </c>
      <c r="N40" s="1">
        <v>30600</v>
      </c>
      <c r="O40" s="1">
        <v>40</v>
      </c>
      <c r="P40" s="1">
        <v>74.2</v>
      </c>
      <c r="Q40" s="1">
        <v>74.650000000000006</v>
      </c>
      <c r="R40" s="1">
        <v>300</v>
      </c>
      <c r="S40" s="1">
        <v>-43.65</v>
      </c>
      <c r="T40" s="1">
        <v>74.599999999999994</v>
      </c>
      <c r="U40" s="1">
        <v>22.94</v>
      </c>
      <c r="V40" s="1">
        <v>372692</v>
      </c>
      <c r="W40" s="1">
        <v>251480</v>
      </c>
      <c r="X40" s="1">
        <v>425300</v>
      </c>
      <c r="Y40" s="1" t="s">
        <v>44</v>
      </c>
      <c r="AA40" s="23">
        <f t="shared" si="2"/>
        <v>21.180278884462151</v>
      </c>
    </row>
    <row r="41" spans="1:27" x14ac:dyDescent="0.25">
      <c r="A41" t="str">
        <f t="shared" si="0"/>
        <v>CE30700</v>
      </c>
      <c r="B41" t="str">
        <f t="shared" si="1"/>
        <v>PE30700</v>
      </c>
      <c r="C41" t="s">
        <v>44</v>
      </c>
      <c r="D41" s="1">
        <v>55900</v>
      </c>
      <c r="E41" s="1">
        <v>27700</v>
      </c>
      <c r="F41" s="1">
        <v>48095</v>
      </c>
      <c r="G41" s="1">
        <v>21.85</v>
      </c>
      <c r="H41" s="1">
        <v>360.7</v>
      </c>
      <c r="I41" s="1">
        <v>28.25</v>
      </c>
      <c r="J41" s="1">
        <v>20</v>
      </c>
      <c r="K41" s="1">
        <v>358.9</v>
      </c>
      <c r="L41" s="1">
        <v>360</v>
      </c>
      <c r="M41" s="1">
        <v>100</v>
      </c>
      <c r="N41" s="1">
        <v>30700</v>
      </c>
      <c r="O41" s="1">
        <v>20</v>
      </c>
      <c r="P41" s="1">
        <v>99.35</v>
      </c>
      <c r="Q41" s="1">
        <v>99.75</v>
      </c>
      <c r="R41" s="1">
        <v>200</v>
      </c>
      <c r="S41" s="1">
        <v>-52.35</v>
      </c>
      <c r="T41" s="1">
        <v>99.85</v>
      </c>
      <c r="U41" s="1">
        <v>22.57</v>
      </c>
      <c r="V41" s="1">
        <v>442093</v>
      </c>
      <c r="W41" s="1">
        <v>304060</v>
      </c>
      <c r="X41" s="1">
        <v>476540</v>
      </c>
      <c r="Y41" s="1" t="s">
        <v>44</v>
      </c>
      <c r="AA41" s="23">
        <f t="shared" si="2"/>
        <v>8.5248658318425754</v>
      </c>
    </row>
    <row r="42" spans="1:27" x14ac:dyDescent="0.25">
      <c r="A42" t="str">
        <f t="shared" ref="A42:A52" si="3">"CE"&amp;N42</f>
        <v>CE30800</v>
      </c>
      <c r="B42" t="str">
        <f t="shared" ref="B42:B52" si="4">"PE"&amp;N42</f>
        <v>PE30800</v>
      </c>
      <c r="C42" t="s">
        <v>44</v>
      </c>
      <c r="D42" s="1">
        <v>208200</v>
      </c>
      <c r="E42" s="1">
        <v>65580</v>
      </c>
      <c r="F42" s="1">
        <v>155542</v>
      </c>
      <c r="G42" s="1">
        <v>21.82</v>
      </c>
      <c r="H42" s="1">
        <v>292.3</v>
      </c>
      <c r="I42" s="1">
        <v>18.649999999999999</v>
      </c>
      <c r="J42" s="1">
        <v>40</v>
      </c>
      <c r="K42" s="1">
        <v>291.95</v>
      </c>
      <c r="L42" s="1">
        <v>293.2</v>
      </c>
      <c r="M42" s="1">
        <v>80</v>
      </c>
      <c r="N42" s="1">
        <v>30800</v>
      </c>
      <c r="O42" s="1">
        <v>120</v>
      </c>
      <c r="P42" s="1">
        <v>131.30000000000001</v>
      </c>
      <c r="Q42" s="1">
        <v>131.80000000000001</v>
      </c>
      <c r="R42" s="1">
        <v>2360</v>
      </c>
      <c r="S42" s="1">
        <v>-59.35</v>
      </c>
      <c r="T42" s="1">
        <v>131.80000000000001</v>
      </c>
      <c r="U42" s="1">
        <v>22.28</v>
      </c>
      <c r="V42" s="1">
        <v>453928</v>
      </c>
      <c r="W42" s="1">
        <v>316700</v>
      </c>
      <c r="X42" s="1">
        <v>574340</v>
      </c>
      <c r="Y42" s="1" t="s">
        <v>44</v>
      </c>
      <c r="AA42" s="23">
        <f t="shared" si="2"/>
        <v>2.7585975024015368</v>
      </c>
    </row>
    <row r="43" spans="1:27" x14ac:dyDescent="0.25">
      <c r="A43" t="str">
        <f t="shared" si="3"/>
        <v>CE30900</v>
      </c>
      <c r="B43" t="str">
        <f t="shared" si="4"/>
        <v>PE30900</v>
      </c>
      <c r="C43" t="s">
        <v>44</v>
      </c>
      <c r="D43" s="1">
        <v>393380</v>
      </c>
      <c r="E43" s="1">
        <v>173180</v>
      </c>
      <c r="F43" s="1">
        <v>277020</v>
      </c>
      <c r="G43" s="1">
        <v>21.48</v>
      </c>
      <c r="H43" s="1">
        <v>233</v>
      </c>
      <c r="I43" s="1">
        <v>12.15</v>
      </c>
      <c r="J43" s="1">
        <v>20</v>
      </c>
      <c r="K43" s="1">
        <v>232.9</v>
      </c>
      <c r="L43" s="1">
        <v>234.35</v>
      </c>
      <c r="M43" s="1">
        <v>40</v>
      </c>
      <c r="N43" s="1">
        <v>30900</v>
      </c>
      <c r="O43" s="1">
        <v>60</v>
      </c>
      <c r="P43" s="1">
        <v>170.55</v>
      </c>
      <c r="Q43" s="1">
        <v>171.2</v>
      </c>
      <c r="R43" s="1">
        <v>40</v>
      </c>
      <c r="S43" s="1">
        <v>-65.3</v>
      </c>
      <c r="T43" s="1">
        <v>171.2</v>
      </c>
      <c r="U43" s="1">
        <v>22.03</v>
      </c>
      <c r="V43" s="1">
        <v>387005</v>
      </c>
      <c r="W43" s="1">
        <v>313760</v>
      </c>
      <c r="X43" s="1">
        <v>522480</v>
      </c>
      <c r="Y43" s="1" t="s">
        <v>44</v>
      </c>
      <c r="AA43" s="23">
        <f t="shared" si="2"/>
        <v>1.3281814022065179</v>
      </c>
    </row>
    <row r="44" spans="1:27" x14ac:dyDescent="0.25">
      <c r="A44" t="str">
        <f t="shared" si="3"/>
        <v>CE31000</v>
      </c>
      <c r="B44" t="str">
        <f t="shared" si="4"/>
        <v>PE31000</v>
      </c>
      <c r="C44" t="s">
        <v>44</v>
      </c>
      <c r="D44" s="1">
        <v>1075040</v>
      </c>
      <c r="E44" s="1">
        <v>296780</v>
      </c>
      <c r="F44" s="1">
        <v>614557</v>
      </c>
      <c r="G44" s="1">
        <v>21.62</v>
      </c>
      <c r="H44" s="1">
        <v>183.2</v>
      </c>
      <c r="I44" s="1">
        <v>5.4</v>
      </c>
      <c r="J44" s="1">
        <v>60</v>
      </c>
      <c r="K44" s="1">
        <v>182.35</v>
      </c>
      <c r="L44" s="1">
        <v>183.2</v>
      </c>
      <c r="M44" s="1">
        <v>40</v>
      </c>
      <c r="N44" s="1">
        <v>31000</v>
      </c>
      <c r="O44" s="1">
        <v>20</v>
      </c>
      <c r="P44" s="1">
        <v>217.7</v>
      </c>
      <c r="Q44" s="1">
        <v>218.4</v>
      </c>
      <c r="R44" s="1">
        <v>40</v>
      </c>
      <c r="S44" s="1">
        <v>-73.75</v>
      </c>
      <c r="T44" s="1">
        <v>218.2</v>
      </c>
      <c r="U44" s="1">
        <v>21.96</v>
      </c>
      <c r="V44" s="1">
        <v>380615</v>
      </c>
      <c r="W44" s="1">
        <v>331920</v>
      </c>
      <c r="X44" s="1">
        <v>783140</v>
      </c>
      <c r="Y44" s="1" t="s">
        <v>44</v>
      </c>
      <c r="AA44" s="23">
        <f t="shared" si="2"/>
        <v>0.72847521952671523</v>
      </c>
    </row>
    <row r="45" spans="1:27" x14ac:dyDescent="0.25">
      <c r="A45" t="str">
        <f t="shared" si="3"/>
        <v>CE31100</v>
      </c>
      <c r="B45" t="str">
        <f t="shared" si="4"/>
        <v>PE31100</v>
      </c>
      <c r="C45" t="s">
        <v>44</v>
      </c>
      <c r="D45" s="1">
        <v>504360</v>
      </c>
      <c r="E45" s="1">
        <v>134440</v>
      </c>
      <c r="F45" s="1">
        <v>381974</v>
      </c>
      <c r="G45" s="1">
        <v>21.63</v>
      </c>
      <c r="H45" s="1">
        <v>139.94999999999999</v>
      </c>
      <c r="I45" s="1">
        <v>-0.3</v>
      </c>
      <c r="J45" s="1">
        <v>80</v>
      </c>
      <c r="K45" s="1">
        <v>139.75</v>
      </c>
      <c r="L45" s="1">
        <v>140.44999999999999</v>
      </c>
      <c r="M45" s="1">
        <v>20</v>
      </c>
      <c r="N45" s="1">
        <v>31100</v>
      </c>
      <c r="O45" s="1">
        <v>40</v>
      </c>
      <c r="P45" s="1">
        <v>277.3</v>
      </c>
      <c r="Q45" s="1">
        <v>278.10000000000002</v>
      </c>
      <c r="R45" s="1">
        <v>20</v>
      </c>
      <c r="S45" s="1">
        <v>-77.7</v>
      </c>
      <c r="T45" s="1">
        <v>275.75</v>
      </c>
      <c r="U45" s="1">
        <v>22.1</v>
      </c>
      <c r="V45" s="1">
        <v>86630</v>
      </c>
      <c r="W45" s="1">
        <v>50900</v>
      </c>
      <c r="X45" s="1">
        <v>155160</v>
      </c>
      <c r="Y45" s="1" t="s">
        <v>44</v>
      </c>
      <c r="AA45" s="23">
        <f t="shared" si="2"/>
        <v>0.30763740185581728</v>
      </c>
    </row>
    <row r="46" spans="1:27" x14ac:dyDescent="0.25">
      <c r="A46" t="str">
        <f t="shared" si="3"/>
        <v>CE31200</v>
      </c>
      <c r="B46" t="str">
        <f t="shared" si="4"/>
        <v>PE31200</v>
      </c>
      <c r="C46" t="s">
        <v>44</v>
      </c>
      <c r="D46" s="1">
        <v>712080</v>
      </c>
      <c r="E46" s="1">
        <v>152680</v>
      </c>
      <c r="F46" s="1">
        <v>583803</v>
      </c>
      <c r="G46" s="1">
        <v>21.75</v>
      </c>
      <c r="H46" s="1">
        <v>106.75</v>
      </c>
      <c r="I46" s="1">
        <v>-4.0999999999999996</v>
      </c>
      <c r="J46" s="1">
        <v>60</v>
      </c>
      <c r="K46" s="1">
        <v>105.85</v>
      </c>
      <c r="L46" s="1">
        <v>106.4</v>
      </c>
      <c r="M46" s="1">
        <v>20</v>
      </c>
      <c r="N46" s="1">
        <v>31200</v>
      </c>
      <c r="O46" s="1">
        <v>60</v>
      </c>
      <c r="P46" s="1">
        <v>341.85</v>
      </c>
      <c r="Q46" s="1">
        <v>342.8</v>
      </c>
      <c r="R46" s="1">
        <v>100</v>
      </c>
      <c r="S46" s="1">
        <v>-83</v>
      </c>
      <c r="T46" s="1">
        <v>342.25</v>
      </c>
      <c r="U46" s="1">
        <v>22.2</v>
      </c>
      <c r="V46" s="1">
        <v>49269</v>
      </c>
      <c r="W46" s="1">
        <v>15420</v>
      </c>
      <c r="X46" s="1">
        <v>120520</v>
      </c>
      <c r="Y46" s="1" t="s">
        <v>44</v>
      </c>
      <c r="AA46" s="23">
        <f t="shared" si="2"/>
        <v>0.16925064599483206</v>
      </c>
    </row>
    <row r="47" spans="1:27" x14ac:dyDescent="0.25">
      <c r="A47" t="str">
        <f t="shared" si="3"/>
        <v>CE31300</v>
      </c>
      <c r="B47" t="str">
        <f t="shared" si="4"/>
        <v>PE31300</v>
      </c>
      <c r="C47" t="s">
        <v>44</v>
      </c>
      <c r="D47" s="1">
        <v>633900</v>
      </c>
      <c r="E47" s="1">
        <v>186220</v>
      </c>
      <c r="F47" s="1">
        <v>414330</v>
      </c>
      <c r="G47" s="1">
        <v>21.86</v>
      </c>
      <c r="H47" s="1">
        <v>78.75</v>
      </c>
      <c r="I47" s="1">
        <v>-6.8</v>
      </c>
      <c r="J47" s="1">
        <v>280</v>
      </c>
      <c r="K47" s="1">
        <v>78.45</v>
      </c>
      <c r="L47" s="1">
        <v>78.900000000000006</v>
      </c>
      <c r="M47" s="1">
        <v>200</v>
      </c>
      <c r="N47" s="1">
        <v>31300</v>
      </c>
      <c r="O47" s="1">
        <v>40</v>
      </c>
      <c r="P47" s="1">
        <v>412.7</v>
      </c>
      <c r="Q47" s="1">
        <v>416</v>
      </c>
      <c r="R47" s="1">
        <v>40</v>
      </c>
      <c r="S47" s="1">
        <v>-94.4</v>
      </c>
      <c r="T47" s="1">
        <v>414.3</v>
      </c>
      <c r="U47" s="1">
        <v>21.78</v>
      </c>
      <c r="V47" s="1">
        <v>13108</v>
      </c>
      <c r="W47" s="1">
        <v>-5440</v>
      </c>
      <c r="X47" s="1">
        <v>97740</v>
      </c>
      <c r="Y47" s="1" t="s">
        <v>44</v>
      </c>
      <c r="AA47" s="23">
        <f t="shared" si="2"/>
        <v>0.15418835778513962</v>
      </c>
    </row>
    <row r="48" spans="1:27" x14ac:dyDescent="0.25">
      <c r="A48" t="str">
        <f t="shared" si="3"/>
        <v>CE31400</v>
      </c>
      <c r="B48" t="str">
        <f t="shared" si="4"/>
        <v>PE31400</v>
      </c>
      <c r="C48" t="s">
        <v>44</v>
      </c>
      <c r="D48" s="1">
        <v>540720</v>
      </c>
      <c r="E48" s="1">
        <v>147560</v>
      </c>
      <c r="F48" s="1">
        <v>366184</v>
      </c>
      <c r="G48" s="1">
        <v>21.98</v>
      </c>
      <c r="H48" s="1">
        <v>56.15</v>
      </c>
      <c r="I48" s="1">
        <v>-9.6999999999999993</v>
      </c>
      <c r="J48" s="1">
        <v>340</v>
      </c>
      <c r="K48" s="1">
        <v>55.95</v>
      </c>
      <c r="L48" s="1">
        <v>56.25</v>
      </c>
      <c r="M48" s="1">
        <v>40</v>
      </c>
      <c r="N48" s="1">
        <v>31400</v>
      </c>
      <c r="O48" s="1">
        <v>20</v>
      </c>
      <c r="P48" s="1">
        <v>490.1</v>
      </c>
      <c r="Q48" s="1">
        <v>494.65</v>
      </c>
      <c r="R48" s="1">
        <v>20</v>
      </c>
      <c r="S48" s="1">
        <v>-87.35</v>
      </c>
      <c r="T48" s="1">
        <v>494.6</v>
      </c>
      <c r="U48" s="1">
        <v>21.85</v>
      </c>
      <c r="V48" s="1">
        <v>4243</v>
      </c>
      <c r="W48" s="1">
        <v>4260</v>
      </c>
      <c r="X48" s="1">
        <v>54740</v>
      </c>
      <c r="Y48" s="1" t="s">
        <v>44</v>
      </c>
      <c r="AA48" s="23">
        <f t="shared" si="2"/>
        <v>0.10123538985056961</v>
      </c>
    </row>
    <row r="49" spans="1:27" x14ac:dyDescent="0.25">
      <c r="A49" t="str">
        <f t="shared" si="3"/>
        <v>CE31500</v>
      </c>
      <c r="B49" t="str">
        <f t="shared" si="4"/>
        <v>PE31500</v>
      </c>
      <c r="C49" t="s">
        <v>44</v>
      </c>
      <c r="D49" s="1">
        <v>1441560</v>
      </c>
      <c r="E49" s="1">
        <v>247200</v>
      </c>
      <c r="F49" s="1">
        <v>540537</v>
      </c>
      <c r="G49" s="1">
        <v>22.3</v>
      </c>
      <c r="H49" s="1">
        <v>41</v>
      </c>
      <c r="I49" s="1">
        <v>-8.9499999999999993</v>
      </c>
      <c r="J49" s="1">
        <v>80</v>
      </c>
      <c r="K49" s="1">
        <v>40.700000000000003</v>
      </c>
      <c r="L49" s="1">
        <v>41.05</v>
      </c>
      <c r="M49" s="1">
        <v>420</v>
      </c>
      <c r="N49" s="1">
        <v>31500</v>
      </c>
      <c r="O49" s="1">
        <v>80</v>
      </c>
      <c r="P49" s="1">
        <v>579.5</v>
      </c>
      <c r="Q49" s="1">
        <v>582.79999999999995</v>
      </c>
      <c r="R49" s="1">
        <v>20</v>
      </c>
      <c r="S49" s="1">
        <v>-87.3</v>
      </c>
      <c r="T49" s="1">
        <v>580</v>
      </c>
      <c r="U49" s="1">
        <v>22.39</v>
      </c>
      <c r="V49" s="1">
        <v>6865</v>
      </c>
      <c r="W49" s="1">
        <v>3560</v>
      </c>
      <c r="X49" s="1">
        <v>471660</v>
      </c>
      <c r="Y49" s="1" t="s">
        <v>44</v>
      </c>
      <c r="AA49" s="23">
        <f t="shared" si="2"/>
        <v>0.32718721385166072</v>
      </c>
    </row>
    <row r="50" spans="1:27" x14ac:dyDescent="0.25">
      <c r="A50" t="str">
        <f t="shared" si="3"/>
        <v>CE31600</v>
      </c>
      <c r="B50" t="str">
        <f t="shared" si="4"/>
        <v>PE31600</v>
      </c>
      <c r="C50" t="s">
        <v>44</v>
      </c>
      <c r="D50" s="1">
        <v>359540</v>
      </c>
      <c r="E50" s="1">
        <v>75320</v>
      </c>
      <c r="F50" s="1">
        <v>213786</v>
      </c>
      <c r="G50" s="1">
        <v>22.39</v>
      </c>
      <c r="H50" s="1">
        <v>28.6</v>
      </c>
      <c r="I50" s="1">
        <v>-9.15</v>
      </c>
      <c r="J50" s="1">
        <v>240</v>
      </c>
      <c r="K50" s="1">
        <v>28.45</v>
      </c>
      <c r="L50" s="1">
        <v>28.6</v>
      </c>
      <c r="M50" s="1">
        <v>260</v>
      </c>
      <c r="N50" s="1">
        <v>31600</v>
      </c>
      <c r="O50" s="1">
        <v>280</v>
      </c>
      <c r="P50" s="1">
        <v>660.1</v>
      </c>
      <c r="Q50" s="1">
        <v>670.2</v>
      </c>
      <c r="R50" s="1">
        <v>80</v>
      </c>
      <c r="S50" s="1">
        <v>-95.85</v>
      </c>
      <c r="T50" s="1">
        <v>665</v>
      </c>
      <c r="U50" s="1">
        <v>24.54</v>
      </c>
      <c r="V50" s="1">
        <v>304</v>
      </c>
      <c r="W50" s="1" t="s">
        <v>14</v>
      </c>
      <c r="X50" s="1">
        <v>17660</v>
      </c>
      <c r="Y50" s="1" t="s">
        <v>44</v>
      </c>
      <c r="AA50" s="23">
        <f t="shared" si="2"/>
        <v>4.911831785058686E-2</v>
      </c>
    </row>
    <row r="51" spans="1:27" x14ac:dyDescent="0.25">
      <c r="A51" t="str">
        <f t="shared" si="3"/>
        <v>CE31700</v>
      </c>
      <c r="B51" t="str">
        <f t="shared" si="4"/>
        <v>PE31700</v>
      </c>
      <c r="C51" t="s">
        <v>44</v>
      </c>
      <c r="D51" s="1">
        <v>384840</v>
      </c>
      <c r="E51" s="1">
        <v>26880</v>
      </c>
      <c r="F51" s="1">
        <v>141155</v>
      </c>
      <c r="G51" s="1">
        <v>22.67</v>
      </c>
      <c r="H51" s="1">
        <v>20</v>
      </c>
      <c r="I51" s="1">
        <v>-8.15</v>
      </c>
      <c r="J51" s="1">
        <v>60</v>
      </c>
      <c r="K51" s="1">
        <v>20.100000000000001</v>
      </c>
      <c r="L51" s="1">
        <v>20.2</v>
      </c>
      <c r="M51" s="1">
        <v>240</v>
      </c>
      <c r="N51" s="1">
        <v>31700</v>
      </c>
      <c r="O51" s="1">
        <v>20</v>
      </c>
      <c r="P51" s="1">
        <v>745.1</v>
      </c>
      <c r="Q51" s="1">
        <v>762.05</v>
      </c>
      <c r="R51" s="1">
        <v>40</v>
      </c>
      <c r="S51" s="1">
        <v>-95.65</v>
      </c>
      <c r="T51" s="1">
        <v>748.05</v>
      </c>
      <c r="U51" s="1">
        <v>26.79</v>
      </c>
      <c r="V51" s="1">
        <v>319</v>
      </c>
      <c r="W51" s="1">
        <v>-1240</v>
      </c>
      <c r="X51" s="1">
        <v>10100</v>
      </c>
      <c r="Y51" s="1" t="s">
        <v>44</v>
      </c>
      <c r="AA51" s="23">
        <f t="shared" si="2"/>
        <v>2.6244673110903234E-2</v>
      </c>
    </row>
    <row r="52" spans="1:27" x14ac:dyDescent="0.25">
      <c r="A52" t="str">
        <f t="shared" si="3"/>
        <v>CE31800</v>
      </c>
      <c r="B52" t="str">
        <f t="shared" si="4"/>
        <v>PE31800</v>
      </c>
      <c r="C52" t="s">
        <v>44</v>
      </c>
      <c r="D52" s="1">
        <v>269820</v>
      </c>
      <c r="E52" s="1">
        <v>-20520</v>
      </c>
      <c r="F52" s="1">
        <v>108954</v>
      </c>
      <c r="G52" s="1">
        <v>23.2</v>
      </c>
      <c r="H52" s="1">
        <v>15.15</v>
      </c>
      <c r="I52" s="1">
        <v>-6.45</v>
      </c>
      <c r="J52" s="1">
        <v>100</v>
      </c>
      <c r="K52" s="1">
        <v>15.15</v>
      </c>
      <c r="L52" s="1">
        <v>15.25</v>
      </c>
      <c r="M52" s="1">
        <v>300</v>
      </c>
      <c r="N52" s="1">
        <v>31800</v>
      </c>
      <c r="O52" s="1">
        <v>20</v>
      </c>
      <c r="P52" s="1">
        <v>842.6</v>
      </c>
      <c r="Q52" s="1">
        <v>861</v>
      </c>
      <c r="R52" s="1">
        <v>580</v>
      </c>
      <c r="S52" s="1">
        <v>-135.80000000000001</v>
      </c>
      <c r="T52" s="1">
        <v>800</v>
      </c>
      <c r="U52" s="1" t="s">
        <v>14</v>
      </c>
      <c r="V52" s="1">
        <v>104</v>
      </c>
      <c r="W52" s="1">
        <v>-180</v>
      </c>
      <c r="X52" s="1">
        <v>15900</v>
      </c>
      <c r="Y52" s="1" t="s">
        <v>44</v>
      </c>
      <c r="AA52" s="23">
        <f t="shared" si="2"/>
        <v>5.8928174338447853E-2</v>
      </c>
    </row>
    <row r="53" spans="1:27" x14ac:dyDescent="0.25">
      <c r="A53" t="str">
        <f t="shared" ref="A53:A64" si="5">"CE"&amp;N53</f>
        <v>CE31900</v>
      </c>
      <c r="B53" t="str">
        <f t="shared" ref="B53:B64" si="6">"PE"&amp;N53</f>
        <v>PE31900</v>
      </c>
      <c r="C53" t="s">
        <v>44</v>
      </c>
      <c r="D53" s="1">
        <v>202260</v>
      </c>
      <c r="E53" s="1">
        <v>29100</v>
      </c>
      <c r="F53" s="1">
        <v>68494</v>
      </c>
      <c r="G53" s="1">
        <v>24.06</v>
      </c>
      <c r="H53" s="1">
        <v>11.65</v>
      </c>
      <c r="I53" s="1">
        <v>-5.45</v>
      </c>
      <c r="J53" s="1">
        <v>300</v>
      </c>
      <c r="K53" s="1">
        <v>11.5</v>
      </c>
      <c r="L53" s="1">
        <v>11.7</v>
      </c>
      <c r="M53" s="1">
        <v>300</v>
      </c>
      <c r="N53" s="1">
        <v>31900</v>
      </c>
      <c r="O53" s="1">
        <v>20</v>
      </c>
      <c r="P53" s="1">
        <v>943.3</v>
      </c>
      <c r="Q53" s="1">
        <v>958</v>
      </c>
      <c r="R53" s="1">
        <v>180</v>
      </c>
      <c r="S53" s="1">
        <v>-112.15</v>
      </c>
      <c r="T53" s="1">
        <v>925</v>
      </c>
      <c r="U53" s="1">
        <v>31.15</v>
      </c>
      <c r="V53" s="1">
        <v>93</v>
      </c>
      <c r="W53" s="1">
        <v>-160</v>
      </c>
      <c r="X53" s="1">
        <v>10220</v>
      </c>
      <c r="Y53" s="1" t="s">
        <v>44</v>
      </c>
      <c r="AA53" s="23">
        <f t="shared" si="2"/>
        <v>5.052902205082567E-2</v>
      </c>
    </row>
    <row r="54" spans="1:27" x14ac:dyDescent="0.25">
      <c r="A54" t="str">
        <f t="shared" si="5"/>
        <v>CE32000</v>
      </c>
      <c r="B54" t="str">
        <f t="shared" si="6"/>
        <v>PE32000</v>
      </c>
      <c r="C54" t="s">
        <v>44</v>
      </c>
      <c r="D54" s="1">
        <v>934860</v>
      </c>
      <c r="E54" s="1">
        <v>-75480</v>
      </c>
      <c r="F54" s="1">
        <v>133879</v>
      </c>
      <c r="G54" s="1">
        <v>25.02</v>
      </c>
      <c r="H54" s="1">
        <v>9.6999999999999993</v>
      </c>
      <c r="I54" s="1">
        <v>-4.25</v>
      </c>
      <c r="J54" s="1">
        <v>140</v>
      </c>
      <c r="K54" s="1">
        <v>9.6999999999999993</v>
      </c>
      <c r="L54" s="1">
        <v>9.75</v>
      </c>
      <c r="M54" s="1">
        <v>20</v>
      </c>
      <c r="N54" s="1">
        <v>32000</v>
      </c>
      <c r="O54" s="1">
        <v>340</v>
      </c>
      <c r="P54" s="1">
        <v>1046.0999999999999</v>
      </c>
      <c r="Q54" s="1">
        <v>1050</v>
      </c>
      <c r="R54" s="1">
        <v>60</v>
      </c>
      <c r="S54" s="1">
        <v>-102.9</v>
      </c>
      <c r="T54" s="1">
        <v>1039.9000000000001</v>
      </c>
      <c r="U54" s="1">
        <v>27.12</v>
      </c>
      <c r="V54" s="1">
        <v>1457</v>
      </c>
      <c r="W54" s="1">
        <v>-1180</v>
      </c>
      <c r="X54" s="1">
        <v>263100</v>
      </c>
      <c r="Y54" s="1" t="s">
        <v>44</v>
      </c>
      <c r="AA54" s="23">
        <f t="shared" si="2"/>
        <v>0.2814325139593094</v>
      </c>
    </row>
    <row r="55" spans="1:27" x14ac:dyDescent="0.25">
      <c r="A55" t="str">
        <f t="shared" si="5"/>
        <v>CE32100</v>
      </c>
      <c r="B55" t="str">
        <f t="shared" si="6"/>
        <v>PE32100</v>
      </c>
      <c r="C55" t="s">
        <v>44</v>
      </c>
      <c r="D55" s="1">
        <v>168600</v>
      </c>
      <c r="E55" s="1">
        <v>54260</v>
      </c>
      <c r="F55" s="1">
        <v>37160</v>
      </c>
      <c r="G55" s="1">
        <v>25.72</v>
      </c>
      <c r="H55" s="1">
        <v>7.45</v>
      </c>
      <c r="I55" s="1">
        <v>-3.35</v>
      </c>
      <c r="J55" s="1">
        <v>160</v>
      </c>
      <c r="K55" s="1">
        <v>7.4</v>
      </c>
      <c r="L55" s="1">
        <v>7.45</v>
      </c>
      <c r="M55" s="1">
        <v>220</v>
      </c>
      <c r="N55" s="1">
        <v>32100</v>
      </c>
      <c r="O55" s="1">
        <v>20</v>
      </c>
      <c r="P55" s="1">
        <v>1133.45</v>
      </c>
      <c r="Q55" s="1">
        <v>1159.2</v>
      </c>
      <c r="R55" s="1">
        <v>100</v>
      </c>
      <c r="S55" s="1">
        <v>-163.25</v>
      </c>
      <c r="T55" s="1">
        <v>1050</v>
      </c>
      <c r="U55" s="1" t="s">
        <v>14</v>
      </c>
      <c r="V55" s="1">
        <v>51</v>
      </c>
      <c r="W55" s="1">
        <v>-240</v>
      </c>
      <c r="X55" s="1">
        <v>6200</v>
      </c>
      <c r="Y55" s="1" t="s">
        <v>44</v>
      </c>
      <c r="AA55" s="23">
        <f t="shared" si="2"/>
        <v>3.6773428232502965E-2</v>
      </c>
    </row>
    <row r="56" spans="1:27" x14ac:dyDescent="0.25">
      <c r="A56" t="str">
        <f t="shared" si="5"/>
        <v>CE32200</v>
      </c>
      <c r="B56" t="str">
        <f t="shared" si="6"/>
        <v>PE32200</v>
      </c>
      <c r="C56" t="s">
        <v>44</v>
      </c>
      <c r="D56" s="1">
        <v>126860</v>
      </c>
      <c r="E56" s="1">
        <v>-21400</v>
      </c>
      <c r="F56" s="1">
        <v>25701</v>
      </c>
      <c r="G56" s="1">
        <v>26.51</v>
      </c>
      <c r="H56" s="1">
        <v>6</v>
      </c>
      <c r="I56" s="1">
        <v>-2.4500000000000002</v>
      </c>
      <c r="J56" s="1">
        <v>620</v>
      </c>
      <c r="K56" s="1">
        <v>5.95</v>
      </c>
      <c r="L56" s="1">
        <v>6</v>
      </c>
      <c r="M56" s="1">
        <v>120</v>
      </c>
      <c r="N56" s="1">
        <v>32200</v>
      </c>
      <c r="O56" s="1">
        <v>80</v>
      </c>
      <c r="P56" s="1">
        <v>1233.5999999999999</v>
      </c>
      <c r="Q56" s="1">
        <v>1247.0999999999999</v>
      </c>
      <c r="R56" s="1">
        <v>40</v>
      </c>
      <c r="S56" s="1">
        <v>-69.95</v>
      </c>
      <c r="T56" s="1">
        <v>1239</v>
      </c>
      <c r="U56" s="1">
        <v>36.61</v>
      </c>
      <c r="V56" s="1">
        <v>100</v>
      </c>
      <c r="W56" s="1">
        <v>-60</v>
      </c>
      <c r="X56" s="1">
        <v>15260</v>
      </c>
      <c r="Y56" s="1" t="s">
        <v>44</v>
      </c>
      <c r="AA56" s="23">
        <f t="shared" si="2"/>
        <v>0.12029008355667666</v>
      </c>
    </row>
    <row r="57" spans="1:27" x14ac:dyDescent="0.25">
      <c r="A57" t="str">
        <f t="shared" si="5"/>
        <v>CE32300</v>
      </c>
      <c r="B57" t="str">
        <f t="shared" si="6"/>
        <v>PE32300</v>
      </c>
      <c r="C57" t="s">
        <v>44</v>
      </c>
      <c r="D57" s="1">
        <v>85500</v>
      </c>
      <c r="E57" s="1" t="s">
        <v>14</v>
      </c>
      <c r="F57" s="1">
        <v>13098</v>
      </c>
      <c r="G57" s="1">
        <v>27.41</v>
      </c>
      <c r="H57" s="1">
        <v>4.8</v>
      </c>
      <c r="I57" s="1">
        <v>-2.1</v>
      </c>
      <c r="J57" s="1">
        <v>60</v>
      </c>
      <c r="K57" s="1">
        <v>4.6500000000000004</v>
      </c>
      <c r="L57" s="1">
        <v>4.75</v>
      </c>
      <c r="M57" s="1">
        <v>140</v>
      </c>
      <c r="N57" s="1">
        <v>32300</v>
      </c>
      <c r="O57" s="1">
        <v>20</v>
      </c>
      <c r="P57" s="1">
        <v>1338.35</v>
      </c>
      <c r="Q57" s="1">
        <v>1347.1</v>
      </c>
      <c r="R57" s="1">
        <v>20</v>
      </c>
      <c r="S57" s="1">
        <v>-130.15</v>
      </c>
      <c r="T57" s="1">
        <v>1287.4000000000001</v>
      </c>
      <c r="U57" s="1" t="s">
        <v>14</v>
      </c>
      <c r="V57" s="1">
        <v>35</v>
      </c>
      <c r="W57" s="1">
        <v>140</v>
      </c>
      <c r="X57" s="1">
        <v>7900</v>
      </c>
      <c r="Y57" s="1" t="s">
        <v>44</v>
      </c>
      <c r="AA57" s="23">
        <f t="shared" si="2"/>
        <v>9.2397660818713451E-2</v>
      </c>
    </row>
    <row r="58" spans="1:27" x14ac:dyDescent="0.25">
      <c r="A58" t="str">
        <f t="shared" si="5"/>
        <v>CE32400</v>
      </c>
      <c r="B58" t="str">
        <f t="shared" si="6"/>
        <v>PE32400</v>
      </c>
      <c r="C58" t="s">
        <v>44</v>
      </c>
      <c r="D58" s="1">
        <v>52840</v>
      </c>
      <c r="E58" s="1">
        <v>-15640</v>
      </c>
      <c r="F58" s="1">
        <v>10310</v>
      </c>
      <c r="G58" s="1">
        <v>28.17</v>
      </c>
      <c r="H58" s="1">
        <v>3.75</v>
      </c>
      <c r="I58" s="1">
        <v>-1.75</v>
      </c>
      <c r="J58" s="1">
        <v>100</v>
      </c>
      <c r="K58" s="1">
        <v>3.75</v>
      </c>
      <c r="L58" s="1">
        <v>3.8</v>
      </c>
      <c r="M58" s="1">
        <v>80</v>
      </c>
      <c r="N58" s="1">
        <v>32400</v>
      </c>
      <c r="O58" s="1">
        <v>20</v>
      </c>
      <c r="P58" s="1">
        <v>1404.95</v>
      </c>
      <c r="Q58" s="1">
        <v>1445.85</v>
      </c>
      <c r="R58" s="1">
        <v>40</v>
      </c>
      <c r="S58" s="1">
        <v>-89.9</v>
      </c>
      <c r="T58" s="1">
        <v>1441.6</v>
      </c>
      <c r="U58" s="1">
        <v>41.85</v>
      </c>
      <c r="V58" s="1">
        <v>40</v>
      </c>
      <c r="W58" s="1">
        <v>-20</v>
      </c>
      <c r="X58" s="1">
        <v>11560</v>
      </c>
      <c r="Y58" s="1" t="s">
        <v>44</v>
      </c>
      <c r="AA58" s="23">
        <f t="shared" si="2"/>
        <v>0.21877365632096896</v>
      </c>
    </row>
    <row r="59" spans="1:27" x14ac:dyDescent="0.25">
      <c r="A59" t="str">
        <f t="shared" si="5"/>
        <v>CE32500</v>
      </c>
      <c r="B59" t="str">
        <f t="shared" si="6"/>
        <v>PE32500</v>
      </c>
      <c r="C59" t="s">
        <v>44</v>
      </c>
      <c r="D59" s="1">
        <v>382660</v>
      </c>
      <c r="E59" s="1">
        <v>-20260</v>
      </c>
      <c r="F59" s="1">
        <v>20751</v>
      </c>
      <c r="G59" s="1">
        <v>28.83</v>
      </c>
      <c r="H59" s="1">
        <v>3.05</v>
      </c>
      <c r="I59" s="1">
        <v>-2.0499999999999998</v>
      </c>
      <c r="J59" s="1">
        <v>80</v>
      </c>
      <c r="K59" s="1">
        <v>3</v>
      </c>
      <c r="L59" s="1">
        <v>3.1</v>
      </c>
      <c r="M59" s="1">
        <v>120</v>
      </c>
      <c r="N59" s="1">
        <v>32500</v>
      </c>
      <c r="O59" s="1">
        <v>80</v>
      </c>
      <c r="P59" s="1">
        <v>1530.9</v>
      </c>
      <c r="Q59" s="1">
        <v>1544.4</v>
      </c>
      <c r="R59" s="1">
        <v>20</v>
      </c>
      <c r="S59" s="1">
        <v>-144.1</v>
      </c>
      <c r="T59" s="1">
        <v>1473</v>
      </c>
      <c r="U59" s="1" t="s">
        <v>14</v>
      </c>
      <c r="V59" s="1">
        <v>125</v>
      </c>
      <c r="W59" s="1">
        <v>-740</v>
      </c>
      <c r="X59" s="1">
        <v>46700</v>
      </c>
      <c r="Y59" s="1" t="s">
        <v>44</v>
      </c>
      <c r="AA59" s="23" t="e">
        <f>#REF!/#REF!</f>
        <v>#REF!</v>
      </c>
    </row>
    <row r="60" spans="1:27" x14ac:dyDescent="0.25">
      <c r="A60" t="str">
        <f t="shared" si="5"/>
        <v>CE32600</v>
      </c>
      <c r="B60" t="str">
        <f t="shared" si="6"/>
        <v>PE32600</v>
      </c>
      <c r="C60" t="s">
        <v>44</v>
      </c>
      <c r="D60" s="1">
        <v>34100</v>
      </c>
      <c r="E60" s="1">
        <v>-1000</v>
      </c>
      <c r="F60" s="1">
        <v>5747</v>
      </c>
      <c r="G60" s="1">
        <v>30.56</v>
      </c>
      <c r="H60" s="1">
        <v>2.9</v>
      </c>
      <c r="I60" s="1">
        <v>-2.1</v>
      </c>
      <c r="J60" s="1">
        <v>180</v>
      </c>
      <c r="K60" s="1">
        <v>2.95</v>
      </c>
      <c r="L60" s="1">
        <v>3</v>
      </c>
      <c r="M60" s="1">
        <v>20</v>
      </c>
      <c r="N60" s="1">
        <v>32600</v>
      </c>
      <c r="O60" s="1">
        <v>20</v>
      </c>
      <c r="P60" s="1">
        <v>1618.4</v>
      </c>
      <c r="Q60" s="1">
        <v>1650.6</v>
      </c>
      <c r="R60" s="1">
        <v>80</v>
      </c>
      <c r="S60" s="1">
        <v>-48.55</v>
      </c>
      <c r="T60" s="1">
        <v>1610.45</v>
      </c>
      <c r="U60" s="1">
        <v>29.18</v>
      </c>
      <c r="V60" s="1">
        <v>11</v>
      </c>
      <c r="W60" s="1">
        <v>-20</v>
      </c>
      <c r="X60" s="1">
        <v>6700</v>
      </c>
      <c r="Y60" s="1" t="s">
        <v>44</v>
      </c>
      <c r="AA60" s="23" t="e">
        <f>#REF!/#REF!</f>
        <v>#REF!</v>
      </c>
    </row>
    <row r="61" spans="1:27" x14ac:dyDescent="0.25">
      <c r="A61" t="str">
        <f t="shared" si="5"/>
        <v>CE32700</v>
      </c>
      <c r="B61" t="str">
        <f t="shared" si="6"/>
        <v>PE32700</v>
      </c>
      <c r="C61" t="s">
        <v>44</v>
      </c>
      <c r="D61" s="1">
        <v>31460</v>
      </c>
      <c r="E61" s="1">
        <v>-1560</v>
      </c>
      <c r="F61" s="1">
        <v>3210</v>
      </c>
      <c r="G61" s="1">
        <v>32.21</v>
      </c>
      <c r="H61" s="1">
        <v>2.9</v>
      </c>
      <c r="I61" s="1">
        <v>-1.55</v>
      </c>
      <c r="J61" s="1">
        <v>20</v>
      </c>
      <c r="K61" s="1">
        <v>2.75</v>
      </c>
      <c r="L61" s="1">
        <v>3.15</v>
      </c>
      <c r="M61" s="1">
        <v>120</v>
      </c>
      <c r="N61" s="1">
        <v>32700</v>
      </c>
      <c r="O61" s="1">
        <v>20</v>
      </c>
      <c r="P61" s="1">
        <v>1681.75</v>
      </c>
      <c r="Q61" s="1">
        <v>1757.4</v>
      </c>
      <c r="R61" s="1">
        <v>80</v>
      </c>
      <c r="S61" s="1">
        <v>-167.45</v>
      </c>
      <c r="T61" s="1">
        <v>1645.75</v>
      </c>
      <c r="U61" s="1" t="s">
        <v>14</v>
      </c>
      <c r="V61" s="1">
        <v>11</v>
      </c>
      <c r="W61" s="1">
        <v>-20</v>
      </c>
      <c r="X61" s="1">
        <v>4060</v>
      </c>
      <c r="Y61" s="1" t="s">
        <v>44</v>
      </c>
      <c r="AA61" s="23" t="e">
        <f>#REF!/#REF!</f>
        <v>#REF!</v>
      </c>
    </row>
    <row r="62" spans="1:27" x14ac:dyDescent="0.25">
      <c r="A62" t="str">
        <f t="shared" si="5"/>
        <v>CE32800</v>
      </c>
      <c r="B62" t="str">
        <f t="shared" si="6"/>
        <v>PE32800</v>
      </c>
      <c r="C62" t="s">
        <v>44</v>
      </c>
      <c r="D62" s="1">
        <v>21820</v>
      </c>
      <c r="E62" s="1">
        <v>-440</v>
      </c>
      <c r="F62" s="1">
        <v>2084</v>
      </c>
      <c r="G62" s="1">
        <v>33.43</v>
      </c>
      <c r="H62" s="1">
        <v>2.6</v>
      </c>
      <c r="I62" s="1">
        <v>-1.5</v>
      </c>
      <c r="J62" s="1">
        <v>40</v>
      </c>
      <c r="K62" s="1">
        <v>2.6</v>
      </c>
      <c r="L62" s="1">
        <v>2.75</v>
      </c>
      <c r="M62" s="1">
        <v>100</v>
      </c>
      <c r="N62" s="1">
        <v>32800</v>
      </c>
      <c r="O62" s="1">
        <v>240</v>
      </c>
      <c r="P62" s="1">
        <v>1802.4</v>
      </c>
      <c r="Q62" s="1">
        <v>1855.8</v>
      </c>
      <c r="R62" s="1">
        <v>240</v>
      </c>
      <c r="S62" s="1">
        <v>-64.2</v>
      </c>
      <c r="T62" s="1">
        <v>1806.7</v>
      </c>
      <c r="U62" s="1" t="s">
        <v>14</v>
      </c>
      <c r="V62" s="1">
        <v>15</v>
      </c>
      <c r="W62" s="1">
        <v>-40</v>
      </c>
      <c r="X62" s="1">
        <v>800</v>
      </c>
      <c r="Y62" s="1" t="s">
        <v>44</v>
      </c>
      <c r="AA62" s="23" t="e">
        <f>#REF!/#REF!</f>
        <v>#REF!</v>
      </c>
    </row>
    <row r="63" spans="1:27" x14ac:dyDescent="0.25">
      <c r="A63" t="str">
        <f t="shared" si="5"/>
        <v>CE32900</v>
      </c>
      <c r="B63" t="str">
        <f t="shared" si="6"/>
        <v>PE32900</v>
      </c>
      <c r="C63" t="s">
        <v>44</v>
      </c>
      <c r="D63" s="1">
        <v>14860</v>
      </c>
      <c r="E63" s="1">
        <v>-2680</v>
      </c>
      <c r="F63" s="1">
        <v>1364</v>
      </c>
      <c r="G63" s="1">
        <v>34.42</v>
      </c>
      <c r="H63" s="1">
        <v>2.7</v>
      </c>
      <c r="I63" s="1">
        <v>-1.4</v>
      </c>
      <c r="J63" s="1">
        <v>100</v>
      </c>
      <c r="K63" s="1">
        <v>2.5499999999999998</v>
      </c>
      <c r="L63" s="1">
        <v>2.65</v>
      </c>
      <c r="M63" s="1">
        <v>100</v>
      </c>
      <c r="N63" s="1">
        <v>32900</v>
      </c>
      <c r="O63" s="1">
        <v>40</v>
      </c>
      <c r="P63" s="1">
        <v>1877.3</v>
      </c>
      <c r="Q63" s="1">
        <v>1986.8</v>
      </c>
      <c r="R63" s="1">
        <v>380</v>
      </c>
      <c r="S63" s="1">
        <v>-38.65</v>
      </c>
      <c r="T63" s="1">
        <v>1911.85</v>
      </c>
      <c r="U63" s="1">
        <v>36.130000000000003</v>
      </c>
      <c r="V63" s="1">
        <v>1</v>
      </c>
      <c r="W63" s="1" t="s">
        <v>14</v>
      </c>
      <c r="X63" s="1">
        <v>200</v>
      </c>
      <c r="Y63" s="1" t="s">
        <v>44</v>
      </c>
      <c r="AA63" s="23" t="e">
        <f>#REF!/#REF!</f>
        <v>#REF!</v>
      </c>
    </row>
    <row r="64" spans="1:27" x14ac:dyDescent="0.25">
      <c r="A64" t="str">
        <f t="shared" si="5"/>
        <v>CE33000</v>
      </c>
      <c r="B64" t="str">
        <f t="shared" si="6"/>
        <v>PE33000</v>
      </c>
      <c r="C64" t="s">
        <v>44</v>
      </c>
      <c r="D64" s="1">
        <v>397460</v>
      </c>
      <c r="E64" s="1">
        <v>-12740</v>
      </c>
      <c r="F64" s="1">
        <v>6270</v>
      </c>
      <c r="G64" s="1">
        <v>36.36</v>
      </c>
      <c r="H64" s="1">
        <v>2.8</v>
      </c>
      <c r="I64" s="1">
        <v>-1.1499999999999999</v>
      </c>
      <c r="J64" s="1">
        <v>280</v>
      </c>
      <c r="K64" s="1">
        <v>2.8</v>
      </c>
      <c r="L64" s="1">
        <v>2.95</v>
      </c>
      <c r="M64" s="1">
        <v>400</v>
      </c>
      <c r="N64" s="1">
        <v>33000</v>
      </c>
      <c r="O64" s="1">
        <v>400</v>
      </c>
      <c r="P64" s="1">
        <v>2028.95</v>
      </c>
      <c r="Q64" s="1">
        <v>2044.85</v>
      </c>
      <c r="R64" s="1">
        <v>20</v>
      </c>
      <c r="S64" s="1">
        <v>-92</v>
      </c>
      <c r="T64" s="1">
        <v>2022.25</v>
      </c>
      <c r="U64" s="1">
        <v>46.21</v>
      </c>
      <c r="V64" s="1">
        <v>47</v>
      </c>
      <c r="W64" s="1">
        <v>-280</v>
      </c>
      <c r="X64" s="1">
        <v>31220</v>
      </c>
      <c r="Y64" s="1" t="s">
        <v>44</v>
      </c>
      <c r="AA64" s="23" t="e">
        <f>#REF!/#REF!</f>
        <v>#REF!</v>
      </c>
    </row>
    <row r="65" spans="1:27" x14ac:dyDescent="0.25">
      <c r="A65" t="e">
        <f>"CE"&amp;#REF!</f>
        <v>#REF!</v>
      </c>
      <c r="B65" t="e">
        <f>"PE"&amp;#REF!</f>
        <v>#REF!</v>
      </c>
      <c r="C65" t="s">
        <v>44</v>
      </c>
      <c r="D65" s="1">
        <v>5800</v>
      </c>
      <c r="E65" s="1">
        <v>180</v>
      </c>
      <c r="F65" s="1">
        <v>123</v>
      </c>
      <c r="G65" s="1">
        <v>36.99</v>
      </c>
      <c r="H65" s="1">
        <v>2.35</v>
      </c>
      <c r="I65" s="1">
        <v>-1.25</v>
      </c>
      <c r="J65" s="1">
        <v>80</v>
      </c>
      <c r="K65" s="1">
        <v>2.35</v>
      </c>
      <c r="L65" s="1">
        <v>2.65</v>
      </c>
      <c r="M65" s="1">
        <v>20</v>
      </c>
      <c r="N65" s="1">
        <v>33100</v>
      </c>
      <c r="O65" s="1">
        <v>400</v>
      </c>
      <c r="P65" s="1">
        <v>1996.4</v>
      </c>
      <c r="Q65" s="1">
        <v>2221.3000000000002</v>
      </c>
      <c r="R65" s="1">
        <v>380</v>
      </c>
      <c r="S65" s="1">
        <v>203.5</v>
      </c>
      <c r="T65" s="1">
        <v>2123.4</v>
      </c>
      <c r="U65" s="1">
        <v>48.71</v>
      </c>
      <c r="V65" s="1">
        <v>1</v>
      </c>
      <c r="W65" s="1" t="s">
        <v>14</v>
      </c>
      <c r="X65" s="1">
        <v>40</v>
      </c>
      <c r="Y65" s="1" t="s">
        <v>44</v>
      </c>
      <c r="AA65" s="23" t="e">
        <f>#REF!/#REF!</f>
        <v>#REF!</v>
      </c>
    </row>
    <row r="66" spans="1:27" x14ac:dyDescent="0.25">
      <c r="A66" t="e">
        <f>"CE"&amp;#REF!</f>
        <v>#REF!</v>
      </c>
      <c r="B66" t="e">
        <f>"PE"&amp;#REF!</f>
        <v>#REF!</v>
      </c>
      <c r="C66" t="s">
        <v>44</v>
      </c>
      <c r="D66" s="1">
        <v>4580</v>
      </c>
      <c r="E66" s="1">
        <v>-60</v>
      </c>
      <c r="F66" s="1">
        <v>65</v>
      </c>
      <c r="G66" s="1">
        <v>38.159999999999997</v>
      </c>
      <c r="H66" s="1">
        <v>2.2000000000000002</v>
      </c>
      <c r="I66" s="1">
        <v>-1.3</v>
      </c>
      <c r="J66" s="1">
        <v>140</v>
      </c>
      <c r="K66" s="1">
        <v>2.25</v>
      </c>
      <c r="L66" s="1">
        <v>2.65</v>
      </c>
      <c r="M66" s="1">
        <v>20</v>
      </c>
      <c r="N66" s="1">
        <v>33200</v>
      </c>
      <c r="O66" s="1">
        <v>240</v>
      </c>
      <c r="P66" s="1">
        <v>2089.1999999999998</v>
      </c>
      <c r="Q66" s="1">
        <v>2303.0500000000002</v>
      </c>
      <c r="R66" s="1">
        <v>380</v>
      </c>
      <c r="S66" s="1" t="s">
        <v>14</v>
      </c>
      <c r="T66" s="1" t="s">
        <v>14</v>
      </c>
      <c r="U66" s="1" t="s">
        <v>14</v>
      </c>
      <c r="V66" s="1" t="s">
        <v>14</v>
      </c>
      <c r="W66" s="1" t="s">
        <v>14</v>
      </c>
      <c r="X66" s="1" t="s">
        <v>14</v>
      </c>
      <c r="Y66" s="1" t="s">
        <v>44</v>
      </c>
      <c r="AA66" s="23" t="e">
        <f>#REF!/#REF!</f>
        <v>#REF!</v>
      </c>
    </row>
    <row r="67" spans="1:27" x14ac:dyDescent="0.25">
      <c r="A67" t="e">
        <f>"CE"&amp;#REF!</f>
        <v>#REF!</v>
      </c>
      <c r="B67" t="e">
        <f>"PE"&amp;#REF!</f>
        <v>#REF!</v>
      </c>
      <c r="C67" t="s">
        <v>44</v>
      </c>
      <c r="D67" s="1">
        <v>13580</v>
      </c>
      <c r="E67" s="1">
        <v>-140</v>
      </c>
      <c r="F67" s="1">
        <v>19</v>
      </c>
      <c r="G67" s="1">
        <v>40.04</v>
      </c>
      <c r="H67" s="1">
        <v>2.4</v>
      </c>
      <c r="I67" s="1">
        <v>-1.45</v>
      </c>
      <c r="J67" s="1">
        <v>140</v>
      </c>
      <c r="K67" s="1">
        <v>2.4</v>
      </c>
      <c r="L67" s="1">
        <v>2.5499999999999998</v>
      </c>
      <c r="M67" s="1">
        <v>20</v>
      </c>
      <c r="N67" s="1">
        <v>33300</v>
      </c>
      <c r="O67" s="1">
        <v>240</v>
      </c>
      <c r="P67" s="1">
        <v>2180.8000000000002</v>
      </c>
      <c r="Q67" s="1">
        <v>2413.25</v>
      </c>
      <c r="R67" s="1">
        <v>380</v>
      </c>
      <c r="S67" s="1" t="s">
        <v>14</v>
      </c>
      <c r="T67" s="1" t="s">
        <v>14</v>
      </c>
      <c r="U67" s="1" t="s">
        <v>14</v>
      </c>
      <c r="V67" s="1" t="s">
        <v>14</v>
      </c>
      <c r="W67" s="1" t="s">
        <v>14</v>
      </c>
      <c r="X67" s="1">
        <v>260</v>
      </c>
      <c r="Y67" s="1" t="s">
        <v>44</v>
      </c>
      <c r="AA67" s="23" t="e">
        <f>#REF!/#REF!</f>
        <v>#REF!</v>
      </c>
    </row>
    <row r="68" spans="1:27" x14ac:dyDescent="0.25">
      <c r="A68" t="e">
        <f>"CE"&amp;#REF!</f>
        <v>#REF!</v>
      </c>
      <c r="B68" t="e">
        <f>"PE"&amp;#REF!</f>
        <v>#REF!</v>
      </c>
      <c r="C68" t="s">
        <v>44</v>
      </c>
      <c r="D68" s="1">
        <v>2040</v>
      </c>
      <c r="E68" s="1">
        <v>-400</v>
      </c>
      <c r="F68" s="1">
        <v>47</v>
      </c>
      <c r="G68" s="1">
        <v>40.619999999999997</v>
      </c>
      <c r="H68" s="1">
        <v>2</v>
      </c>
      <c r="I68" s="1">
        <v>-1.1000000000000001</v>
      </c>
      <c r="J68" s="1">
        <v>500</v>
      </c>
      <c r="K68" s="1">
        <v>1.7</v>
      </c>
      <c r="L68" s="1">
        <v>2</v>
      </c>
      <c r="M68" s="1">
        <v>40</v>
      </c>
      <c r="N68" s="1">
        <v>33400</v>
      </c>
      <c r="O68" s="1">
        <v>240</v>
      </c>
      <c r="P68" s="1">
        <v>2299.8000000000002</v>
      </c>
      <c r="Q68" s="1">
        <v>2502.5</v>
      </c>
      <c r="R68" s="1">
        <v>380</v>
      </c>
      <c r="S68" s="1" t="s">
        <v>14</v>
      </c>
      <c r="T68" s="1" t="s">
        <v>14</v>
      </c>
      <c r="U68" s="1" t="s">
        <v>14</v>
      </c>
      <c r="V68" s="1" t="s">
        <v>14</v>
      </c>
      <c r="W68" s="1" t="s">
        <v>14</v>
      </c>
      <c r="X68" s="1" t="s">
        <v>14</v>
      </c>
      <c r="Y68" s="1" t="s">
        <v>44</v>
      </c>
      <c r="AA68" s="23" t="e">
        <f>#REF!/#REF!</f>
        <v>#REF!</v>
      </c>
    </row>
    <row r="69" spans="1:27" x14ac:dyDescent="0.25">
      <c r="A69" t="e">
        <f>"CE"&amp;#REF!</f>
        <v>#REF!</v>
      </c>
      <c r="B69" t="e">
        <f>"PE"&amp;#REF!</f>
        <v>#REF!</v>
      </c>
      <c r="C69" t="s">
        <v>44</v>
      </c>
      <c r="D69" s="1">
        <v>98720</v>
      </c>
      <c r="E69" s="1">
        <v>-8540</v>
      </c>
      <c r="F69" s="1">
        <v>1127</v>
      </c>
      <c r="G69" s="1">
        <v>43.45</v>
      </c>
      <c r="H69" s="1">
        <v>2.65</v>
      </c>
      <c r="I69" s="1">
        <v>-0.75</v>
      </c>
      <c r="J69" s="1">
        <v>80</v>
      </c>
      <c r="K69" s="1">
        <v>2.6</v>
      </c>
      <c r="L69" s="1">
        <v>2.65</v>
      </c>
      <c r="M69" s="1">
        <v>660</v>
      </c>
      <c r="N69" s="1">
        <v>33500</v>
      </c>
      <c r="O69" s="1">
        <v>20</v>
      </c>
      <c r="P69" s="1">
        <v>2517.9</v>
      </c>
      <c r="Q69" s="1">
        <v>2541.5</v>
      </c>
      <c r="R69" s="1">
        <v>20</v>
      </c>
      <c r="S69" s="1">
        <v>-100</v>
      </c>
      <c r="T69" s="1">
        <v>2500</v>
      </c>
      <c r="U69" s="1" t="s">
        <v>14</v>
      </c>
      <c r="V69" s="1">
        <v>12</v>
      </c>
      <c r="W69" s="1">
        <v>20</v>
      </c>
      <c r="X69" s="1">
        <v>11420</v>
      </c>
      <c r="Y69" s="1" t="s">
        <v>44</v>
      </c>
      <c r="AA69" s="23" t="e">
        <f>#REF!/#REF!</f>
        <v>#REF!</v>
      </c>
    </row>
    <row r="70" spans="1:27" x14ac:dyDescent="0.25">
      <c r="A70" t="e">
        <f>"CE"&amp;#REF!</f>
        <v>#REF!</v>
      </c>
      <c r="B70" t="e">
        <f>"PE"&amp;#REF!</f>
        <v>#REF!</v>
      </c>
      <c r="C70" t="s">
        <v>44</v>
      </c>
      <c r="D70" s="1">
        <v>1260</v>
      </c>
      <c r="E70" s="1">
        <v>-1000</v>
      </c>
      <c r="F70" s="1">
        <v>77</v>
      </c>
      <c r="G70" s="1">
        <v>44.81</v>
      </c>
      <c r="H70" s="1">
        <v>2.6</v>
      </c>
      <c r="I70" s="1">
        <v>-0.6</v>
      </c>
      <c r="J70" s="1">
        <v>20</v>
      </c>
      <c r="K70" s="1">
        <v>2.15</v>
      </c>
      <c r="L70" s="1">
        <v>2.6</v>
      </c>
      <c r="M70" s="1">
        <v>160</v>
      </c>
      <c r="N70" s="1">
        <v>33600</v>
      </c>
      <c r="O70" s="1">
        <v>240</v>
      </c>
      <c r="P70" s="1">
        <v>2494.9</v>
      </c>
      <c r="Q70" s="1">
        <v>2703.8</v>
      </c>
      <c r="R70" s="1">
        <v>380</v>
      </c>
      <c r="S70" s="1" t="s">
        <v>14</v>
      </c>
      <c r="T70" s="1" t="s">
        <v>14</v>
      </c>
      <c r="U70" s="1" t="s">
        <v>14</v>
      </c>
      <c r="V70" s="1" t="s">
        <v>14</v>
      </c>
      <c r="W70" s="1" t="s">
        <v>14</v>
      </c>
      <c r="X70" s="1" t="s">
        <v>14</v>
      </c>
      <c r="Y70" s="1" t="s">
        <v>44</v>
      </c>
      <c r="AA70" s="23" t="e">
        <f>#REF!/#REF!</f>
        <v>#REF!</v>
      </c>
    </row>
    <row r="71" spans="1:27" x14ac:dyDescent="0.25">
      <c r="A71" t="e">
        <f>"CE"&amp;#REF!</f>
        <v>#REF!</v>
      </c>
      <c r="B71" t="e">
        <f>"PE"&amp;#REF!</f>
        <v>#REF!</v>
      </c>
      <c r="C71" t="s">
        <v>44</v>
      </c>
      <c r="D71" s="1">
        <v>320</v>
      </c>
      <c r="E71" s="1" t="s">
        <v>14</v>
      </c>
      <c r="F71" s="1">
        <v>1</v>
      </c>
      <c r="G71" s="1">
        <v>47.05</v>
      </c>
      <c r="H71" s="1">
        <v>3</v>
      </c>
      <c r="I71" s="1" t="s">
        <v>14</v>
      </c>
      <c r="J71" s="1">
        <v>20</v>
      </c>
      <c r="K71" s="1">
        <v>1.25</v>
      </c>
      <c r="L71" s="1">
        <v>3</v>
      </c>
      <c r="M71" s="1">
        <v>20</v>
      </c>
      <c r="N71" s="1">
        <v>33700</v>
      </c>
      <c r="O71" s="1">
        <v>240</v>
      </c>
      <c r="P71" s="1">
        <v>2585.9</v>
      </c>
      <c r="Q71" s="1">
        <v>2832.8</v>
      </c>
      <c r="R71" s="1">
        <v>380</v>
      </c>
      <c r="S71" s="1" t="s">
        <v>14</v>
      </c>
      <c r="T71" s="1" t="s">
        <v>14</v>
      </c>
      <c r="U71" s="1" t="s">
        <v>14</v>
      </c>
      <c r="V71" s="1" t="s">
        <v>14</v>
      </c>
      <c r="W71" s="1" t="s">
        <v>14</v>
      </c>
      <c r="X71" s="1" t="s">
        <v>14</v>
      </c>
      <c r="Y71" s="1" t="s">
        <v>44</v>
      </c>
      <c r="AA71" s="23" t="e">
        <f>#REF!/#REF!</f>
        <v>#REF!</v>
      </c>
    </row>
    <row r="72" spans="1:27" x14ac:dyDescent="0.25">
      <c r="A72" t="e">
        <f>"CE"&amp;#REF!</f>
        <v>#REF!</v>
      </c>
      <c r="B72" t="e">
        <f>"PE"&amp;#REF!</f>
        <v>#REF!</v>
      </c>
      <c r="C72" t="s">
        <v>44</v>
      </c>
      <c r="D72" s="1">
        <v>580</v>
      </c>
      <c r="E72" s="1">
        <v>-20</v>
      </c>
      <c r="F72" s="1">
        <v>6</v>
      </c>
      <c r="G72" s="1">
        <v>48.5</v>
      </c>
      <c r="H72" s="1">
        <v>3</v>
      </c>
      <c r="I72" s="1">
        <v>-0.15</v>
      </c>
      <c r="J72" s="1">
        <v>100</v>
      </c>
      <c r="K72" s="1">
        <v>1.05</v>
      </c>
      <c r="L72" s="1">
        <v>2.95</v>
      </c>
      <c r="M72" s="1">
        <v>100</v>
      </c>
      <c r="N72" s="1">
        <v>33800</v>
      </c>
      <c r="O72" s="1">
        <v>220</v>
      </c>
      <c r="P72" s="1">
        <v>2688.15</v>
      </c>
      <c r="Q72" s="1">
        <v>2891.9</v>
      </c>
      <c r="R72" s="1">
        <v>380</v>
      </c>
      <c r="S72" s="1" t="s">
        <v>14</v>
      </c>
      <c r="T72" s="1" t="s">
        <v>14</v>
      </c>
      <c r="U72" s="1" t="s">
        <v>14</v>
      </c>
      <c r="V72" s="1" t="s">
        <v>14</v>
      </c>
      <c r="W72" s="1" t="s">
        <v>14</v>
      </c>
      <c r="X72" s="1">
        <v>20</v>
      </c>
      <c r="Y72" s="1" t="s">
        <v>44</v>
      </c>
      <c r="AA72" s="23" t="e">
        <f>#REF!/#REF!</f>
        <v>#REF!</v>
      </c>
    </row>
    <row r="73" spans="1:27" x14ac:dyDescent="0.25">
      <c r="A73" t="e">
        <f>"CE"&amp;#REF!</f>
        <v>#REF!</v>
      </c>
      <c r="B73" t="e">
        <f>"PE"&amp;#REF!</f>
        <v>#REF!</v>
      </c>
      <c r="C73" t="s">
        <v>44</v>
      </c>
      <c r="D73" s="1" t="s">
        <v>14</v>
      </c>
      <c r="E73" s="1" t="s">
        <v>14</v>
      </c>
      <c r="F73" s="1" t="s">
        <v>14</v>
      </c>
      <c r="G73" s="1" t="s">
        <v>14</v>
      </c>
      <c r="H73" s="1" t="s">
        <v>14</v>
      </c>
      <c r="I73" s="1" t="s">
        <v>14</v>
      </c>
      <c r="J73" s="1">
        <v>200</v>
      </c>
      <c r="K73" s="1">
        <v>0.95</v>
      </c>
      <c r="L73" s="1">
        <v>2.95</v>
      </c>
      <c r="M73" s="1">
        <v>600</v>
      </c>
      <c r="N73" s="1">
        <v>33900</v>
      </c>
      <c r="O73" s="1">
        <v>220</v>
      </c>
      <c r="P73" s="1">
        <v>2791.8</v>
      </c>
      <c r="Q73" s="1">
        <v>3002.55</v>
      </c>
      <c r="R73" s="1">
        <v>380</v>
      </c>
      <c r="S73" s="1" t="s">
        <v>14</v>
      </c>
      <c r="T73" s="1" t="s">
        <v>14</v>
      </c>
      <c r="U73" s="1" t="s">
        <v>14</v>
      </c>
      <c r="V73" s="1" t="s">
        <v>14</v>
      </c>
      <c r="W73" s="1" t="s">
        <v>14</v>
      </c>
      <c r="X73" s="1" t="s">
        <v>14</v>
      </c>
      <c r="Y73" s="1" t="s">
        <v>44</v>
      </c>
      <c r="AA73" s="23" t="e">
        <f>#REF!/#REF!</f>
        <v>#REF!</v>
      </c>
    </row>
    <row r="74" spans="1:27" x14ac:dyDescent="0.25">
      <c r="A74" t="e">
        <f>"CE"&amp;#REF!</f>
        <v>#REF!</v>
      </c>
      <c r="B74" t="e">
        <f>"PE"&amp;#REF!</f>
        <v>#REF!</v>
      </c>
      <c r="C74" t="s">
        <v>44</v>
      </c>
      <c r="D74" s="1">
        <v>96480</v>
      </c>
      <c r="E74" s="1">
        <v>1060</v>
      </c>
      <c r="F74" s="1">
        <v>1398</v>
      </c>
      <c r="G74" s="1">
        <v>50.4</v>
      </c>
      <c r="H74" s="1">
        <v>2.5499999999999998</v>
      </c>
      <c r="I74" s="1">
        <v>-0.75</v>
      </c>
      <c r="J74" s="1">
        <v>200</v>
      </c>
      <c r="K74" s="1">
        <v>2.5499999999999998</v>
      </c>
      <c r="L74" s="1">
        <v>2.6</v>
      </c>
      <c r="M74" s="1">
        <v>20</v>
      </c>
      <c r="N74" s="1">
        <v>34000</v>
      </c>
      <c r="O74" s="1">
        <v>20</v>
      </c>
      <c r="P74" s="1">
        <v>3019.35</v>
      </c>
      <c r="Q74" s="1">
        <v>3053.55</v>
      </c>
      <c r="R74" s="1">
        <v>20</v>
      </c>
      <c r="S74" s="1">
        <v>-97.75</v>
      </c>
      <c r="T74" s="1">
        <v>3016.05</v>
      </c>
      <c r="U74" s="1">
        <v>58.95</v>
      </c>
      <c r="V74" s="1">
        <v>47</v>
      </c>
      <c r="W74" s="1">
        <v>-440</v>
      </c>
      <c r="X74" s="1">
        <v>4340</v>
      </c>
      <c r="Y74" s="1" t="s">
        <v>44</v>
      </c>
      <c r="AA74" s="23" t="e">
        <f>#REF!/#REF!</f>
        <v>#REF!</v>
      </c>
    </row>
    <row r="75" spans="1:27" x14ac:dyDescent="0.25">
      <c r="A75" t="e">
        <f>"CE"&amp;#REF!</f>
        <v>#REF!</v>
      </c>
      <c r="B75" t="e">
        <f>"PE"&amp;#REF!</f>
        <v>#REF!</v>
      </c>
      <c r="C75" t="s">
        <v>44</v>
      </c>
      <c r="D75" s="1">
        <v>80</v>
      </c>
      <c r="E75" s="1">
        <v>-20</v>
      </c>
      <c r="F75" s="1">
        <v>2</v>
      </c>
      <c r="G75" s="1">
        <v>46.41</v>
      </c>
      <c r="H75" s="1">
        <v>0.9</v>
      </c>
      <c r="I75" s="1">
        <v>-2.1</v>
      </c>
      <c r="J75" s="1">
        <v>320</v>
      </c>
      <c r="K75" s="1">
        <v>0.9</v>
      </c>
      <c r="L75" s="1">
        <v>2.9</v>
      </c>
      <c r="M75" s="1">
        <v>20</v>
      </c>
      <c r="N75" s="1">
        <v>34100</v>
      </c>
      <c r="O75" s="1">
        <v>220</v>
      </c>
      <c r="P75" s="1">
        <v>2991.3</v>
      </c>
      <c r="Q75" s="1">
        <v>3242.65</v>
      </c>
      <c r="R75" s="1">
        <v>380</v>
      </c>
      <c r="S75" s="1" t="s">
        <v>14</v>
      </c>
      <c r="T75" s="1" t="s">
        <v>14</v>
      </c>
      <c r="U75" s="1" t="s">
        <v>14</v>
      </c>
      <c r="V75" s="1" t="s">
        <v>14</v>
      </c>
      <c r="W75" s="1" t="s">
        <v>14</v>
      </c>
      <c r="X75" s="1" t="s">
        <v>14</v>
      </c>
      <c r="Y75" s="1" t="s">
        <v>44</v>
      </c>
      <c r="AA75" s="23" t="e">
        <f>#REF!/#REF!</f>
        <v>#REF!</v>
      </c>
    </row>
    <row r="76" spans="1:27" x14ac:dyDescent="0.25">
      <c r="A76" t="e">
        <f>"CE"&amp;#REF!</f>
        <v>#REF!</v>
      </c>
      <c r="B76" t="e">
        <f>"PE"&amp;#REF!</f>
        <v>#REF!</v>
      </c>
      <c r="C76" t="s">
        <v>44</v>
      </c>
      <c r="D76" s="1" t="s">
        <v>14</v>
      </c>
      <c r="E76" s="1" t="s">
        <v>14</v>
      </c>
      <c r="F76" s="1" t="s">
        <v>14</v>
      </c>
      <c r="G76" s="1" t="s">
        <v>14</v>
      </c>
      <c r="H76" s="1" t="s">
        <v>14</v>
      </c>
      <c r="I76" s="1" t="s">
        <v>14</v>
      </c>
      <c r="J76" s="1">
        <v>200</v>
      </c>
      <c r="K76" s="1">
        <v>0.7</v>
      </c>
      <c r="L76" s="1" t="s">
        <v>14</v>
      </c>
      <c r="M76" s="1" t="s">
        <v>14</v>
      </c>
      <c r="N76" s="1">
        <v>34200</v>
      </c>
      <c r="O76" s="1">
        <v>220</v>
      </c>
      <c r="P76" s="1">
        <v>3081.3</v>
      </c>
      <c r="Q76" s="1">
        <v>3332.8</v>
      </c>
      <c r="R76" s="1">
        <v>380</v>
      </c>
      <c r="S76" s="1" t="s">
        <v>14</v>
      </c>
      <c r="T76" s="1" t="s">
        <v>14</v>
      </c>
      <c r="U76" s="1" t="s">
        <v>14</v>
      </c>
      <c r="V76" s="1" t="s">
        <v>14</v>
      </c>
      <c r="W76" s="1" t="s">
        <v>14</v>
      </c>
      <c r="X76" s="1" t="s">
        <v>14</v>
      </c>
      <c r="Y76" s="1" t="s">
        <v>44</v>
      </c>
      <c r="AA76" s="23" t="e">
        <f>#REF!/#REF!</f>
        <v>#REF!</v>
      </c>
    </row>
    <row r="77" spans="1:27" x14ac:dyDescent="0.25">
      <c r="A77" t="e">
        <f>"CE"&amp;#REF!</f>
        <v>#REF!</v>
      </c>
      <c r="B77" t="e">
        <f>"PE"&amp;#REF!</f>
        <v>#REF!</v>
      </c>
      <c r="C77" t="s">
        <v>44</v>
      </c>
      <c r="D77" s="1" t="s">
        <v>14</v>
      </c>
      <c r="E77" s="1" t="s">
        <v>14</v>
      </c>
      <c r="F77" s="1" t="s">
        <v>14</v>
      </c>
      <c r="G77" s="1" t="s">
        <v>14</v>
      </c>
      <c r="H77" s="1" t="s">
        <v>14</v>
      </c>
      <c r="I77" s="1" t="s">
        <v>14</v>
      </c>
      <c r="J77" s="1">
        <v>900</v>
      </c>
      <c r="K77" s="1">
        <v>0.8</v>
      </c>
      <c r="L77" s="1" t="s">
        <v>14</v>
      </c>
      <c r="M77" s="1" t="s">
        <v>14</v>
      </c>
      <c r="N77" s="1">
        <v>34300</v>
      </c>
      <c r="O77" s="1">
        <v>240</v>
      </c>
      <c r="P77" s="1">
        <v>3184.55</v>
      </c>
      <c r="Q77" s="1">
        <v>3432.7</v>
      </c>
      <c r="R77" s="1">
        <v>360</v>
      </c>
      <c r="S77" s="1" t="s">
        <v>14</v>
      </c>
      <c r="T77" s="1" t="s">
        <v>14</v>
      </c>
      <c r="U77" s="1" t="s">
        <v>14</v>
      </c>
      <c r="V77" s="1" t="s">
        <v>14</v>
      </c>
      <c r="W77" s="1" t="s">
        <v>14</v>
      </c>
      <c r="X77" s="1" t="s">
        <v>14</v>
      </c>
      <c r="Y77" s="1" t="s">
        <v>44</v>
      </c>
      <c r="AA77" s="23" t="e">
        <f>#REF!/#REF!</f>
        <v>#REF!</v>
      </c>
    </row>
    <row r="78" spans="1:27" x14ac:dyDescent="0.25">
      <c r="A78" t="e">
        <f>"CE"&amp;#REF!</f>
        <v>#REF!</v>
      </c>
      <c r="B78" t="e">
        <f>"PE"&amp;#REF!</f>
        <v>#REF!</v>
      </c>
      <c r="C78" t="s">
        <v>44</v>
      </c>
      <c r="D78" s="1">
        <v>100</v>
      </c>
      <c r="E78" s="1" t="s">
        <v>14</v>
      </c>
      <c r="F78" s="1" t="s">
        <v>14</v>
      </c>
      <c r="G78" s="1" t="s">
        <v>14</v>
      </c>
      <c r="H78" s="1" t="s">
        <v>14</v>
      </c>
      <c r="I78" s="1" t="s">
        <v>14</v>
      </c>
      <c r="J78" s="1">
        <v>40</v>
      </c>
      <c r="K78" s="1">
        <v>2.0499999999999998</v>
      </c>
      <c r="L78" s="1">
        <v>2.85</v>
      </c>
      <c r="M78" s="1">
        <v>400</v>
      </c>
      <c r="N78" s="1">
        <v>34400</v>
      </c>
      <c r="O78" s="1">
        <v>240</v>
      </c>
      <c r="P78" s="1">
        <v>3294.1</v>
      </c>
      <c r="Q78" s="1">
        <v>3485.25</v>
      </c>
      <c r="R78" s="1">
        <v>360</v>
      </c>
      <c r="S78" s="1" t="s">
        <v>14</v>
      </c>
      <c r="T78" s="1" t="s">
        <v>14</v>
      </c>
      <c r="U78" s="1" t="s">
        <v>14</v>
      </c>
      <c r="V78" s="1" t="s">
        <v>14</v>
      </c>
      <c r="W78" s="1" t="s">
        <v>14</v>
      </c>
      <c r="X78" s="1" t="s">
        <v>14</v>
      </c>
      <c r="Y78" s="1" t="s">
        <v>44</v>
      </c>
      <c r="AA78" s="23" t="e">
        <f>#REF!/#REF!</f>
        <v>#REF!</v>
      </c>
    </row>
    <row r="79" spans="1:27" x14ac:dyDescent="0.25">
      <c r="A79" t="e">
        <f>"CE"&amp;#REF!</f>
        <v>#REF!</v>
      </c>
      <c r="B79" t="e">
        <f>"PE"&amp;#REF!</f>
        <v>#REF!</v>
      </c>
      <c r="C79" t="s">
        <v>44</v>
      </c>
      <c r="D79" s="1">
        <v>20800</v>
      </c>
      <c r="E79" s="1">
        <v>-5580</v>
      </c>
      <c r="F79" s="1">
        <v>685</v>
      </c>
      <c r="G79" s="1">
        <v>54.86</v>
      </c>
      <c r="H79" s="1">
        <v>1.7</v>
      </c>
      <c r="I79" s="1">
        <v>-1.3</v>
      </c>
      <c r="J79" s="1">
        <v>40</v>
      </c>
      <c r="K79" s="1">
        <v>1.6</v>
      </c>
      <c r="L79" s="1">
        <v>1.65</v>
      </c>
      <c r="M79" s="1">
        <v>20</v>
      </c>
      <c r="N79" s="1">
        <v>34500</v>
      </c>
      <c r="O79" s="1">
        <v>40</v>
      </c>
      <c r="P79" s="1">
        <v>3512.3</v>
      </c>
      <c r="Q79" s="1">
        <v>3583.6</v>
      </c>
      <c r="R79" s="1">
        <v>360</v>
      </c>
      <c r="S79" s="1">
        <v>-86</v>
      </c>
      <c r="T79" s="1">
        <v>3516.45</v>
      </c>
      <c r="U79" s="1">
        <v>67.48</v>
      </c>
      <c r="V79" s="1">
        <v>10</v>
      </c>
      <c r="W79" s="1">
        <v>-40</v>
      </c>
      <c r="X79" s="1">
        <v>4100</v>
      </c>
      <c r="Y79" s="1" t="s">
        <v>44</v>
      </c>
      <c r="AA79" s="23" t="e">
        <f>#REF!/#REF!</f>
        <v>#REF!</v>
      </c>
    </row>
    <row r="80" spans="1:27" x14ac:dyDescent="0.25">
      <c r="A80" t="e">
        <f>"CE"&amp;#REF!</f>
        <v>#REF!</v>
      </c>
      <c r="B80" t="e">
        <f>"PE"&amp;#REF!</f>
        <v>#REF!</v>
      </c>
      <c r="C80" t="s">
        <v>44</v>
      </c>
      <c r="D80" s="1" t="s">
        <v>14</v>
      </c>
      <c r="E80" s="1" t="s">
        <v>14</v>
      </c>
      <c r="F80" s="1" t="s">
        <v>14</v>
      </c>
      <c r="G80" s="1" t="s">
        <v>14</v>
      </c>
      <c r="H80" s="1" t="s">
        <v>14</v>
      </c>
      <c r="I80" s="1" t="s">
        <v>14</v>
      </c>
      <c r="J80" s="1">
        <v>900</v>
      </c>
      <c r="K80" s="1">
        <v>0.3</v>
      </c>
      <c r="L80" s="1" t="s">
        <v>14</v>
      </c>
      <c r="M80" s="1" t="s">
        <v>14</v>
      </c>
      <c r="N80" s="1">
        <v>34600</v>
      </c>
      <c r="O80" s="1">
        <v>300</v>
      </c>
      <c r="P80" s="1">
        <v>3491.6</v>
      </c>
      <c r="Q80" s="1">
        <v>3742.5</v>
      </c>
      <c r="R80" s="1">
        <v>360</v>
      </c>
      <c r="S80" s="1" t="s">
        <v>14</v>
      </c>
      <c r="T80" s="1" t="s">
        <v>14</v>
      </c>
      <c r="U80" s="1" t="s">
        <v>14</v>
      </c>
      <c r="V80" s="1" t="s">
        <v>14</v>
      </c>
      <c r="W80" s="1" t="s">
        <v>14</v>
      </c>
      <c r="X80" s="1" t="s">
        <v>14</v>
      </c>
      <c r="Y80" s="1" t="s">
        <v>44</v>
      </c>
      <c r="AA80" s="23" t="e">
        <f>#REF!/#REF!</f>
        <v>#REF!</v>
      </c>
    </row>
    <row r="81" spans="1:66" x14ac:dyDescent="0.25">
      <c r="A81" t="e">
        <f>"CE"&amp;#REF!</f>
        <v>#REF!</v>
      </c>
      <c r="B81" t="e">
        <f>"PE"&amp;#REF!</f>
        <v>#REF!</v>
      </c>
      <c r="C81" t="s">
        <v>44</v>
      </c>
      <c r="D81" s="1" t="s">
        <v>14</v>
      </c>
      <c r="E81" s="1" t="s">
        <v>14</v>
      </c>
      <c r="F81" s="1" t="s">
        <v>14</v>
      </c>
      <c r="G81" s="1" t="s">
        <v>14</v>
      </c>
      <c r="H81" s="1" t="s">
        <v>14</v>
      </c>
      <c r="I81" s="1" t="s">
        <v>14</v>
      </c>
      <c r="J81" s="1">
        <v>200</v>
      </c>
      <c r="K81" s="1">
        <v>0.5</v>
      </c>
      <c r="L81" s="1" t="s">
        <v>14</v>
      </c>
      <c r="M81" s="1" t="s">
        <v>14</v>
      </c>
      <c r="N81" s="1">
        <v>34700</v>
      </c>
      <c r="O81" s="1">
        <v>240</v>
      </c>
      <c r="P81" s="1">
        <v>3583.65</v>
      </c>
      <c r="Q81" s="1">
        <v>3832</v>
      </c>
      <c r="R81" s="1">
        <v>360</v>
      </c>
      <c r="S81" s="1" t="s">
        <v>14</v>
      </c>
      <c r="T81" s="1" t="s">
        <v>14</v>
      </c>
      <c r="U81" s="1" t="s">
        <v>14</v>
      </c>
      <c r="V81" s="1" t="s">
        <v>14</v>
      </c>
      <c r="W81" s="1" t="s">
        <v>14</v>
      </c>
      <c r="X81" s="1" t="s">
        <v>14</v>
      </c>
      <c r="Y81" s="1" t="s">
        <v>44</v>
      </c>
      <c r="AA81" s="23" t="e">
        <f>#REF!/#REF!</f>
        <v>#REF!</v>
      </c>
    </row>
    <row r="82" spans="1:66" x14ac:dyDescent="0.25">
      <c r="A82" t="e">
        <f>"CE"&amp;#REF!</f>
        <v>#REF!</v>
      </c>
      <c r="B82" t="e">
        <f>"PE"&amp;#REF!</f>
        <v>#REF!</v>
      </c>
      <c r="C82" t="s">
        <v>44</v>
      </c>
      <c r="D82" s="1" t="s">
        <v>14</v>
      </c>
      <c r="E82" s="1" t="s">
        <v>14</v>
      </c>
      <c r="F82" s="1" t="s">
        <v>14</v>
      </c>
      <c r="G82" s="1" t="s">
        <v>14</v>
      </c>
      <c r="H82" s="1" t="s">
        <v>14</v>
      </c>
      <c r="I82" s="1" t="s">
        <v>14</v>
      </c>
      <c r="J82" s="1">
        <v>300</v>
      </c>
      <c r="K82" s="1">
        <v>0.7</v>
      </c>
      <c r="L82" s="1" t="s">
        <v>14</v>
      </c>
      <c r="M82" s="1" t="s">
        <v>14</v>
      </c>
      <c r="N82" s="1">
        <v>34800</v>
      </c>
      <c r="O82" s="1">
        <v>240</v>
      </c>
      <c r="P82" s="1">
        <v>3679.85</v>
      </c>
      <c r="Q82" s="1">
        <v>3927.85</v>
      </c>
      <c r="R82" s="1">
        <v>360</v>
      </c>
      <c r="S82" s="1" t="s">
        <v>14</v>
      </c>
      <c r="T82" s="1" t="s">
        <v>14</v>
      </c>
      <c r="U82" s="1" t="s">
        <v>14</v>
      </c>
      <c r="V82" s="1" t="s">
        <v>14</v>
      </c>
      <c r="W82" s="1" t="s">
        <v>14</v>
      </c>
      <c r="X82" s="1" t="s">
        <v>14</v>
      </c>
      <c r="Y82" s="1" t="s">
        <v>44</v>
      </c>
      <c r="AA82" s="23" t="e">
        <f>#REF!/#REF!</f>
        <v>#REF!</v>
      </c>
    </row>
    <row r="83" spans="1:66" x14ac:dyDescent="0.25">
      <c r="A83" t="e">
        <f>"CE"&amp;#REF!</f>
        <v>#REF!</v>
      </c>
      <c r="B83" t="e">
        <f>"PE"&amp;#REF!</f>
        <v>#REF!</v>
      </c>
      <c r="C83" t="s">
        <v>44</v>
      </c>
      <c r="D83" s="1" t="s">
        <v>14</v>
      </c>
      <c r="E83" s="1" t="s">
        <v>14</v>
      </c>
      <c r="F83" s="1" t="s">
        <v>14</v>
      </c>
      <c r="G83" s="1" t="s">
        <v>14</v>
      </c>
      <c r="H83" s="1" t="s">
        <v>14</v>
      </c>
      <c r="I83" s="1" t="s">
        <v>14</v>
      </c>
      <c r="J83" s="1">
        <v>300</v>
      </c>
      <c r="K83" s="1">
        <v>0.6</v>
      </c>
      <c r="L83" s="1" t="s">
        <v>14</v>
      </c>
      <c r="M83" s="1" t="s">
        <v>14</v>
      </c>
      <c r="N83" s="1">
        <v>34900</v>
      </c>
      <c r="O83" s="1">
        <v>240</v>
      </c>
      <c r="P83" s="1">
        <v>3782.85</v>
      </c>
      <c r="Q83" s="1">
        <v>4032.5</v>
      </c>
      <c r="R83" s="1">
        <v>360</v>
      </c>
      <c r="S83" s="1" t="s">
        <v>14</v>
      </c>
      <c r="T83" s="1" t="s">
        <v>14</v>
      </c>
      <c r="U83" s="1" t="s">
        <v>14</v>
      </c>
      <c r="V83" s="1" t="s">
        <v>14</v>
      </c>
      <c r="W83" s="1" t="s">
        <v>14</v>
      </c>
      <c r="X83" s="1" t="s">
        <v>14</v>
      </c>
      <c r="Y83" s="1" t="s">
        <v>44</v>
      </c>
      <c r="AA83" s="23" t="e">
        <f>#REF!/#REF!</f>
        <v>#REF!</v>
      </c>
    </row>
    <row r="84" spans="1:66" x14ac:dyDescent="0.25">
      <c r="A84" t="e">
        <f>"CE"&amp;#REF!</f>
        <v>#REF!</v>
      </c>
      <c r="B84" t="e">
        <f>"PE"&amp;#REF!</f>
        <v>#REF!</v>
      </c>
      <c r="C84" t="s">
        <v>44</v>
      </c>
      <c r="D84" s="1">
        <v>22740</v>
      </c>
      <c r="E84" s="1">
        <v>340</v>
      </c>
      <c r="F84" s="1">
        <v>133</v>
      </c>
      <c r="G84" s="1">
        <v>62.89</v>
      </c>
      <c r="H84" s="1">
        <v>2.15</v>
      </c>
      <c r="I84" s="1">
        <v>-0.4</v>
      </c>
      <c r="J84" s="1">
        <v>220</v>
      </c>
      <c r="K84" s="1">
        <v>1.8</v>
      </c>
      <c r="L84" s="1">
        <v>2</v>
      </c>
      <c r="M84" s="1">
        <v>20</v>
      </c>
      <c r="N84" s="1">
        <v>35000</v>
      </c>
      <c r="O84" s="1">
        <v>20</v>
      </c>
      <c r="P84" s="1">
        <v>4006.5</v>
      </c>
      <c r="Q84" s="1">
        <v>4038</v>
      </c>
      <c r="R84" s="1">
        <v>20</v>
      </c>
      <c r="S84" s="1">
        <v>-143.94999999999999</v>
      </c>
      <c r="T84" s="1">
        <v>3948.05</v>
      </c>
      <c r="U84" s="1" t="s">
        <v>14</v>
      </c>
      <c r="V84" s="1">
        <v>62</v>
      </c>
      <c r="W84" s="1">
        <v>-840</v>
      </c>
      <c r="X84" s="1">
        <v>6640</v>
      </c>
      <c r="Y84" s="1" t="s">
        <v>44</v>
      </c>
      <c r="AA84" s="23" t="e">
        <f>#REF!/#REF!</f>
        <v>#REF!</v>
      </c>
    </row>
    <row r="85" spans="1:66" x14ac:dyDescent="0.25">
      <c r="A85" t="e">
        <f>"CE"&amp;#REF!</f>
        <v>#REF!</v>
      </c>
      <c r="B85" t="e">
        <f>"PE"&amp;#REF!</f>
        <v>#REF!</v>
      </c>
      <c r="C85" t="s">
        <v>44</v>
      </c>
      <c r="D85" s="1">
        <v>280</v>
      </c>
      <c r="E85" s="1">
        <v>-20</v>
      </c>
      <c r="F85" s="1">
        <v>1</v>
      </c>
      <c r="G85" s="1">
        <v>59.73</v>
      </c>
      <c r="H85" s="1">
        <v>1.05</v>
      </c>
      <c r="I85" s="1">
        <v>0.05</v>
      </c>
      <c r="J85" s="1">
        <v>100</v>
      </c>
      <c r="K85" s="1">
        <v>1.5</v>
      </c>
      <c r="L85" s="1">
        <v>2.9</v>
      </c>
      <c r="M85" s="1">
        <v>20</v>
      </c>
      <c r="N85" s="1">
        <v>35100</v>
      </c>
      <c r="O85" s="1">
        <v>140</v>
      </c>
      <c r="P85" s="1">
        <v>3812</v>
      </c>
      <c r="Q85" s="1">
        <v>4249.55</v>
      </c>
      <c r="R85" s="1">
        <v>360</v>
      </c>
      <c r="S85" s="1" t="s">
        <v>14</v>
      </c>
      <c r="T85" s="1" t="s">
        <v>14</v>
      </c>
      <c r="U85" s="1" t="s">
        <v>14</v>
      </c>
      <c r="V85" s="1" t="s">
        <v>14</v>
      </c>
      <c r="W85" s="1" t="s">
        <v>14</v>
      </c>
      <c r="X85" s="1" t="s">
        <v>14</v>
      </c>
      <c r="Y85" s="1" t="s">
        <v>44</v>
      </c>
      <c r="AA85" s="23" t="e">
        <f>#REF!/#REF!</f>
        <v>#REF!</v>
      </c>
    </row>
    <row r="86" spans="1:66" x14ac:dyDescent="0.25">
      <c r="A86" t="e">
        <f>"CE"&amp;#REF!</f>
        <v>#REF!</v>
      </c>
      <c r="B86" t="e">
        <f>"PE"&amp;#REF!</f>
        <v>#REF!</v>
      </c>
      <c r="C86" t="s">
        <v>44</v>
      </c>
      <c r="D86" s="1">
        <v>20</v>
      </c>
      <c r="E86" s="1">
        <v>20</v>
      </c>
      <c r="F86" s="1">
        <v>2</v>
      </c>
      <c r="G86" s="1">
        <v>59.43</v>
      </c>
      <c r="H86" s="1">
        <v>0.8</v>
      </c>
      <c r="I86" s="1">
        <v>-100.75</v>
      </c>
      <c r="J86" s="1">
        <v>300</v>
      </c>
      <c r="K86" s="1">
        <v>0.65</v>
      </c>
      <c r="L86" s="1">
        <v>2.95</v>
      </c>
      <c r="M86" s="1">
        <v>380</v>
      </c>
      <c r="N86" s="1">
        <v>35200</v>
      </c>
      <c r="O86" s="1">
        <v>2780</v>
      </c>
      <c r="P86" s="1">
        <v>3892.15</v>
      </c>
      <c r="Q86" s="1">
        <v>4478.1499999999996</v>
      </c>
      <c r="R86" s="1">
        <v>360</v>
      </c>
      <c r="S86" s="1" t="s">
        <v>14</v>
      </c>
      <c r="T86" s="1" t="s">
        <v>14</v>
      </c>
      <c r="U86" s="1" t="s">
        <v>14</v>
      </c>
      <c r="V86" s="1" t="s">
        <v>14</v>
      </c>
      <c r="W86" s="1" t="s">
        <v>14</v>
      </c>
      <c r="X86" s="1" t="s">
        <v>14</v>
      </c>
      <c r="Y86" s="1" t="s">
        <v>44</v>
      </c>
      <c r="AA86" s="23" t="e">
        <f>#REF!/#REF!</f>
        <v>#REF!</v>
      </c>
    </row>
    <row r="87" spans="1:66" x14ac:dyDescent="0.25">
      <c r="A87" t="e">
        <f>"CE"&amp;#REF!</f>
        <v>#REF!</v>
      </c>
      <c r="B87" t="e">
        <f>"PE"&amp;#REF!</f>
        <v>#REF!</v>
      </c>
      <c r="C87" t="s">
        <v>44</v>
      </c>
      <c r="D87" s="1" t="s">
        <v>14</v>
      </c>
      <c r="E87" s="1" t="s">
        <v>14</v>
      </c>
      <c r="F87" s="1" t="s">
        <v>14</v>
      </c>
      <c r="G87" s="1" t="s">
        <v>14</v>
      </c>
      <c r="H87" s="1" t="s">
        <v>14</v>
      </c>
      <c r="I87" s="1" t="s">
        <v>14</v>
      </c>
      <c r="J87" s="1">
        <v>900</v>
      </c>
      <c r="K87" s="1">
        <v>0.55000000000000004</v>
      </c>
      <c r="L87" s="1">
        <v>2.8</v>
      </c>
      <c r="M87" s="1">
        <v>200</v>
      </c>
      <c r="N87" s="1">
        <v>35300</v>
      </c>
      <c r="O87" s="1">
        <v>2420</v>
      </c>
      <c r="P87" s="1">
        <v>4011</v>
      </c>
      <c r="Q87" s="1">
        <v>4631.45</v>
      </c>
      <c r="R87" s="1">
        <v>2420</v>
      </c>
      <c r="S87" s="1" t="s">
        <v>14</v>
      </c>
      <c r="T87" s="1" t="s">
        <v>14</v>
      </c>
      <c r="U87" s="1" t="s">
        <v>14</v>
      </c>
      <c r="V87" s="1" t="s">
        <v>14</v>
      </c>
      <c r="W87" s="1" t="s">
        <v>14</v>
      </c>
      <c r="X87" s="1" t="s">
        <v>14</v>
      </c>
      <c r="Y87" s="1" t="s">
        <v>44</v>
      </c>
      <c r="AA87" s="23" t="e">
        <f>#REF!/#REF!</f>
        <v>#REF!</v>
      </c>
    </row>
    <row r="88" spans="1:66" x14ac:dyDescent="0.25">
      <c r="A88" t="e">
        <f>"CE"&amp;#REF!</f>
        <v>#REF!</v>
      </c>
      <c r="B88" t="e">
        <f>"PE"&amp;#REF!</f>
        <v>#REF!</v>
      </c>
      <c r="C88" t="s">
        <v>44</v>
      </c>
      <c r="D88" s="1">
        <v>10880</v>
      </c>
      <c r="E88" s="1">
        <v>3340</v>
      </c>
      <c r="F88" s="1">
        <v>388</v>
      </c>
      <c r="G88" s="1">
        <v>67.02</v>
      </c>
      <c r="H88" s="1">
        <v>1.85</v>
      </c>
      <c r="I88" s="1">
        <v>-0.2</v>
      </c>
      <c r="J88" s="1">
        <v>40</v>
      </c>
      <c r="K88" s="1">
        <v>1.85</v>
      </c>
      <c r="L88" s="1">
        <v>2.15</v>
      </c>
      <c r="M88" s="1">
        <v>20</v>
      </c>
      <c r="N88" s="1">
        <v>35400</v>
      </c>
      <c r="O88" s="1">
        <v>400</v>
      </c>
      <c r="P88" s="1">
        <v>4378.6000000000004</v>
      </c>
      <c r="Q88" s="1">
        <v>4500.55</v>
      </c>
      <c r="R88" s="1">
        <v>400</v>
      </c>
      <c r="S88" s="1" t="s">
        <v>14</v>
      </c>
      <c r="T88" s="1" t="s">
        <v>14</v>
      </c>
      <c r="U88" s="1" t="s">
        <v>14</v>
      </c>
      <c r="V88" s="1" t="s">
        <v>14</v>
      </c>
      <c r="W88" s="1" t="s">
        <v>14</v>
      </c>
      <c r="X88" s="1" t="s">
        <v>14</v>
      </c>
      <c r="Y88" s="1" t="s">
        <v>44</v>
      </c>
      <c r="AA88" s="23" t="e">
        <f>#REF!/#REF!</f>
        <v>#REF!</v>
      </c>
    </row>
    <row r="89" spans="1:66" x14ac:dyDescent="0.25">
      <c r="A89" t="e">
        <f>"CE"&amp;#REF!</f>
        <v>#REF!</v>
      </c>
      <c r="B89" t="e">
        <f>"PE"&amp;#REF!</f>
        <v>#REF!</v>
      </c>
      <c r="C89" t="s">
        <v>19</v>
      </c>
      <c r="D89" s="1">
        <v>9478260</v>
      </c>
      <c r="E89" s="1"/>
      <c r="F89" s="1">
        <v>4205104</v>
      </c>
      <c r="G89" s="1"/>
      <c r="H89" s="1"/>
      <c r="I89" s="1"/>
      <c r="J89" s="1"/>
      <c r="K89" s="1"/>
      <c r="L89" s="1"/>
      <c r="M89" s="1"/>
      <c r="N89" s="1"/>
      <c r="O89" s="1"/>
      <c r="P89" s="1"/>
      <c r="Q89" s="1"/>
      <c r="R89" s="1"/>
      <c r="S89" s="1"/>
      <c r="T89" s="1"/>
      <c r="U89" s="1"/>
      <c r="V89" s="1">
        <v>3976297</v>
      </c>
      <c r="W89" s="1"/>
      <c r="X89" s="1">
        <v>7609020</v>
      </c>
      <c r="Y89" s="1" t="s">
        <v>19</v>
      </c>
      <c r="AA89" s="23" t="e">
        <f>#REF!/#REF!</f>
        <v>#REF!</v>
      </c>
    </row>
    <row r="90" spans="1:66" x14ac:dyDescent="0.25">
      <c r="A90" t="e">
        <f>"CE"&amp;#REF!</f>
        <v>#REF!</v>
      </c>
      <c r="B90" t="e">
        <f>"PE"&amp;#REF!</f>
        <v>#REF!</v>
      </c>
      <c r="D90" s="1"/>
      <c r="E90" s="1"/>
      <c r="F90" s="1"/>
      <c r="G90" s="1"/>
      <c r="H90" s="1"/>
      <c r="I90" s="1"/>
      <c r="J90" s="1"/>
      <c r="K90" s="1"/>
      <c r="L90" s="1"/>
      <c r="M90" s="1"/>
      <c r="N90" s="1"/>
      <c r="O90" s="1"/>
      <c r="P90" s="1"/>
      <c r="Q90" s="1"/>
      <c r="R90" s="1"/>
      <c r="S90" s="1"/>
      <c r="T90" s="1"/>
      <c r="U90" s="1"/>
      <c r="V90" s="1"/>
      <c r="W90" s="1"/>
      <c r="X90" s="1"/>
      <c r="Y90" s="1"/>
      <c r="AA90" s="23" t="e">
        <f>#REF!/#REF!</f>
        <v>#REF!</v>
      </c>
    </row>
    <row r="91" spans="1:66" x14ac:dyDescent="0.25">
      <c r="A91" t="e">
        <f>"CE"&amp;#REF!</f>
        <v>#REF!</v>
      </c>
      <c r="B91" t="e">
        <f>"PE"&amp;#REF!</f>
        <v>#REF!</v>
      </c>
      <c r="C91" t="s">
        <v>49</v>
      </c>
      <c r="D91" s="1"/>
      <c r="E91" s="1"/>
      <c r="F91" s="1"/>
      <c r="G91" s="1"/>
      <c r="H91" s="1"/>
      <c r="I91" s="1"/>
      <c r="J91" s="1"/>
      <c r="K91" s="1"/>
      <c r="L91" s="1"/>
      <c r="M91" s="1"/>
      <c r="N91" s="1"/>
      <c r="O91" s="1"/>
      <c r="P91" s="1"/>
      <c r="Q91" s="1"/>
      <c r="R91" s="1"/>
      <c r="S91" s="1"/>
      <c r="T91" s="1"/>
      <c r="U91" s="1"/>
      <c r="V91" s="1"/>
      <c r="W91" s="1"/>
      <c r="X91" s="1"/>
      <c r="Y91" s="1"/>
      <c r="AA91" s="23" t="e">
        <f>#REF!/#REF!</f>
        <v>#REF!</v>
      </c>
    </row>
    <row r="92" spans="1:66" x14ac:dyDescent="0.25">
      <c r="A92" t="e">
        <f>"CE"&amp;#REF!</f>
        <v>#REF!</v>
      </c>
      <c r="B92" t="e">
        <f>"PE"&amp;#REF!</f>
        <v>#REF!</v>
      </c>
      <c r="C92" t="s">
        <v>51</v>
      </c>
      <c r="D92" s="1"/>
      <c r="E92" s="1"/>
      <c r="F92" s="1"/>
      <c r="G92" s="1"/>
      <c r="H92" s="1"/>
      <c r="I92" s="1"/>
      <c r="J92" s="1"/>
      <c r="K92" s="1"/>
      <c r="L92" s="1"/>
      <c r="M92" s="1"/>
      <c r="N92" s="1"/>
      <c r="O92" s="1"/>
      <c r="P92" s="1"/>
      <c r="Q92" s="1"/>
      <c r="R92" s="1"/>
      <c r="S92" s="1"/>
      <c r="T92" s="1"/>
      <c r="U92" s="1"/>
      <c r="V92" s="1"/>
      <c r="W92" s="1"/>
      <c r="X92" s="1"/>
      <c r="Y92" s="1"/>
      <c r="AA92" s="23" t="e">
        <f>#REF!/#REF!</f>
        <v>#REF!</v>
      </c>
    </row>
    <row r="93" spans="1:66" x14ac:dyDescent="0.25">
      <c r="A93" t="e">
        <f>"CE"&amp;#REF!</f>
        <v>#REF!</v>
      </c>
      <c r="B93" t="e">
        <f>"PE"&amp;#REF!</f>
        <v>#REF!</v>
      </c>
      <c r="D93" s="1"/>
      <c r="E93" s="1"/>
      <c r="F93" s="1"/>
      <c r="G93" s="1"/>
      <c r="H93" s="1"/>
      <c r="I93" s="1"/>
      <c r="J93" s="1"/>
      <c r="K93" s="1"/>
      <c r="L93" s="1"/>
      <c r="M93" s="1"/>
      <c r="N93" s="1"/>
      <c r="O93" s="1"/>
      <c r="P93" s="1"/>
      <c r="Q93" s="1"/>
      <c r="R93" s="1"/>
      <c r="S93" s="1"/>
      <c r="T93" s="1"/>
      <c r="U93" s="1"/>
      <c r="V93" s="1"/>
      <c r="W93" s="1"/>
      <c r="X93" s="1"/>
      <c r="Y93" s="1"/>
      <c r="AA93" s="23" t="e">
        <f>#REF!/#REF!</f>
        <v>#REF!</v>
      </c>
    </row>
    <row r="94" spans="1:66" x14ac:dyDescent="0.25">
      <c r="A94" t="e">
        <f>"CE"&amp;#REF!</f>
        <v>#REF!</v>
      </c>
      <c r="B94" t="e">
        <f>"PE"&amp;#REF!</f>
        <v>#REF!</v>
      </c>
      <c r="C94" t="s">
        <v>52</v>
      </c>
      <c r="D94" s="1"/>
      <c r="E94" s="1"/>
      <c r="F94" s="1"/>
      <c r="G94" s="1"/>
      <c r="H94" s="1"/>
      <c r="I94" s="1"/>
      <c r="J94" s="1"/>
      <c r="K94" s="1"/>
      <c r="L94" s="1"/>
      <c r="M94" s="1"/>
      <c r="N94" s="1"/>
      <c r="O94" s="1"/>
      <c r="P94" s="1"/>
      <c r="Q94" s="1"/>
      <c r="R94" s="1"/>
      <c r="S94" s="1"/>
      <c r="T94" s="1"/>
      <c r="U94" s="1"/>
      <c r="V94" s="1"/>
      <c r="W94" s="1"/>
      <c r="X94" s="1"/>
      <c r="Y94" s="1"/>
      <c r="Z94" s="1"/>
      <c r="AA94" s="23" t="e">
        <f>#REF!/#REF!</f>
        <v>#REF!</v>
      </c>
      <c r="AB94" s="1"/>
      <c r="AC94" s="1"/>
      <c r="AD94" s="1"/>
      <c r="AE94" s="1"/>
      <c r="AF94" s="1"/>
      <c r="AG94" s="1"/>
      <c r="AH94" s="1"/>
      <c r="AI94" s="1"/>
      <c r="AJ94" s="1"/>
      <c r="AK94" s="1"/>
      <c r="AL94" s="1"/>
      <c r="AM94" s="1"/>
      <c r="AN94" s="1"/>
      <c r="AO94" s="1"/>
      <c r="AP94" s="1"/>
      <c r="AQ94" s="1"/>
      <c r="AR94" s="1"/>
      <c r="AS94" s="1"/>
      <c r="AT94" s="1"/>
      <c r="BJ94" s="1"/>
      <c r="BN94" s="1"/>
    </row>
    <row r="95" spans="1:66" x14ac:dyDescent="0.25">
      <c r="A95" t="e">
        <f>"CE"&amp;#REF!</f>
        <v>#REF!</v>
      </c>
      <c r="B95" t="e">
        <f>"PE"&amp;#REF!</f>
        <v>#REF!</v>
      </c>
      <c r="D95" s="1"/>
      <c r="E95" s="1"/>
      <c r="F95" s="1"/>
      <c r="G95" s="1"/>
      <c r="H95" s="1"/>
      <c r="I95" s="1"/>
      <c r="J95" s="1"/>
      <c r="K95" s="1"/>
      <c r="L95" s="1"/>
      <c r="M95" s="1"/>
      <c r="N95" s="1"/>
      <c r="O95" s="1"/>
      <c r="P95" s="1"/>
      <c r="Q95" s="1"/>
      <c r="R95" s="1"/>
      <c r="S95" s="1"/>
      <c r="T95" s="1"/>
      <c r="U95" s="1"/>
      <c r="V95" s="1"/>
      <c r="W95" s="1"/>
      <c r="X95" s="1"/>
      <c r="Y95" s="1"/>
      <c r="AA95" s="23" t="e">
        <f>#REF!/#REF!</f>
        <v>#REF!</v>
      </c>
      <c r="BF95" s="1"/>
    </row>
    <row r="96" spans="1:66" x14ac:dyDescent="0.25">
      <c r="A96" t="e">
        <f>"CE"&amp;#REF!</f>
        <v>#REF!</v>
      </c>
      <c r="B96" t="e">
        <f>"PE"&amp;#REF!</f>
        <v>#REF!</v>
      </c>
      <c r="D96" s="1"/>
      <c r="E96" s="1"/>
      <c r="F96" s="1"/>
      <c r="G96" s="1"/>
      <c r="H96" s="1"/>
      <c r="I96" s="1"/>
      <c r="J96" s="1"/>
      <c r="K96" s="1"/>
      <c r="L96" s="1"/>
      <c r="M96" s="1"/>
      <c r="N96" s="1"/>
      <c r="O96" s="1"/>
      <c r="P96" s="1"/>
      <c r="Q96" s="1"/>
      <c r="R96" s="1"/>
      <c r="S96" s="1"/>
      <c r="T96" s="1"/>
      <c r="U96" s="1"/>
      <c r="V96" s="1"/>
      <c r="W96" s="1"/>
      <c r="X96" s="1"/>
      <c r="Y96" s="1"/>
      <c r="Z96" s="1"/>
      <c r="AA96" s="23" t="e">
        <f>#REF!/#REF!</f>
        <v>#REF!</v>
      </c>
      <c r="AB96" s="1"/>
      <c r="AC96" s="1"/>
      <c r="AD96" s="1"/>
      <c r="AE96" s="1"/>
      <c r="AF96" s="1"/>
      <c r="AG96" s="1"/>
      <c r="AH96" s="1"/>
      <c r="AI96" s="1"/>
      <c r="AJ96" s="1"/>
      <c r="AK96" s="1"/>
      <c r="AL96" s="1"/>
      <c r="AM96" s="1"/>
      <c r="AN96" s="1"/>
      <c r="AO96" s="1"/>
      <c r="AP96" s="1"/>
      <c r="AQ96" s="1"/>
      <c r="AR96" s="1"/>
      <c r="AS96" s="1"/>
      <c r="AT96" s="1"/>
    </row>
    <row r="97" spans="1:46" x14ac:dyDescent="0.25">
      <c r="A97" t="e">
        <f>"CE"&amp;#REF!</f>
        <v>#REF!</v>
      </c>
      <c r="B97" t="e">
        <f>"PE"&amp;#REF!</f>
        <v>#REF!</v>
      </c>
      <c r="C97" t="s">
        <v>53</v>
      </c>
      <c r="D97" s="1"/>
      <c r="E97" s="1"/>
      <c r="F97" s="1"/>
      <c r="G97" s="1"/>
      <c r="H97" s="1"/>
      <c r="I97" s="1"/>
      <c r="J97" s="1"/>
      <c r="K97" s="1"/>
      <c r="L97" s="1"/>
      <c r="M97" s="1"/>
      <c r="N97" s="1"/>
      <c r="O97" s="1"/>
      <c r="P97" s="1"/>
      <c r="Q97" s="1"/>
      <c r="R97" s="1"/>
      <c r="S97" s="1"/>
      <c r="T97" s="1"/>
      <c r="U97" s="1"/>
      <c r="V97" s="1"/>
      <c r="W97" s="1"/>
      <c r="X97" s="1"/>
      <c r="Y97" s="1"/>
      <c r="Z97" s="1"/>
      <c r="AA97" s="23" t="e">
        <f>#REF!/#REF!</f>
        <v>#REF!</v>
      </c>
      <c r="AB97" s="1"/>
      <c r="AC97" s="1"/>
      <c r="AD97" s="1"/>
      <c r="AE97" s="1"/>
      <c r="AF97" s="1"/>
      <c r="AG97" s="1"/>
      <c r="AH97" s="1"/>
      <c r="AI97" s="1"/>
      <c r="AJ97" s="1"/>
      <c r="AK97" s="1"/>
      <c r="AL97" s="1"/>
      <c r="AM97" s="1"/>
      <c r="AN97" s="1"/>
      <c r="AO97" s="1"/>
      <c r="AP97" s="1"/>
      <c r="AQ97" s="1"/>
      <c r="AR97" s="1"/>
      <c r="AS97" s="1"/>
      <c r="AT97" s="1"/>
    </row>
    <row r="98" spans="1:46" x14ac:dyDescent="0.25">
      <c r="A98" t="str">
        <f t="shared" ref="A98:A116" si="7">"CE"&amp;N98</f>
        <v>CE</v>
      </c>
      <c r="B98" t="str">
        <f t="shared" ref="B98:B116" si="8">"PE"&amp;N98</f>
        <v>PE</v>
      </c>
      <c r="C98" t="s">
        <v>50</v>
      </c>
      <c r="D98" s="1"/>
      <c r="E98" s="1"/>
      <c r="F98" s="1"/>
      <c r="G98" s="1"/>
      <c r="H98" s="1"/>
      <c r="I98" s="1"/>
      <c r="J98" s="1"/>
      <c r="K98" s="1"/>
      <c r="L98" s="1"/>
      <c r="M98" s="1"/>
      <c r="N98" s="1"/>
      <c r="O98" s="1"/>
      <c r="P98" s="1"/>
      <c r="Q98" s="1"/>
      <c r="R98" s="1"/>
      <c r="S98" s="1"/>
      <c r="T98" s="1"/>
      <c r="U98" s="1"/>
      <c r="V98" s="1"/>
      <c r="W98" s="1"/>
      <c r="X98" s="1"/>
      <c r="Y98" s="1"/>
      <c r="AA98" s="23" t="e">
        <f>#REF!/#REF!</f>
        <v>#REF!</v>
      </c>
    </row>
    <row r="99" spans="1:46" x14ac:dyDescent="0.25">
      <c r="A99" t="str">
        <f t="shared" si="7"/>
        <v>CE</v>
      </c>
      <c r="B99" t="str">
        <f t="shared" si="8"/>
        <v>PE</v>
      </c>
      <c r="AA99" s="23" t="e">
        <f>#REF!/#REF!</f>
        <v>#REF!</v>
      </c>
    </row>
    <row r="100" spans="1:46" x14ac:dyDescent="0.25">
      <c r="A100" t="str">
        <f t="shared" si="7"/>
        <v>CE</v>
      </c>
      <c r="B100" t="str">
        <f t="shared" si="8"/>
        <v>PE</v>
      </c>
      <c r="AA100" s="23" t="e">
        <f>#REF!/#REF!</f>
        <v>#REF!</v>
      </c>
    </row>
    <row r="101" spans="1:46" x14ac:dyDescent="0.25">
      <c r="A101" t="str">
        <f t="shared" si="7"/>
        <v>CE</v>
      </c>
      <c r="B101" t="str">
        <f t="shared" si="8"/>
        <v>PE</v>
      </c>
      <c r="AA101" s="23" t="e">
        <f>#REF!/#REF!</f>
        <v>#REF!</v>
      </c>
    </row>
    <row r="102" spans="1:46" x14ac:dyDescent="0.25">
      <c r="A102" t="str">
        <f t="shared" si="7"/>
        <v>CE</v>
      </c>
      <c r="B102" t="str">
        <f t="shared" si="8"/>
        <v>PE</v>
      </c>
      <c r="AA102" s="23" t="e">
        <f>#REF!/#REF!</f>
        <v>#REF!</v>
      </c>
    </row>
    <row r="103" spans="1:46" x14ac:dyDescent="0.25">
      <c r="A103" t="str">
        <f t="shared" si="7"/>
        <v>CE</v>
      </c>
      <c r="B103" t="str">
        <f t="shared" si="8"/>
        <v>PE</v>
      </c>
      <c r="AA103" s="23" t="e">
        <f>#REF!/#REF!</f>
        <v>#REF!</v>
      </c>
    </row>
    <row r="104" spans="1:46" x14ac:dyDescent="0.25">
      <c r="A104" t="str">
        <f t="shared" si="7"/>
        <v>CE</v>
      </c>
      <c r="B104" t="str">
        <f t="shared" si="8"/>
        <v>PE</v>
      </c>
      <c r="AA104" s="23" t="e">
        <f>#REF!/#REF!</f>
        <v>#REF!</v>
      </c>
    </row>
    <row r="105" spans="1:46" x14ac:dyDescent="0.25">
      <c r="A105" t="str">
        <f t="shared" si="7"/>
        <v>CE</v>
      </c>
      <c r="B105" t="str">
        <f t="shared" si="8"/>
        <v>PE</v>
      </c>
      <c r="AA105" s="23" t="e">
        <f>#REF!/#REF!</f>
        <v>#REF!</v>
      </c>
    </row>
    <row r="106" spans="1:46" x14ac:dyDescent="0.25">
      <c r="A106" t="str">
        <f t="shared" si="7"/>
        <v>CE</v>
      </c>
      <c r="B106" t="str">
        <f t="shared" si="8"/>
        <v>PE</v>
      </c>
      <c r="AA106" s="23" t="e">
        <f>#REF!/#REF!</f>
        <v>#REF!</v>
      </c>
    </row>
    <row r="107" spans="1:46" x14ac:dyDescent="0.25">
      <c r="A107" t="str">
        <f t="shared" si="7"/>
        <v>CE</v>
      </c>
      <c r="B107" t="str">
        <f t="shared" si="8"/>
        <v>PE</v>
      </c>
      <c r="AA107" s="23" t="e">
        <f>#REF!/#REF!</f>
        <v>#REF!</v>
      </c>
    </row>
    <row r="108" spans="1:46" x14ac:dyDescent="0.25">
      <c r="A108" t="str">
        <f t="shared" si="7"/>
        <v>CE</v>
      </c>
      <c r="B108" t="str">
        <f t="shared" si="8"/>
        <v>PE</v>
      </c>
      <c r="AA108" s="23" t="e">
        <f>#REF!/#REF!</f>
        <v>#REF!</v>
      </c>
    </row>
    <row r="109" spans="1:46" x14ac:dyDescent="0.25">
      <c r="A109" t="str">
        <f t="shared" si="7"/>
        <v>CE</v>
      </c>
      <c r="B109" t="str">
        <f t="shared" si="8"/>
        <v>PE</v>
      </c>
      <c r="AA109" s="23" t="e">
        <f>#REF!/#REF!</f>
        <v>#REF!</v>
      </c>
    </row>
    <row r="110" spans="1:46" x14ac:dyDescent="0.25">
      <c r="A110" t="str">
        <f t="shared" si="7"/>
        <v>CE</v>
      </c>
      <c r="B110" t="str">
        <f t="shared" si="8"/>
        <v>PE</v>
      </c>
      <c r="AA110" s="23" t="e">
        <f>#REF!/#REF!</f>
        <v>#REF!</v>
      </c>
    </row>
    <row r="111" spans="1:46" x14ac:dyDescent="0.25">
      <c r="A111" t="str">
        <f t="shared" si="7"/>
        <v>CE</v>
      </c>
      <c r="B111" t="str">
        <f t="shared" si="8"/>
        <v>PE</v>
      </c>
      <c r="D111" s="1"/>
      <c r="E111" s="1"/>
      <c r="F111" s="1"/>
      <c r="G111" s="1"/>
      <c r="H111" s="1"/>
      <c r="I111" s="1"/>
      <c r="J111" s="1"/>
      <c r="K111" s="1"/>
      <c r="L111" s="1"/>
      <c r="M111" s="1"/>
      <c r="N111" s="1"/>
      <c r="O111" s="1"/>
      <c r="P111" s="1"/>
      <c r="Q111" s="1"/>
      <c r="R111" s="1"/>
      <c r="S111" s="1"/>
      <c r="T111" s="1"/>
      <c r="U111" s="1"/>
      <c r="V111" s="1"/>
      <c r="W111" s="1"/>
      <c r="X111" s="1"/>
      <c r="Y111" s="1"/>
      <c r="AA111" s="23" t="e">
        <f>#REF!/#REF!</f>
        <v>#REF!</v>
      </c>
    </row>
    <row r="112" spans="1:46" x14ac:dyDescent="0.25">
      <c r="A112" t="str">
        <f t="shared" si="7"/>
        <v>CE</v>
      </c>
      <c r="B112" t="str">
        <f t="shared" si="8"/>
        <v>PE</v>
      </c>
      <c r="AA112" s="23" t="e">
        <f>#REF!/#REF!</f>
        <v>#REF!</v>
      </c>
    </row>
    <row r="113" spans="1:27" x14ac:dyDescent="0.25">
      <c r="A113" t="str">
        <f t="shared" si="7"/>
        <v>CE</v>
      </c>
      <c r="B113" t="str">
        <f t="shared" si="8"/>
        <v>PE</v>
      </c>
      <c r="D113" s="1"/>
      <c r="E113" s="1"/>
      <c r="F113" s="1"/>
      <c r="G113" s="1"/>
      <c r="H113" s="1"/>
      <c r="I113" s="1"/>
      <c r="J113" s="1"/>
      <c r="K113" s="1"/>
      <c r="L113" s="1"/>
      <c r="M113" s="1"/>
      <c r="N113" s="1"/>
      <c r="O113" s="1"/>
      <c r="P113" s="1"/>
      <c r="Q113" s="1"/>
      <c r="R113" s="1"/>
      <c r="S113" s="1"/>
      <c r="T113" s="1"/>
      <c r="U113" s="1"/>
      <c r="V113" s="1"/>
      <c r="W113" s="1"/>
      <c r="X113" s="1"/>
      <c r="Y113" s="1"/>
      <c r="AA113" s="23" t="e">
        <f>#REF!/#REF!</f>
        <v>#REF!</v>
      </c>
    </row>
    <row r="114" spans="1:27" x14ac:dyDescent="0.25">
      <c r="A114" t="str">
        <f t="shared" si="7"/>
        <v>CE</v>
      </c>
      <c r="B114" t="str">
        <f t="shared" si="8"/>
        <v>PE</v>
      </c>
      <c r="D114" s="1"/>
      <c r="E114" s="1"/>
      <c r="F114" s="1"/>
      <c r="G114" s="1"/>
      <c r="H114" s="1"/>
      <c r="I114" s="1"/>
      <c r="J114" s="1"/>
      <c r="K114" s="1"/>
      <c r="L114" s="1"/>
      <c r="M114" s="1"/>
      <c r="N114" s="1"/>
      <c r="O114" s="1"/>
      <c r="P114" s="1"/>
      <c r="Q114" s="1"/>
      <c r="R114" s="1"/>
      <c r="S114" s="1"/>
      <c r="T114" s="1"/>
      <c r="U114" s="1"/>
      <c r="V114" s="1"/>
      <c r="W114" s="1"/>
      <c r="X114" s="1"/>
      <c r="Y114" s="1"/>
      <c r="AA114" s="23" t="e">
        <f>#REF!/#REF!</f>
        <v>#REF!</v>
      </c>
    </row>
    <row r="115" spans="1:27" x14ac:dyDescent="0.25">
      <c r="A115" t="str">
        <f t="shared" si="7"/>
        <v>CE</v>
      </c>
      <c r="B115" t="str">
        <f t="shared" si="8"/>
        <v>PE</v>
      </c>
      <c r="AA115" s="23" t="e">
        <f>#REF!/#REF!</f>
        <v>#REF!</v>
      </c>
    </row>
    <row r="116" spans="1:27" x14ac:dyDescent="0.25">
      <c r="A116" t="str">
        <f t="shared" si="7"/>
        <v>CE</v>
      </c>
      <c r="B116" t="str">
        <f t="shared" si="8"/>
        <v>PE</v>
      </c>
      <c r="AA116" s="23" t="e">
        <f>#REF!/#REF!</f>
        <v>#REF!</v>
      </c>
    </row>
    <row r="117" spans="1:27" x14ac:dyDescent="0.25">
      <c r="A117" t="str">
        <f t="shared" ref="A117:A137" si="9">"CE"&amp;N117</f>
        <v>CE</v>
      </c>
      <c r="B117" t="str">
        <f t="shared" ref="B117:B137" si="10">"PE"&amp;N117</f>
        <v>PE</v>
      </c>
      <c r="AA117" s="23" t="e">
        <f>#REF!/#REF!</f>
        <v>#REF!</v>
      </c>
    </row>
    <row r="118" spans="1:27" x14ac:dyDescent="0.25">
      <c r="A118" t="str">
        <f t="shared" si="9"/>
        <v>CE</v>
      </c>
      <c r="B118" t="str">
        <f t="shared" si="10"/>
        <v>PE</v>
      </c>
      <c r="AA118" s="23" t="e">
        <f>#REF!/#REF!</f>
        <v>#REF!</v>
      </c>
    </row>
    <row r="119" spans="1:27" x14ac:dyDescent="0.25">
      <c r="A119" t="str">
        <f t="shared" si="9"/>
        <v>CE</v>
      </c>
      <c r="B119" t="str">
        <f t="shared" si="10"/>
        <v>PE</v>
      </c>
      <c r="AA119" s="23" t="e">
        <f>#REF!/#REF!</f>
        <v>#REF!</v>
      </c>
    </row>
    <row r="120" spans="1:27" x14ac:dyDescent="0.25">
      <c r="A120" t="str">
        <f t="shared" si="9"/>
        <v>CE</v>
      </c>
      <c r="B120" t="str">
        <f t="shared" si="10"/>
        <v>PE</v>
      </c>
      <c r="AA120" s="23" t="e">
        <f>#REF!/#REF!</f>
        <v>#REF!</v>
      </c>
    </row>
    <row r="121" spans="1:27" x14ac:dyDescent="0.25">
      <c r="A121" t="str">
        <f t="shared" si="9"/>
        <v>CE</v>
      </c>
      <c r="B121" t="str">
        <f t="shared" si="10"/>
        <v>PE</v>
      </c>
      <c r="AA121" s="23" t="e">
        <f>#REF!/#REF!</f>
        <v>#REF!</v>
      </c>
    </row>
    <row r="122" spans="1:27" x14ac:dyDescent="0.25">
      <c r="A122" t="str">
        <f t="shared" si="9"/>
        <v>CE</v>
      </c>
      <c r="B122" t="str">
        <f t="shared" si="10"/>
        <v>PE</v>
      </c>
      <c r="AA122" s="23" t="e">
        <f>#REF!/#REF!</f>
        <v>#REF!</v>
      </c>
    </row>
    <row r="123" spans="1:27" x14ac:dyDescent="0.25">
      <c r="A123" t="str">
        <f t="shared" si="9"/>
        <v>CE</v>
      </c>
      <c r="B123" t="str">
        <f t="shared" si="10"/>
        <v>PE</v>
      </c>
      <c r="AA123" s="23" t="e">
        <f>#REF!/#REF!</f>
        <v>#REF!</v>
      </c>
    </row>
    <row r="124" spans="1:27" x14ac:dyDescent="0.25">
      <c r="A124" t="str">
        <f t="shared" si="9"/>
        <v>CE</v>
      </c>
      <c r="B124" t="str">
        <f t="shared" si="10"/>
        <v>PE</v>
      </c>
      <c r="AA124" s="23" t="e">
        <f>#REF!/#REF!</f>
        <v>#REF!</v>
      </c>
    </row>
    <row r="125" spans="1:27" x14ac:dyDescent="0.25">
      <c r="A125" t="str">
        <f t="shared" si="9"/>
        <v>CE</v>
      </c>
      <c r="B125" t="str">
        <f t="shared" si="10"/>
        <v>PE</v>
      </c>
      <c r="AA125" s="23" t="e">
        <f>#REF!/#REF!</f>
        <v>#REF!</v>
      </c>
    </row>
    <row r="126" spans="1:27" x14ac:dyDescent="0.25">
      <c r="A126" t="str">
        <f t="shared" si="9"/>
        <v>CE</v>
      </c>
      <c r="B126" t="str">
        <f t="shared" si="10"/>
        <v>PE</v>
      </c>
      <c r="AA126" s="23" t="e">
        <f>#REF!/#REF!</f>
        <v>#REF!</v>
      </c>
    </row>
    <row r="127" spans="1:27" x14ac:dyDescent="0.25">
      <c r="A127" t="str">
        <f t="shared" si="9"/>
        <v>CE</v>
      </c>
      <c r="B127" t="str">
        <f t="shared" si="10"/>
        <v>PE</v>
      </c>
      <c r="AA127" s="23" t="e">
        <f>X98/D98</f>
        <v>#DIV/0!</v>
      </c>
    </row>
    <row r="128" spans="1:27" x14ac:dyDescent="0.25">
      <c r="A128" t="str">
        <f t="shared" si="9"/>
        <v>CE</v>
      </c>
      <c r="B128" t="str">
        <f t="shared" si="10"/>
        <v>PE</v>
      </c>
    </row>
    <row r="129" spans="1:2" x14ac:dyDescent="0.25">
      <c r="A129" t="str">
        <f t="shared" si="9"/>
        <v>CE</v>
      </c>
      <c r="B129" t="str">
        <f t="shared" si="10"/>
        <v>PE</v>
      </c>
    </row>
    <row r="130" spans="1:2" x14ac:dyDescent="0.25">
      <c r="A130" t="str">
        <f t="shared" si="9"/>
        <v>CE</v>
      </c>
      <c r="B130" t="str">
        <f t="shared" si="10"/>
        <v>PE</v>
      </c>
    </row>
    <row r="131" spans="1:2" x14ac:dyDescent="0.25">
      <c r="A131" t="str">
        <f t="shared" si="9"/>
        <v>CE</v>
      </c>
      <c r="B131" t="str">
        <f t="shared" si="10"/>
        <v>PE</v>
      </c>
    </row>
    <row r="132" spans="1:2" x14ac:dyDescent="0.25">
      <c r="A132" t="str">
        <f t="shared" si="9"/>
        <v>CE</v>
      </c>
      <c r="B132" t="str">
        <f t="shared" si="10"/>
        <v>PE</v>
      </c>
    </row>
    <row r="133" spans="1:2" x14ac:dyDescent="0.25">
      <c r="A133" t="str">
        <f t="shared" si="9"/>
        <v>CE</v>
      </c>
      <c r="B133" t="str">
        <f t="shared" si="10"/>
        <v>PE</v>
      </c>
    </row>
    <row r="134" spans="1:2" x14ac:dyDescent="0.25">
      <c r="A134" t="str">
        <f t="shared" si="9"/>
        <v>CE</v>
      </c>
      <c r="B134" t="str">
        <f t="shared" si="10"/>
        <v>PE</v>
      </c>
    </row>
    <row r="135" spans="1:2" x14ac:dyDescent="0.25">
      <c r="A135" t="str">
        <f t="shared" si="9"/>
        <v>CE</v>
      </c>
      <c r="B135" t="str">
        <f t="shared" si="10"/>
        <v>PE</v>
      </c>
    </row>
    <row r="136" spans="1:2" x14ac:dyDescent="0.25">
      <c r="A136" t="str">
        <f t="shared" si="9"/>
        <v>CE</v>
      </c>
      <c r="B136" t="str">
        <f t="shared" si="10"/>
        <v>PE</v>
      </c>
    </row>
    <row r="137" spans="1:2" x14ac:dyDescent="0.25">
      <c r="A137" t="str">
        <f t="shared" si="9"/>
        <v>CE</v>
      </c>
      <c r="B137" t="str">
        <f t="shared" si="10"/>
        <v>PE</v>
      </c>
    </row>
  </sheetData>
  <sortState ref="C1:E157">
    <sortCondition ref="D1:D157"/>
  </sortState>
  <pageMargins left="0.7" right="0.7" top="0.75" bottom="0.75" header="0.3" footer="0.3"/>
  <pageSetup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68"/>
  <sheetViews>
    <sheetView topLeftCell="A31" zoomScale="90" zoomScaleNormal="90" workbookViewId="0">
      <selection activeCell="O2" sqref="O2"/>
    </sheetView>
  </sheetViews>
  <sheetFormatPr defaultColWidth="7.5703125" defaultRowHeight="15" x14ac:dyDescent="0.25"/>
  <cols>
    <col min="1" max="1" width="1.28515625" customWidth="1"/>
    <col min="2" max="2" width="2.28515625" customWidth="1"/>
    <col min="3" max="3" width="9.28515625" style="36" customWidth="1"/>
    <col min="4" max="4" width="15.7109375" bestFit="1" customWidth="1"/>
    <col min="5" max="5" width="9.5703125" bestFit="1" customWidth="1"/>
    <col min="6" max="6" width="8.42578125" customWidth="1"/>
    <col min="7" max="7" width="9.85546875" customWidth="1"/>
    <col min="8" max="9" width="11.7109375" customWidth="1"/>
    <col min="10" max="10" width="9.42578125" customWidth="1"/>
    <col min="11" max="11" width="9.28515625" customWidth="1"/>
    <col min="12" max="12" width="8.28515625" customWidth="1"/>
    <col min="13" max="13" width="9" customWidth="1"/>
    <col min="14" max="15" width="9.28515625" customWidth="1"/>
    <col min="16" max="16" width="12" bestFit="1" customWidth="1"/>
    <col min="17" max="17" width="11" customWidth="1"/>
    <col min="18" max="18" width="11.7109375" bestFit="1" customWidth="1"/>
    <col min="19" max="19" width="10" customWidth="1"/>
    <col min="20" max="20" width="13.85546875" bestFit="1" customWidth="1"/>
    <col min="24" max="24" width="15.7109375" bestFit="1" customWidth="1"/>
  </cols>
  <sheetData>
    <row r="1" spans="1:21" ht="31.5" x14ac:dyDescent="0.5">
      <c r="C1" s="57" t="s">
        <v>43</v>
      </c>
      <c r="D1" s="57"/>
      <c r="E1" s="57"/>
      <c r="F1" s="57"/>
      <c r="G1" s="57"/>
      <c r="H1" s="57"/>
      <c r="I1" s="57"/>
      <c r="J1" s="57"/>
      <c r="K1" s="57"/>
      <c r="L1" s="57"/>
      <c r="M1" s="57"/>
      <c r="N1" s="57"/>
      <c r="O1" s="57"/>
      <c r="P1" s="57"/>
      <c r="Q1" s="57"/>
      <c r="R1" s="57"/>
      <c r="S1" s="57"/>
      <c r="T1" s="58"/>
    </row>
    <row r="2" spans="1:21" ht="15" customHeight="1" x14ac:dyDescent="0.25">
      <c r="A2" s="2"/>
      <c r="B2" s="2"/>
      <c r="C2" s="34"/>
      <c r="D2" s="2"/>
      <c r="E2" s="2"/>
      <c r="F2" s="2"/>
      <c r="G2" s="2"/>
      <c r="H2" s="2"/>
      <c r="I2" s="2"/>
      <c r="J2" s="2"/>
      <c r="K2" s="2"/>
      <c r="L2" s="2"/>
      <c r="M2" s="2"/>
      <c r="N2" s="2"/>
      <c r="O2" s="2"/>
      <c r="P2" s="2"/>
      <c r="Q2" s="2"/>
      <c r="R2" s="31" t="s">
        <v>30</v>
      </c>
      <c r="S2" s="2"/>
      <c r="T2" s="2"/>
    </row>
    <row r="3" spans="1:21" x14ac:dyDescent="0.25">
      <c r="A3" s="2"/>
      <c r="B3" s="2"/>
      <c r="C3" s="34"/>
      <c r="D3" s="2"/>
      <c r="E3" s="2"/>
      <c r="F3" s="2"/>
      <c r="G3" s="2"/>
      <c r="H3" s="3"/>
      <c r="I3" s="3" t="s">
        <v>54</v>
      </c>
      <c r="J3" s="4">
        <f>'Data BankNifty'!A4</f>
        <v>30966.15</v>
      </c>
      <c r="K3" s="2"/>
      <c r="L3" s="5" t="str">
        <f>'Data BankNifty'!A2</f>
        <v>Last Update @  13:51</v>
      </c>
      <c r="M3" s="6"/>
      <c r="N3" s="6"/>
      <c r="O3" s="6"/>
      <c r="P3" s="25" t="str">
        <f>'Data BankNifty'!A1</f>
        <v xml:space="preserve"> on Jan 28, </v>
      </c>
      <c r="Q3" s="2"/>
      <c r="R3" s="32">
        <f ca="1">TODAY()</f>
        <v>43858</v>
      </c>
      <c r="S3" s="2"/>
      <c r="T3" s="2"/>
    </row>
    <row r="4" spans="1:21" x14ac:dyDescent="0.25">
      <c r="A4" s="2"/>
      <c r="B4" s="2"/>
      <c r="C4" s="34"/>
      <c r="D4" s="2"/>
      <c r="E4" s="2"/>
      <c r="F4" s="2"/>
      <c r="G4" s="2"/>
      <c r="H4" s="2"/>
      <c r="I4" s="2"/>
      <c r="J4" s="2"/>
      <c r="K4" s="2"/>
      <c r="L4" s="2"/>
      <c r="M4" s="2"/>
      <c r="N4" s="2"/>
      <c r="O4" s="2"/>
      <c r="P4" s="2"/>
      <c r="Q4" s="29"/>
      <c r="R4" s="29"/>
      <c r="S4" s="2"/>
      <c r="T4" s="2"/>
    </row>
    <row r="5" spans="1:21" x14ac:dyDescent="0.25">
      <c r="A5" s="2"/>
      <c r="B5" s="2"/>
      <c r="C5" s="34"/>
      <c r="D5" s="59" t="str">
        <f>'Data BankNifty'!C3</f>
        <v xml:space="preserve">OR </v>
      </c>
      <c r="E5" s="59"/>
      <c r="F5" s="59"/>
      <c r="G5" s="59"/>
      <c r="H5" s="59"/>
      <c r="I5" s="59"/>
      <c r="J5" s="59"/>
      <c r="K5" s="60"/>
      <c r="L5" s="7"/>
      <c r="M5" s="61">
        <f>'Data BankNifty'!O3</f>
        <v>0</v>
      </c>
      <c r="N5" s="62"/>
      <c r="O5" s="62"/>
      <c r="P5" s="62"/>
      <c r="Q5" s="62"/>
      <c r="R5" s="62"/>
      <c r="S5" s="62"/>
      <c r="T5" s="62"/>
    </row>
    <row r="6" spans="1:21" ht="47.25" customHeight="1" x14ac:dyDescent="0.25">
      <c r="A6" s="8"/>
      <c r="B6" s="8"/>
      <c r="C6" s="35" t="s">
        <v>56</v>
      </c>
      <c r="D6" s="9" t="s">
        <v>16</v>
      </c>
      <c r="E6" s="10" t="s">
        <v>17</v>
      </c>
      <c r="F6" s="10" t="s">
        <v>20</v>
      </c>
      <c r="G6" s="10" t="s">
        <v>28</v>
      </c>
      <c r="H6" s="10" t="s">
        <v>27</v>
      </c>
      <c r="I6" s="10" t="s">
        <v>6</v>
      </c>
      <c r="J6" s="10" t="s">
        <v>29</v>
      </c>
      <c r="K6" s="10" t="s">
        <v>26</v>
      </c>
      <c r="L6" s="11" t="s">
        <v>18</v>
      </c>
      <c r="M6" s="10" t="s">
        <v>23</v>
      </c>
      <c r="N6" s="10" t="s">
        <v>22</v>
      </c>
      <c r="O6" s="10" t="s">
        <v>6</v>
      </c>
      <c r="P6" s="10" t="s">
        <v>24</v>
      </c>
      <c r="Q6" s="10" t="s">
        <v>25</v>
      </c>
      <c r="R6" s="10" t="s">
        <v>21</v>
      </c>
      <c r="S6" s="10" t="str">
        <f>E6</f>
        <v>OI change</v>
      </c>
      <c r="T6" s="12" t="s">
        <v>16</v>
      </c>
      <c r="U6" s="9" t="s">
        <v>54</v>
      </c>
    </row>
    <row r="7" spans="1:21" x14ac:dyDescent="0.25">
      <c r="A7" s="22" t="str">
        <f t="shared" ref="A7:A22" si="0">"CE"&amp;L7</f>
        <v>CE30200</v>
      </c>
      <c r="B7" s="22" t="str">
        <f t="shared" ref="B7:B22" si="1">"PE"&amp;L7</f>
        <v>PE30200</v>
      </c>
      <c r="C7" s="34" t="str">
        <f>MID($L$3,15,9)</f>
        <v xml:space="preserve"> 13:51</v>
      </c>
      <c r="D7" s="13" t="s">
        <v>74</v>
      </c>
      <c r="E7" s="14" t="str">
        <f t="shared" ref="E7:E21" si="2">IF(H7&gt;0,"UP","DOWN")</f>
        <v>UP</v>
      </c>
      <c r="F7" s="16">
        <f>VLOOKUP(A7,'Data BankNifty'!A$11:AZ$113,6,0)</f>
        <v>168</v>
      </c>
      <c r="G7" s="17">
        <f>VLOOKUP(A7,'Data BankNifty'!A$11:AZ$113,4,0)</f>
        <v>1440</v>
      </c>
      <c r="H7" s="24">
        <f>VLOOKUP(A7,'Data BankNifty'!A$11:AZ$113,5,0)</f>
        <v>1020</v>
      </c>
      <c r="I7" s="15">
        <f>VLOOKUP(A7,'Data BankNifty'!A$11:AZ$113,7,0)</f>
        <v>27.63</v>
      </c>
      <c r="J7" s="15">
        <f>VLOOKUP(A7,'Data BankNifty'!A$11:AZ$113,9,0)</f>
        <v>100.2</v>
      </c>
      <c r="K7" s="15">
        <f>VLOOKUP(A7,'Data BankNifty'!A$11:AZ$113,8,0)</f>
        <v>821.15</v>
      </c>
      <c r="L7" s="18">
        <f t="shared" ref="L7:L14" si="3">L8-100</f>
        <v>30200</v>
      </c>
      <c r="M7" s="15">
        <f>VLOOKUP(B7,'Data BankNifty'!B$11:BN$113,19,0)</f>
        <v>20.7</v>
      </c>
      <c r="N7" s="15">
        <f>VLOOKUP(B7,'Data BankNifty'!B$11:BN$113,18,0)</f>
        <v>-19.45</v>
      </c>
      <c r="O7" s="15">
        <f>VLOOKUP(B7,'Data BankNifty'!B$11:BN$113,20,0)</f>
        <v>24.46</v>
      </c>
      <c r="P7" s="24">
        <f>VLOOKUP(B7,'Data BankNifty'!B$11:BN$113,22,0)</f>
        <v>27900</v>
      </c>
      <c r="Q7" s="17">
        <f>VLOOKUP(B7,'Data BankNifty'!B$11:BN$113,23,0)</f>
        <v>241960</v>
      </c>
      <c r="R7" s="16">
        <f>VLOOKUP(B7,'Data BankNifty'!B$11:BN$113,21,0)</f>
        <v>158498</v>
      </c>
      <c r="S7" s="19" t="str">
        <f t="shared" ref="S7:S22" si="4">IF(P7&gt;0,"UP","DOWN")</f>
        <v>UP</v>
      </c>
      <c r="T7" s="20" t="str">
        <f>IF(AND(N7&lt;0,P7&lt;0),"Long Liquidation",IF(AND(N7&lt;0,P7&gt;0),"Short Buildup",IF(AND(N7&gt;0,P7&gt;0),"Long Buildup",IF(AND(N7&gt;0,P7&lt;0),"Short covering"))))</f>
        <v>Short Buildup</v>
      </c>
      <c r="U7">
        <f>$J$3</f>
        <v>30966.15</v>
      </c>
    </row>
    <row r="8" spans="1:21" x14ac:dyDescent="0.25">
      <c r="A8" s="22" t="str">
        <f>"CE"&amp;L8</f>
        <v>CE30300</v>
      </c>
      <c r="B8" s="22" t="str">
        <f>"PE"&amp;L8</f>
        <v>PE30300</v>
      </c>
      <c r="C8" s="34" t="str">
        <f t="shared" ref="C8:C23" si="5">MID($L$3,15,9)</f>
        <v xml:space="preserve"> 13:51</v>
      </c>
      <c r="D8" s="13" t="str">
        <f t="shared" ref="D8:D22" si="6">IF(AND(J8&lt;0,H8&lt;0),"Long Liquidation",IF(AND(J8&lt;0,H8&gt;0),"Short Buildup",IF(AND(J8&gt;0,H8&gt;0),"Long Buildup",IF(AND(J8&gt;0,H8&lt;0),"Short covering"))))</f>
        <v>Long Buildup</v>
      </c>
      <c r="E8" s="14" t="str">
        <f>IF(H8&gt;0,"UP","DOWN")</f>
        <v>UP</v>
      </c>
      <c r="F8" s="16">
        <f>VLOOKUP(A8,'Data BankNifty'!A$11:AZ$113,6,0)</f>
        <v>599</v>
      </c>
      <c r="G8" s="17">
        <f>VLOOKUP(A8,'Data BankNifty'!A$11:AZ$113,4,0)</f>
        <v>4860</v>
      </c>
      <c r="H8" s="24">
        <f>VLOOKUP(A8,'Data BankNifty'!A$11:AZ$113,5,0)</f>
        <v>2700</v>
      </c>
      <c r="I8" s="15">
        <f>VLOOKUP(A8,'Data BankNifty'!A$11:AZ$113,7,0)</f>
        <v>21.31</v>
      </c>
      <c r="J8" s="15">
        <f>VLOOKUP(A8,'Data BankNifty'!A$11:AZ$113,9,0)</f>
        <v>59.25</v>
      </c>
      <c r="K8" s="15">
        <f>VLOOKUP(A8,'Data BankNifty'!A$11:AZ$113,8,0)</f>
        <v>688.9</v>
      </c>
      <c r="L8" s="18">
        <f t="shared" si="3"/>
        <v>30300</v>
      </c>
      <c r="M8" s="15">
        <f>VLOOKUP(B8,'Data BankNifty'!B$11:BN$113,19,0)</f>
        <v>29.1</v>
      </c>
      <c r="N8" s="15">
        <f>VLOOKUP(B8,'Data BankNifty'!B$11:BN$113,18,0)</f>
        <v>-23.55</v>
      </c>
      <c r="O8" s="15">
        <f>VLOOKUP(B8,'Data BankNifty'!B$11:BN$113,20,0)</f>
        <v>24.06</v>
      </c>
      <c r="P8" s="24">
        <f>VLOOKUP(B8,'Data BankNifty'!B$11:BN$113,22,0)</f>
        <v>86100</v>
      </c>
      <c r="Q8" s="17">
        <f>VLOOKUP(B8,'Data BankNifty'!B$11:BN$113,23,0)</f>
        <v>232400</v>
      </c>
      <c r="R8" s="16">
        <f>VLOOKUP(B8,'Data BankNifty'!B$11:BN$113,21,0)</f>
        <v>202706</v>
      </c>
      <c r="S8" s="19" t="str">
        <f t="shared" si="4"/>
        <v>UP</v>
      </c>
      <c r="T8" s="20" t="str">
        <f t="shared" ref="T8:T22" si="7">IF(AND(N8&lt;0,P8&lt;0),"Long Liquidation",IF(AND(N8&lt;0,P8&gt;0),"Short Buildup",IF(AND(N8&gt;0,P8&gt;0),"Long Buildup",IF(AND(N8&gt;0,P8&lt;0),"Short covering"))))</f>
        <v>Short Buildup</v>
      </c>
      <c r="U8">
        <f t="shared" ref="U8:U22" si="8">$J$3</f>
        <v>30966.15</v>
      </c>
    </row>
    <row r="9" spans="1:21" x14ac:dyDescent="0.25">
      <c r="A9" s="22" t="str">
        <f t="shared" si="0"/>
        <v>CE30400</v>
      </c>
      <c r="B9" s="22" t="str">
        <f t="shared" si="1"/>
        <v>PE30400</v>
      </c>
      <c r="C9" s="34" t="str">
        <f t="shared" si="5"/>
        <v xml:space="preserve"> 13:51</v>
      </c>
      <c r="D9" s="13" t="str">
        <f t="shared" si="6"/>
        <v>Long Buildup</v>
      </c>
      <c r="E9" s="14" t="str">
        <f t="shared" si="2"/>
        <v>UP</v>
      </c>
      <c r="F9" s="16">
        <f>VLOOKUP(A9,'Data BankNifty'!A$11:AZ$113,6,0)</f>
        <v>907</v>
      </c>
      <c r="G9" s="17">
        <f>VLOOKUP(A9,'Data BankNifty'!A$11:AZ$113,4,0)</f>
        <v>2280</v>
      </c>
      <c r="H9" s="24">
        <f>VLOOKUP(A9,'Data BankNifty'!A$11:AZ$113,5,0)</f>
        <v>880</v>
      </c>
      <c r="I9" s="15">
        <f>VLOOKUP(A9,'Data BankNifty'!A$11:AZ$113,7,0)</f>
        <v>24.88</v>
      </c>
      <c r="J9" s="15">
        <f>VLOOKUP(A9,'Data BankNifty'!A$11:AZ$113,9,0)</f>
        <v>60.65</v>
      </c>
      <c r="K9" s="15">
        <f>VLOOKUP(A9,'Data BankNifty'!A$11:AZ$113,8,0)</f>
        <v>614</v>
      </c>
      <c r="L9" s="18">
        <f t="shared" si="3"/>
        <v>30400</v>
      </c>
      <c r="M9" s="15">
        <f>VLOOKUP(B9,'Data BankNifty'!B$11:BN$113,19,0)</f>
        <v>40.15</v>
      </c>
      <c r="N9" s="15">
        <f>VLOOKUP(B9,'Data BankNifty'!B$11:BN$113,18,0)</f>
        <v>-29.6</v>
      </c>
      <c r="O9" s="15">
        <f>VLOOKUP(B9,'Data BankNifty'!B$11:BN$113,20,0)</f>
        <v>23.57</v>
      </c>
      <c r="P9" s="24">
        <f>VLOOKUP(B9,'Data BankNifty'!B$11:BN$113,22,0)</f>
        <v>154760</v>
      </c>
      <c r="Q9" s="17">
        <f>VLOOKUP(B9,'Data BankNifty'!B$11:BN$113,23,0)</f>
        <v>286080</v>
      </c>
      <c r="R9" s="16">
        <f>VLOOKUP(B9,'Data BankNifty'!B$11:BN$113,21,0)</f>
        <v>299789</v>
      </c>
      <c r="S9" s="19" t="str">
        <f t="shared" si="4"/>
        <v>UP</v>
      </c>
      <c r="T9" s="20" t="str">
        <f t="shared" si="7"/>
        <v>Short Buildup</v>
      </c>
      <c r="U9">
        <f t="shared" si="8"/>
        <v>30966.15</v>
      </c>
    </row>
    <row r="10" spans="1:21" x14ac:dyDescent="0.25">
      <c r="A10" s="22" t="str">
        <f t="shared" si="0"/>
        <v>CE30500</v>
      </c>
      <c r="B10" s="22" t="str">
        <f t="shared" si="1"/>
        <v>PE30500</v>
      </c>
      <c r="C10" s="34" t="str">
        <f t="shared" si="5"/>
        <v xml:space="preserve"> 13:51</v>
      </c>
      <c r="D10" s="13" t="str">
        <f t="shared" si="6"/>
        <v>Long Buildup</v>
      </c>
      <c r="E10" s="14" t="str">
        <f t="shared" si="2"/>
        <v>UP</v>
      </c>
      <c r="F10" s="16">
        <f>VLOOKUP(A10,'Data BankNifty'!A$11:AZ$113,6,0)</f>
        <v>13343</v>
      </c>
      <c r="G10" s="17">
        <f>VLOOKUP(A10,'Data BankNifty'!A$11:AZ$113,4,0)</f>
        <v>57600</v>
      </c>
      <c r="H10" s="24">
        <f>VLOOKUP(A10,'Data BankNifty'!A$11:AZ$113,5,0)</f>
        <v>9580</v>
      </c>
      <c r="I10" s="15">
        <f>VLOOKUP(A10,'Data BankNifty'!A$11:AZ$113,7,0)</f>
        <v>22.2</v>
      </c>
      <c r="J10" s="15">
        <f>VLOOKUP(A10,'Data BankNifty'!A$11:AZ$113,9,0)</f>
        <v>43.55</v>
      </c>
      <c r="K10" s="15">
        <f>VLOOKUP(A10,'Data BankNifty'!A$11:AZ$113,8,0)</f>
        <v>517.1</v>
      </c>
      <c r="L10" s="18">
        <f t="shared" si="3"/>
        <v>30500</v>
      </c>
      <c r="M10" s="15">
        <f>VLOOKUP(B10,'Data BankNifty'!B$11:BN$113,19,0)</f>
        <v>54.95</v>
      </c>
      <c r="N10" s="15">
        <f>VLOOKUP(B10,'Data BankNifty'!B$11:BN$113,18,0)</f>
        <v>-37.299999999999997</v>
      </c>
      <c r="O10" s="15">
        <f>VLOOKUP(B10,'Data BankNifty'!B$11:BN$113,20,0)</f>
        <v>23.26</v>
      </c>
      <c r="P10" s="24">
        <f>VLOOKUP(B10,'Data BankNifty'!B$11:BN$113,22,0)</f>
        <v>331060</v>
      </c>
      <c r="Q10" s="17">
        <f>VLOOKUP(B10,'Data BankNifty'!B$11:BN$113,23,0)</f>
        <v>869400</v>
      </c>
      <c r="R10" s="16">
        <f>VLOOKUP(B10,'Data BankNifty'!B$11:BN$113,21,0)</f>
        <v>648532</v>
      </c>
      <c r="S10" s="19" t="str">
        <f t="shared" si="4"/>
        <v>UP</v>
      </c>
      <c r="T10" s="20" t="str">
        <f t="shared" si="7"/>
        <v>Short Buildup</v>
      </c>
      <c r="U10">
        <f t="shared" si="8"/>
        <v>30966.15</v>
      </c>
    </row>
    <row r="11" spans="1:21" x14ac:dyDescent="0.25">
      <c r="A11" s="22" t="str">
        <f t="shared" si="0"/>
        <v>CE30600</v>
      </c>
      <c r="B11" s="22" t="str">
        <f t="shared" si="1"/>
        <v>PE30600</v>
      </c>
      <c r="C11" s="34" t="str">
        <f t="shared" si="5"/>
        <v xml:space="preserve"> 13:51</v>
      </c>
      <c r="D11" s="13" t="str">
        <f t="shared" si="6"/>
        <v>Long Buildup</v>
      </c>
      <c r="E11" s="14" t="str">
        <f t="shared" si="2"/>
        <v>UP</v>
      </c>
      <c r="F11" s="16">
        <f>VLOOKUP(A11,'Data BankNifty'!A$11:AZ$113,6,0)</f>
        <v>10755</v>
      </c>
      <c r="G11" s="17">
        <f>VLOOKUP(A11,'Data BankNifty'!A$11:AZ$113,4,0)</f>
        <v>20080</v>
      </c>
      <c r="H11" s="24">
        <f>VLOOKUP(A11,'Data BankNifty'!A$11:AZ$113,5,0)</f>
        <v>3700</v>
      </c>
      <c r="I11" s="15">
        <f>VLOOKUP(A11,'Data BankNifty'!A$11:AZ$113,7,0)</f>
        <v>22.95</v>
      </c>
      <c r="J11" s="15">
        <f>VLOOKUP(A11,'Data BankNifty'!A$11:AZ$113,9,0)</f>
        <v>37.35</v>
      </c>
      <c r="K11" s="15">
        <f>VLOOKUP(A11,'Data BankNifty'!A$11:AZ$113,8,0)</f>
        <v>440.9</v>
      </c>
      <c r="L11" s="18">
        <f t="shared" si="3"/>
        <v>30600</v>
      </c>
      <c r="M11" s="15">
        <f>VLOOKUP(B11,'Data BankNifty'!B$11:BN$113,19,0)</f>
        <v>74.599999999999994</v>
      </c>
      <c r="N11" s="15">
        <f>VLOOKUP(B11,'Data BankNifty'!B$11:BN$113,18,0)</f>
        <v>-43.65</v>
      </c>
      <c r="O11" s="15">
        <f>VLOOKUP(B11,'Data BankNifty'!B$11:BN$113,20,0)</f>
        <v>22.94</v>
      </c>
      <c r="P11" s="24">
        <f>VLOOKUP(B11,'Data BankNifty'!B$11:BN$113,22,0)</f>
        <v>251480</v>
      </c>
      <c r="Q11" s="17">
        <f>VLOOKUP(B11,'Data BankNifty'!B$11:BN$113,23,0)</f>
        <v>425300</v>
      </c>
      <c r="R11" s="16">
        <f>VLOOKUP(B11,'Data BankNifty'!B$11:BN$113,21,0)</f>
        <v>372692</v>
      </c>
      <c r="S11" s="19" t="str">
        <f t="shared" si="4"/>
        <v>UP</v>
      </c>
      <c r="T11" s="20" t="str">
        <f t="shared" si="7"/>
        <v>Short Buildup</v>
      </c>
      <c r="U11">
        <f t="shared" si="8"/>
        <v>30966.15</v>
      </c>
    </row>
    <row r="12" spans="1:21" x14ac:dyDescent="0.25">
      <c r="A12" s="22" t="str">
        <f t="shared" si="0"/>
        <v>CE30700</v>
      </c>
      <c r="B12" s="22" t="str">
        <f t="shared" si="1"/>
        <v>PE30700</v>
      </c>
      <c r="C12" s="34" t="str">
        <f t="shared" si="5"/>
        <v xml:space="preserve"> 13:51</v>
      </c>
      <c r="D12" s="13" t="str">
        <f t="shared" si="6"/>
        <v>Long Buildup</v>
      </c>
      <c r="E12" s="14" t="str">
        <f t="shared" si="2"/>
        <v>UP</v>
      </c>
      <c r="F12" s="16">
        <f>VLOOKUP(A12,'Data BankNifty'!A$11:AZ$113,6,0)</f>
        <v>48095</v>
      </c>
      <c r="G12" s="17">
        <f>VLOOKUP(A12,'Data BankNifty'!A$11:AZ$113,4,0)</f>
        <v>55900</v>
      </c>
      <c r="H12" s="24">
        <f>VLOOKUP(A12,'Data BankNifty'!A$11:AZ$113,5,0)</f>
        <v>27700</v>
      </c>
      <c r="I12" s="15">
        <f>VLOOKUP(A12,'Data BankNifty'!A$11:AZ$113,7,0)</f>
        <v>21.85</v>
      </c>
      <c r="J12" s="15">
        <f>VLOOKUP(A12,'Data BankNifty'!A$11:AZ$113,9,0)</f>
        <v>28.25</v>
      </c>
      <c r="K12" s="15">
        <f>VLOOKUP(A12,'Data BankNifty'!A$11:AZ$113,8,0)</f>
        <v>360.7</v>
      </c>
      <c r="L12" s="18">
        <f t="shared" si="3"/>
        <v>30700</v>
      </c>
      <c r="M12" s="15">
        <f>VLOOKUP(B12,'Data BankNifty'!B$11:BN$113,19,0)</f>
        <v>99.85</v>
      </c>
      <c r="N12" s="15">
        <f>VLOOKUP(B12,'Data BankNifty'!B$11:BN$113,18,0)</f>
        <v>-52.35</v>
      </c>
      <c r="O12" s="15">
        <f>VLOOKUP(B12,'Data BankNifty'!B$11:BN$113,20,0)</f>
        <v>22.57</v>
      </c>
      <c r="P12" s="24">
        <f>VLOOKUP(B12,'Data BankNifty'!B$11:BN$113,22,0)</f>
        <v>304060</v>
      </c>
      <c r="Q12" s="17">
        <f>VLOOKUP(B12,'Data BankNifty'!B$11:BN$113,23,0)</f>
        <v>476540</v>
      </c>
      <c r="R12" s="16">
        <f>VLOOKUP(B12,'Data BankNifty'!B$11:BN$113,21,0)</f>
        <v>442093</v>
      </c>
      <c r="S12" s="19" t="str">
        <f t="shared" si="4"/>
        <v>UP</v>
      </c>
      <c r="T12" s="20" t="str">
        <f t="shared" si="7"/>
        <v>Short Buildup</v>
      </c>
      <c r="U12">
        <f t="shared" si="8"/>
        <v>30966.15</v>
      </c>
    </row>
    <row r="13" spans="1:21" x14ac:dyDescent="0.25">
      <c r="A13" s="22" t="str">
        <f t="shared" si="0"/>
        <v>CE30800</v>
      </c>
      <c r="B13" s="22" t="str">
        <f t="shared" si="1"/>
        <v>PE30800</v>
      </c>
      <c r="C13" s="34" t="str">
        <f t="shared" si="5"/>
        <v xml:space="preserve"> 13:51</v>
      </c>
      <c r="D13" s="13" t="str">
        <f t="shared" si="6"/>
        <v>Long Buildup</v>
      </c>
      <c r="E13" s="14" t="str">
        <f t="shared" si="2"/>
        <v>UP</v>
      </c>
      <c r="F13" s="16">
        <f>VLOOKUP(A13,'Data BankNifty'!A$11:AZ$113,6,0)</f>
        <v>155542</v>
      </c>
      <c r="G13" s="17">
        <f>VLOOKUP(A13,'Data BankNifty'!A$11:AZ$113,4,0)</f>
        <v>208200</v>
      </c>
      <c r="H13" s="24">
        <f>VLOOKUP(A13,'Data BankNifty'!A$11:AZ$113,5,0)</f>
        <v>65580</v>
      </c>
      <c r="I13" s="15">
        <f>VLOOKUP(A13,'Data BankNifty'!A$11:AZ$113,7,0)</f>
        <v>21.82</v>
      </c>
      <c r="J13" s="15">
        <f>VLOOKUP(A13,'Data BankNifty'!A$11:AZ$113,9,0)</f>
        <v>18.649999999999999</v>
      </c>
      <c r="K13" s="15">
        <f>VLOOKUP(A13,'Data BankNifty'!A$11:AZ$113,8,0)</f>
        <v>292.3</v>
      </c>
      <c r="L13" s="18">
        <f t="shared" si="3"/>
        <v>30800</v>
      </c>
      <c r="M13" s="15">
        <f>VLOOKUP(B13,'Data BankNifty'!B$11:BN$113,19,0)</f>
        <v>131.80000000000001</v>
      </c>
      <c r="N13" s="15">
        <f>VLOOKUP(B13,'Data BankNifty'!B$11:BN$113,18,0)</f>
        <v>-59.35</v>
      </c>
      <c r="O13" s="15">
        <f>VLOOKUP(B13,'Data BankNifty'!B$11:BN$113,20,0)</f>
        <v>22.28</v>
      </c>
      <c r="P13" s="24">
        <f>VLOOKUP(B13,'Data BankNifty'!B$11:BN$113,22,0)</f>
        <v>316700</v>
      </c>
      <c r="Q13" s="17">
        <f>VLOOKUP(B13,'Data BankNifty'!B$11:BN$113,23,0)</f>
        <v>574340</v>
      </c>
      <c r="R13" s="16">
        <f>VLOOKUP(B13,'Data BankNifty'!B$11:BN$113,21,0)</f>
        <v>453928</v>
      </c>
      <c r="S13" s="19" t="str">
        <f t="shared" si="4"/>
        <v>UP</v>
      </c>
      <c r="T13" s="20" t="str">
        <f t="shared" si="7"/>
        <v>Short Buildup</v>
      </c>
      <c r="U13">
        <f t="shared" si="8"/>
        <v>30966.15</v>
      </c>
    </row>
    <row r="14" spans="1:21" x14ac:dyDescent="0.25">
      <c r="A14" s="22" t="str">
        <f t="shared" si="0"/>
        <v>CE30900</v>
      </c>
      <c r="B14" s="22" t="str">
        <f t="shared" si="1"/>
        <v>PE30900</v>
      </c>
      <c r="C14" s="34" t="str">
        <f t="shared" si="5"/>
        <v xml:space="preserve"> 13:51</v>
      </c>
      <c r="D14" s="13" t="str">
        <f t="shared" si="6"/>
        <v>Long Buildup</v>
      </c>
      <c r="E14" s="14" t="str">
        <f t="shared" si="2"/>
        <v>UP</v>
      </c>
      <c r="F14" s="16">
        <f>VLOOKUP(A14,'Data BankNifty'!A$11:AZ$113,6,0)</f>
        <v>277020</v>
      </c>
      <c r="G14" s="17">
        <f>VLOOKUP(A14,'Data BankNifty'!A$11:AZ$113,4,0)</f>
        <v>393380</v>
      </c>
      <c r="H14" s="24">
        <f>VLOOKUP(A14,'Data BankNifty'!A$11:AZ$113,5,0)</f>
        <v>173180</v>
      </c>
      <c r="I14" s="15">
        <f>VLOOKUP(A14,'Data BankNifty'!A$11:AZ$113,7,0)</f>
        <v>21.48</v>
      </c>
      <c r="J14" s="15">
        <f>VLOOKUP(A14,'Data BankNifty'!A$11:AZ$113,9,0)</f>
        <v>12.15</v>
      </c>
      <c r="K14" s="15">
        <f>VLOOKUP(A14,'Data BankNifty'!A$11:AZ$113,8,0)</f>
        <v>233</v>
      </c>
      <c r="L14" s="18">
        <f t="shared" si="3"/>
        <v>30900</v>
      </c>
      <c r="M14" s="15">
        <f>VLOOKUP(B14,'Data BankNifty'!B$11:BN$113,19,0)</f>
        <v>171.2</v>
      </c>
      <c r="N14" s="15">
        <f>VLOOKUP(B14,'Data BankNifty'!B$11:BN$113,18,0)</f>
        <v>-65.3</v>
      </c>
      <c r="O14" s="15">
        <f>VLOOKUP(B14,'Data BankNifty'!B$11:BN$113,20,0)</f>
        <v>22.03</v>
      </c>
      <c r="P14" s="24">
        <f>VLOOKUP(B14,'Data BankNifty'!B$11:BN$113,22,0)</f>
        <v>313760</v>
      </c>
      <c r="Q14" s="17">
        <f>VLOOKUP(B14,'Data BankNifty'!B$11:BN$113,23,0)</f>
        <v>522480</v>
      </c>
      <c r="R14" s="16">
        <f>VLOOKUP(B14,'Data BankNifty'!B$11:BN$113,21,0)</f>
        <v>387005</v>
      </c>
      <c r="S14" s="19" t="str">
        <f t="shared" si="4"/>
        <v>UP</v>
      </c>
      <c r="T14" s="20" t="str">
        <f t="shared" si="7"/>
        <v>Short Buildup</v>
      </c>
      <c r="U14">
        <f t="shared" si="8"/>
        <v>30966.15</v>
      </c>
    </row>
    <row r="15" spans="1:21" ht="15.75" x14ac:dyDescent="0.25">
      <c r="A15" s="22" t="str">
        <f t="shared" si="0"/>
        <v>CE31000</v>
      </c>
      <c r="B15" s="22" t="str">
        <f t="shared" si="1"/>
        <v>PE31000</v>
      </c>
      <c r="C15" s="34" t="str">
        <f t="shared" si="5"/>
        <v xml:space="preserve"> 13:51</v>
      </c>
      <c r="D15" s="13" t="str">
        <f t="shared" si="6"/>
        <v>Long Buildup</v>
      </c>
      <c r="E15" s="14" t="str">
        <f t="shared" si="2"/>
        <v>UP</v>
      </c>
      <c r="F15" s="16">
        <f>VLOOKUP(A15,'Data BankNifty'!A$11:AZ$113,6,0)</f>
        <v>614557</v>
      </c>
      <c r="G15" s="17">
        <f>VLOOKUP(A15,'Data BankNifty'!A$11:AZ$113,4,0)</f>
        <v>1075040</v>
      </c>
      <c r="H15" s="24">
        <f>VLOOKUP(A15,'Data BankNifty'!A$11:AZ$113,5,0)</f>
        <v>296780</v>
      </c>
      <c r="I15" s="15">
        <f>VLOOKUP(A15,'Data BankNifty'!A$11:AZ$113,7,0)</f>
        <v>21.62</v>
      </c>
      <c r="J15" s="15">
        <f>VLOOKUP(A15,'Data BankNifty'!A$11:AZ$113,9,0)</f>
        <v>5.4</v>
      </c>
      <c r="K15" s="15">
        <f>VLOOKUP(A15,'Data BankNifty'!A$11:AZ$113,8,0)</f>
        <v>183.2</v>
      </c>
      <c r="L15" s="21">
        <f>'Data BankNifty'!A5</f>
        <v>31000</v>
      </c>
      <c r="M15" s="15">
        <f>VLOOKUP(B15,'Data BankNifty'!B$11:BN$113,19,0)</f>
        <v>218.2</v>
      </c>
      <c r="N15" s="15">
        <f>VLOOKUP(B15,'Data BankNifty'!B$11:BN$113,18,0)</f>
        <v>-73.75</v>
      </c>
      <c r="O15" s="15">
        <f>VLOOKUP(B15,'Data BankNifty'!B$11:BN$113,20,0)</f>
        <v>21.96</v>
      </c>
      <c r="P15" s="24">
        <f>VLOOKUP(B15,'Data BankNifty'!B$11:BN$113,22,0)</f>
        <v>331920</v>
      </c>
      <c r="Q15" s="17">
        <f>VLOOKUP(B15,'Data BankNifty'!B$11:BN$113,23,0)</f>
        <v>783140</v>
      </c>
      <c r="R15" s="16">
        <f>VLOOKUP(B15,'Data BankNifty'!B$11:BN$113,21,0)</f>
        <v>380615</v>
      </c>
      <c r="S15" s="19" t="str">
        <f t="shared" si="4"/>
        <v>UP</v>
      </c>
      <c r="T15" s="20" t="str">
        <f t="shared" si="7"/>
        <v>Short Buildup</v>
      </c>
      <c r="U15">
        <f t="shared" si="8"/>
        <v>30966.15</v>
      </c>
    </row>
    <row r="16" spans="1:21" x14ac:dyDescent="0.25">
      <c r="A16" s="22" t="str">
        <f t="shared" si="0"/>
        <v>CE31100</v>
      </c>
      <c r="B16" s="22" t="str">
        <f t="shared" si="1"/>
        <v>PE31100</v>
      </c>
      <c r="C16" s="34" t="str">
        <f t="shared" si="5"/>
        <v xml:space="preserve"> 13:51</v>
      </c>
      <c r="D16" s="13" t="str">
        <f t="shared" si="6"/>
        <v>Short Buildup</v>
      </c>
      <c r="E16" s="14" t="str">
        <f t="shared" si="2"/>
        <v>UP</v>
      </c>
      <c r="F16" s="16">
        <f>VLOOKUP(A16,'Data BankNifty'!A$11:AZ$113,6,0)</f>
        <v>381974</v>
      </c>
      <c r="G16" s="17">
        <f>VLOOKUP(A16,'Data BankNifty'!A$11:AZ$113,4,0)</f>
        <v>504360</v>
      </c>
      <c r="H16" s="24">
        <f>VLOOKUP(A16,'Data BankNifty'!A$11:AZ$113,5,0)</f>
        <v>134440</v>
      </c>
      <c r="I16" s="15">
        <f>VLOOKUP(A16,'Data BankNifty'!A$11:AZ$113,7,0)</f>
        <v>21.63</v>
      </c>
      <c r="J16" s="15">
        <f>VLOOKUP(A16,'Data BankNifty'!A$11:AZ$113,9,0)</f>
        <v>-0.3</v>
      </c>
      <c r="K16" s="15">
        <f>VLOOKUP(A16,'Data BankNifty'!A$11:AZ$113,8,0)</f>
        <v>139.94999999999999</v>
      </c>
      <c r="L16" s="18">
        <f t="shared" ref="L16:L21" si="9">L15+100</f>
        <v>31100</v>
      </c>
      <c r="M16" s="15">
        <f>VLOOKUP(B16,'Data BankNifty'!B$11:BN$113,19,0)</f>
        <v>275.75</v>
      </c>
      <c r="N16" s="15">
        <f>VLOOKUP(B16,'Data BankNifty'!B$11:BN$113,18,0)</f>
        <v>-77.7</v>
      </c>
      <c r="O16" s="15">
        <f>VLOOKUP(B16,'Data BankNifty'!B$11:BN$113,20,0)</f>
        <v>22.1</v>
      </c>
      <c r="P16" s="24">
        <f>VLOOKUP(B16,'Data BankNifty'!B$11:BN$113,22,0)</f>
        <v>50900</v>
      </c>
      <c r="Q16" s="17">
        <f>VLOOKUP(B16,'Data BankNifty'!B$11:BN$113,23,0)</f>
        <v>155160</v>
      </c>
      <c r="R16" s="16">
        <f>VLOOKUP(B16,'Data BankNifty'!B$11:BN$113,21,0)</f>
        <v>86630</v>
      </c>
      <c r="S16" s="19" t="str">
        <f t="shared" si="4"/>
        <v>UP</v>
      </c>
      <c r="T16" s="20" t="str">
        <f t="shared" si="7"/>
        <v>Short Buildup</v>
      </c>
      <c r="U16">
        <f t="shared" si="8"/>
        <v>30966.15</v>
      </c>
    </row>
    <row r="17" spans="1:21" x14ac:dyDescent="0.25">
      <c r="A17" s="22" t="str">
        <f t="shared" si="0"/>
        <v>CE31200</v>
      </c>
      <c r="B17" s="22" t="str">
        <f t="shared" si="1"/>
        <v>PE31200</v>
      </c>
      <c r="C17" s="34" t="str">
        <f t="shared" si="5"/>
        <v xml:space="preserve"> 13:51</v>
      </c>
      <c r="D17" s="13" t="str">
        <f t="shared" si="6"/>
        <v>Short Buildup</v>
      </c>
      <c r="E17" s="14" t="str">
        <f t="shared" si="2"/>
        <v>UP</v>
      </c>
      <c r="F17" s="16">
        <f>VLOOKUP(A17,'Data BankNifty'!A$11:AZ$113,6,0)</f>
        <v>583803</v>
      </c>
      <c r="G17" s="17">
        <f>VLOOKUP(A17,'Data BankNifty'!A$11:AZ$113,4,0)</f>
        <v>712080</v>
      </c>
      <c r="H17" s="24">
        <f>VLOOKUP(A17,'Data BankNifty'!A$11:AZ$113,5,0)</f>
        <v>152680</v>
      </c>
      <c r="I17" s="15">
        <f>VLOOKUP(A17,'Data BankNifty'!A$11:AZ$113,7,0)</f>
        <v>21.75</v>
      </c>
      <c r="J17" s="15">
        <f>VLOOKUP(A17,'Data BankNifty'!A$11:AZ$113,9,0)</f>
        <v>-4.0999999999999996</v>
      </c>
      <c r="K17" s="15">
        <f>VLOOKUP(A17,'Data BankNifty'!A$11:AZ$113,8,0)</f>
        <v>106.75</v>
      </c>
      <c r="L17" s="18">
        <f t="shared" si="9"/>
        <v>31200</v>
      </c>
      <c r="M17" s="15">
        <f>VLOOKUP(B17,'Data BankNifty'!B$11:BN$113,19,0)</f>
        <v>342.25</v>
      </c>
      <c r="N17" s="15">
        <f>VLOOKUP(B17,'Data BankNifty'!B$11:BN$113,18,0)</f>
        <v>-83</v>
      </c>
      <c r="O17" s="15">
        <f>VLOOKUP(B17,'Data BankNifty'!B$11:BN$113,20,0)</f>
        <v>22.2</v>
      </c>
      <c r="P17" s="24">
        <f>VLOOKUP(B17,'Data BankNifty'!B$11:BN$113,22,0)</f>
        <v>15420</v>
      </c>
      <c r="Q17" s="17">
        <f>VLOOKUP(B17,'Data BankNifty'!B$11:BN$113,23,0)</f>
        <v>120520</v>
      </c>
      <c r="R17" s="16">
        <f>VLOOKUP(B17,'Data BankNifty'!B$11:BN$113,21,0)</f>
        <v>49269</v>
      </c>
      <c r="S17" s="19" t="str">
        <f t="shared" si="4"/>
        <v>UP</v>
      </c>
      <c r="T17" s="20" t="str">
        <f t="shared" si="7"/>
        <v>Short Buildup</v>
      </c>
      <c r="U17">
        <f t="shared" si="8"/>
        <v>30966.15</v>
      </c>
    </row>
    <row r="18" spans="1:21" x14ac:dyDescent="0.25">
      <c r="A18" s="22" t="str">
        <f t="shared" si="0"/>
        <v>CE31300</v>
      </c>
      <c r="B18" s="22" t="str">
        <f t="shared" si="1"/>
        <v>PE31300</v>
      </c>
      <c r="C18" s="34" t="str">
        <f t="shared" si="5"/>
        <v xml:space="preserve"> 13:51</v>
      </c>
      <c r="D18" s="13" t="str">
        <f t="shared" si="6"/>
        <v>Short Buildup</v>
      </c>
      <c r="E18" s="14" t="str">
        <f t="shared" si="2"/>
        <v>UP</v>
      </c>
      <c r="F18" s="16">
        <f>VLOOKUP(A18,'Data BankNifty'!A$11:AZ$113,6,0)</f>
        <v>414330</v>
      </c>
      <c r="G18" s="17">
        <f>VLOOKUP(A18,'Data BankNifty'!A$11:AZ$113,4,0)</f>
        <v>633900</v>
      </c>
      <c r="H18" s="24">
        <f>VLOOKUP(A18,'Data BankNifty'!A$11:AZ$113,5,0)</f>
        <v>186220</v>
      </c>
      <c r="I18" s="15">
        <f>VLOOKUP(A18,'Data BankNifty'!A$11:AZ$113,7,0)</f>
        <v>21.86</v>
      </c>
      <c r="J18" s="15">
        <f>VLOOKUP(A18,'Data BankNifty'!A$11:AZ$113,9,0)</f>
        <v>-6.8</v>
      </c>
      <c r="K18" s="15">
        <f>VLOOKUP(A18,'Data BankNifty'!A$11:AZ$113,8,0)</f>
        <v>78.75</v>
      </c>
      <c r="L18" s="18">
        <f t="shared" si="9"/>
        <v>31300</v>
      </c>
      <c r="M18" s="15">
        <f>VLOOKUP(B18,'Data BankNifty'!B$11:BN$113,19,0)</f>
        <v>414.3</v>
      </c>
      <c r="N18" s="15">
        <f>VLOOKUP(B18,'Data BankNifty'!B$11:BN$113,18,0)</f>
        <v>-94.4</v>
      </c>
      <c r="O18" s="15">
        <f>VLOOKUP(B18,'Data BankNifty'!B$11:BN$113,20,0)</f>
        <v>21.78</v>
      </c>
      <c r="P18" s="24">
        <f>VLOOKUP(B18,'Data BankNifty'!B$11:BN$113,22,0)</f>
        <v>-5440</v>
      </c>
      <c r="Q18" s="17">
        <f>VLOOKUP(B18,'Data BankNifty'!B$11:BN$113,23,0)</f>
        <v>97740</v>
      </c>
      <c r="R18" s="16">
        <f>VLOOKUP(B18,'Data BankNifty'!B$11:BN$113,21,0)</f>
        <v>13108</v>
      </c>
      <c r="S18" s="19" t="str">
        <f t="shared" si="4"/>
        <v>DOWN</v>
      </c>
      <c r="T18" s="20" t="str">
        <f t="shared" si="7"/>
        <v>Long Liquidation</v>
      </c>
      <c r="U18">
        <f t="shared" si="8"/>
        <v>30966.15</v>
      </c>
    </row>
    <row r="19" spans="1:21" x14ac:dyDescent="0.25">
      <c r="A19" s="22" t="str">
        <f t="shared" si="0"/>
        <v>CE31400</v>
      </c>
      <c r="B19" s="22" t="str">
        <f t="shared" si="1"/>
        <v>PE31400</v>
      </c>
      <c r="C19" s="34" t="str">
        <f t="shared" si="5"/>
        <v xml:space="preserve"> 13:51</v>
      </c>
      <c r="D19" s="13" t="str">
        <f t="shared" si="6"/>
        <v>Short Buildup</v>
      </c>
      <c r="E19" s="14" t="str">
        <f t="shared" si="2"/>
        <v>UP</v>
      </c>
      <c r="F19" s="16">
        <f>VLOOKUP(A19,'Data BankNifty'!A$11:AZ$113,6,0)</f>
        <v>366184</v>
      </c>
      <c r="G19" s="17">
        <f>VLOOKUP(A19,'Data BankNifty'!A$11:AZ$113,4,0)</f>
        <v>540720</v>
      </c>
      <c r="H19" s="24">
        <f>VLOOKUP(A19,'Data BankNifty'!A$11:AZ$113,5,0)</f>
        <v>147560</v>
      </c>
      <c r="I19" s="15">
        <f>VLOOKUP(A19,'Data BankNifty'!A$11:AZ$113,7,0)</f>
        <v>21.98</v>
      </c>
      <c r="J19" s="15">
        <f>VLOOKUP(A19,'Data BankNifty'!A$11:AZ$113,9,0)</f>
        <v>-9.6999999999999993</v>
      </c>
      <c r="K19" s="15">
        <f>VLOOKUP(A19,'Data BankNifty'!A$11:AZ$113,8,0)</f>
        <v>56.15</v>
      </c>
      <c r="L19" s="18">
        <f t="shared" si="9"/>
        <v>31400</v>
      </c>
      <c r="M19" s="15">
        <f>VLOOKUP(B19,'Data BankNifty'!B$11:BN$113,19,0)</f>
        <v>494.6</v>
      </c>
      <c r="N19" s="15">
        <f>VLOOKUP(B19,'Data BankNifty'!B$11:BN$113,18,0)</f>
        <v>-87.35</v>
      </c>
      <c r="O19" s="15">
        <f>VLOOKUP(B19,'Data BankNifty'!B$11:BN$113,20,0)</f>
        <v>21.85</v>
      </c>
      <c r="P19" s="24">
        <f>VLOOKUP(B19,'Data BankNifty'!B$11:BN$113,22,0)</f>
        <v>4260</v>
      </c>
      <c r="Q19" s="17">
        <f>VLOOKUP(B19,'Data BankNifty'!B$11:BN$113,23,0)</f>
        <v>54740</v>
      </c>
      <c r="R19" s="16">
        <f>VLOOKUP(B19,'Data BankNifty'!B$11:BN$113,21,0)</f>
        <v>4243</v>
      </c>
      <c r="S19" s="19" t="str">
        <f t="shared" si="4"/>
        <v>UP</v>
      </c>
      <c r="T19" s="20" t="str">
        <f t="shared" si="7"/>
        <v>Short Buildup</v>
      </c>
      <c r="U19">
        <f t="shared" si="8"/>
        <v>30966.15</v>
      </c>
    </row>
    <row r="20" spans="1:21" x14ac:dyDescent="0.25">
      <c r="A20" s="22" t="str">
        <f t="shared" si="0"/>
        <v>CE31500</v>
      </c>
      <c r="B20" s="22" t="str">
        <f t="shared" si="1"/>
        <v>PE31500</v>
      </c>
      <c r="C20" s="34" t="str">
        <f t="shared" si="5"/>
        <v xml:space="preserve"> 13:51</v>
      </c>
      <c r="D20" s="13" t="str">
        <f t="shared" si="6"/>
        <v>Short Buildup</v>
      </c>
      <c r="E20" s="14" t="str">
        <f t="shared" si="2"/>
        <v>UP</v>
      </c>
      <c r="F20" s="16">
        <f>VLOOKUP(A20,'Data BankNifty'!A$11:AZ$113,6,0)</f>
        <v>540537</v>
      </c>
      <c r="G20" s="17">
        <f>VLOOKUP(A20,'Data BankNifty'!A$11:AZ$113,4,0)</f>
        <v>1441560</v>
      </c>
      <c r="H20" s="24">
        <f>VLOOKUP(A20,'Data BankNifty'!A$11:AZ$113,5,0)</f>
        <v>247200</v>
      </c>
      <c r="I20" s="15">
        <f>VLOOKUP(A20,'Data BankNifty'!A$11:AZ$113,7,0)</f>
        <v>22.3</v>
      </c>
      <c r="J20" s="15">
        <f>VLOOKUP(A20,'Data BankNifty'!A$11:AZ$113,9,0)</f>
        <v>-8.9499999999999993</v>
      </c>
      <c r="K20" s="15">
        <f>VLOOKUP(A20,'Data BankNifty'!A$11:AZ$113,8,0)</f>
        <v>41</v>
      </c>
      <c r="L20" s="18">
        <f t="shared" si="9"/>
        <v>31500</v>
      </c>
      <c r="M20" s="15">
        <f>VLOOKUP(B20,'Data BankNifty'!B$11:BN$113,19,0)</f>
        <v>580</v>
      </c>
      <c r="N20" s="15">
        <f>VLOOKUP(B20,'Data BankNifty'!B$11:BN$113,18,0)</f>
        <v>-87.3</v>
      </c>
      <c r="O20" s="15">
        <f>VLOOKUP(B20,'Data BankNifty'!B$11:BN$113,20,0)</f>
        <v>22.39</v>
      </c>
      <c r="P20" s="24">
        <f>VLOOKUP(B20,'Data BankNifty'!B$11:BN$113,22,0)</f>
        <v>3560</v>
      </c>
      <c r="Q20" s="17">
        <f>VLOOKUP(B20,'Data BankNifty'!B$11:BN$113,23,0)</f>
        <v>471660</v>
      </c>
      <c r="R20" s="16">
        <f>VLOOKUP(B20,'Data BankNifty'!B$11:BN$113,21,0)</f>
        <v>6865</v>
      </c>
      <c r="S20" s="19" t="str">
        <f t="shared" si="4"/>
        <v>UP</v>
      </c>
      <c r="T20" s="20" t="str">
        <f t="shared" si="7"/>
        <v>Short Buildup</v>
      </c>
      <c r="U20">
        <f t="shared" si="8"/>
        <v>30966.15</v>
      </c>
    </row>
    <row r="21" spans="1:21" x14ac:dyDescent="0.25">
      <c r="A21" s="22" t="str">
        <f t="shared" si="0"/>
        <v>CE31600</v>
      </c>
      <c r="B21" s="22" t="str">
        <f t="shared" si="1"/>
        <v>PE31600</v>
      </c>
      <c r="C21" s="34" t="str">
        <f t="shared" si="5"/>
        <v xml:space="preserve"> 13:51</v>
      </c>
      <c r="D21" s="13" t="str">
        <f t="shared" si="6"/>
        <v>Short Buildup</v>
      </c>
      <c r="E21" s="14" t="str">
        <f t="shared" si="2"/>
        <v>UP</v>
      </c>
      <c r="F21" s="16">
        <f>VLOOKUP(A21,'Data BankNifty'!A$11:AZ$113,6,0)</f>
        <v>213786</v>
      </c>
      <c r="G21" s="17">
        <f>VLOOKUP(A21,'Data BankNifty'!A$11:AZ$113,4,0)</f>
        <v>359540</v>
      </c>
      <c r="H21" s="24">
        <f>VLOOKUP(A21,'Data BankNifty'!A$11:AZ$113,5,0)</f>
        <v>75320</v>
      </c>
      <c r="I21" s="15">
        <f>VLOOKUP(A21,'Data BankNifty'!A$11:AZ$113,7,0)</f>
        <v>22.39</v>
      </c>
      <c r="J21" s="15">
        <f>VLOOKUP(A21,'Data BankNifty'!A$11:AZ$113,9,0)</f>
        <v>-9.15</v>
      </c>
      <c r="K21" s="15">
        <f>VLOOKUP(A21,'Data BankNifty'!A$11:AZ$113,8,0)</f>
        <v>28.6</v>
      </c>
      <c r="L21" s="18">
        <f t="shared" si="9"/>
        <v>31600</v>
      </c>
      <c r="M21" s="15">
        <f>VLOOKUP(B21,'Data BankNifty'!B$11:BN$113,19,0)</f>
        <v>665</v>
      </c>
      <c r="N21" s="15">
        <f>VLOOKUP(B21,'Data BankNifty'!B$11:BN$113,18,0)</f>
        <v>-95.85</v>
      </c>
      <c r="O21" s="15">
        <f>VLOOKUP(B21,'Data BankNifty'!B$11:BN$113,20,0)</f>
        <v>24.54</v>
      </c>
      <c r="P21" s="24" t="str">
        <f>VLOOKUP(B21,'Data BankNifty'!B$11:BN$113,22,0)</f>
        <v>-</v>
      </c>
      <c r="Q21" s="17">
        <f>VLOOKUP(B21,'Data BankNifty'!B$11:BN$113,23,0)</f>
        <v>17660</v>
      </c>
      <c r="R21" s="16">
        <f>VLOOKUP(B21,'Data BankNifty'!B$11:BN$113,21,0)</f>
        <v>304</v>
      </c>
      <c r="S21" s="19" t="str">
        <f t="shared" si="4"/>
        <v>UP</v>
      </c>
      <c r="T21" s="20" t="str">
        <f t="shared" si="7"/>
        <v>Short Buildup</v>
      </c>
      <c r="U21">
        <f t="shared" si="8"/>
        <v>30966.15</v>
      </c>
    </row>
    <row r="22" spans="1:21" x14ac:dyDescent="0.25">
      <c r="A22" s="22" t="str">
        <f t="shared" si="0"/>
        <v>CE31700</v>
      </c>
      <c r="B22" s="22" t="str">
        <f t="shared" si="1"/>
        <v>PE31700</v>
      </c>
      <c r="C22" s="34" t="str">
        <f t="shared" si="5"/>
        <v xml:space="preserve"> 13:51</v>
      </c>
      <c r="D22" s="13" t="str">
        <f t="shared" si="6"/>
        <v>Short Buildup</v>
      </c>
      <c r="E22" s="14" t="str">
        <f>IF(H22&gt;0,"UP","DOWN")</f>
        <v>UP</v>
      </c>
      <c r="F22" s="16">
        <f>VLOOKUP(A22,'Data BankNifty'!A$11:AZ$113,6,0)</f>
        <v>141155</v>
      </c>
      <c r="G22" s="17">
        <f>VLOOKUP(A22,'Data BankNifty'!A$11:AZ$113,4,0)</f>
        <v>384840</v>
      </c>
      <c r="H22" s="24">
        <f>VLOOKUP(A22,'Data BankNifty'!A$11:AZ$113,5,0)</f>
        <v>26880</v>
      </c>
      <c r="I22" s="15">
        <f>VLOOKUP(A22,'Data BankNifty'!A$11:AZ$113,7,0)</f>
        <v>22.67</v>
      </c>
      <c r="J22" s="15">
        <f>VLOOKUP(A22,'Data BankNifty'!A$11:AZ$113,9,0)</f>
        <v>-8.15</v>
      </c>
      <c r="K22" s="15">
        <f>VLOOKUP(A22,'Data BankNifty'!A$11:AZ$113,8,0)</f>
        <v>20</v>
      </c>
      <c r="L22" s="18">
        <f>L21+100</f>
        <v>31700</v>
      </c>
      <c r="M22" s="15">
        <f>VLOOKUP(B22,'Data BankNifty'!B$11:BN$113,19,0)</f>
        <v>748.05</v>
      </c>
      <c r="N22" s="15">
        <f>VLOOKUP(B22,'Data BankNifty'!B$11:BN$113,18,0)</f>
        <v>-95.65</v>
      </c>
      <c r="O22" s="15">
        <f>VLOOKUP(B22,'Data BankNifty'!B$11:BN$113,20,0)</f>
        <v>26.79</v>
      </c>
      <c r="P22" s="24">
        <f>VLOOKUP(B22,'Data BankNifty'!B$11:BN$113,22,0)</f>
        <v>-1240</v>
      </c>
      <c r="Q22" s="17">
        <f>VLOOKUP(B22,'Data BankNifty'!B$11:BN$113,23,0)</f>
        <v>10100</v>
      </c>
      <c r="R22" s="16">
        <f>VLOOKUP(B22,'Data BankNifty'!B$11:BN$113,21,0)</f>
        <v>319</v>
      </c>
      <c r="S22" s="19" t="str">
        <f t="shared" si="4"/>
        <v>DOWN</v>
      </c>
      <c r="T22" s="20" t="str">
        <f t="shared" si="7"/>
        <v>Long Liquidation</v>
      </c>
      <c r="U22">
        <f t="shared" si="8"/>
        <v>30966.15</v>
      </c>
    </row>
    <row r="23" spans="1:21" x14ac:dyDescent="0.25">
      <c r="A23" s="22"/>
      <c r="B23" s="22"/>
      <c r="C23" s="34" t="str">
        <f t="shared" si="5"/>
        <v xml:space="preserve"> 13:51</v>
      </c>
      <c r="D23" s="41">
        <f>+Q23/G23</f>
        <v>0.83480357360634672</v>
      </c>
      <c r="F23" s="33"/>
      <c r="G23" s="39">
        <f>SUM(G7:G22)</f>
        <v>6395780</v>
      </c>
      <c r="H23" s="40"/>
      <c r="I23" s="38"/>
      <c r="J23" s="38"/>
      <c r="K23" s="38"/>
      <c r="L23" s="37" t="s">
        <v>57</v>
      </c>
      <c r="M23" s="38"/>
      <c r="N23" s="38"/>
      <c r="O23" s="38"/>
      <c r="Q23" s="40">
        <f>SUM(Q7:Q22)</f>
        <v>5339220</v>
      </c>
      <c r="R23" s="33"/>
      <c r="S23" s="38"/>
      <c r="T23" s="38"/>
    </row>
    <row r="24" spans="1:21" x14ac:dyDescent="0.25">
      <c r="A24" s="2"/>
      <c r="B24" s="2"/>
      <c r="C24" s="34"/>
      <c r="D24" s="2"/>
      <c r="E24" s="2"/>
      <c r="F24" s="2"/>
      <c r="G24" s="2"/>
      <c r="H24" s="2"/>
      <c r="I24" s="2"/>
      <c r="J24" s="2"/>
      <c r="K24" s="2"/>
      <c r="L24" s="2"/>
      <c r="M24" s="2"/>
      <c r="N24" s="2"/>
      <c r="O24" s="2"/>
      <c r="P24" s="2"/>
      <c r="Q24" s="2"/>
      <c r="R24" s="2"/>
      <c r="S24" s="2"/>
      <c r="T24" s="2"/>
    </row>
    <row r="25" spans="1:21" x14ac:dyDescent="0.25">
      <c r="A25" s="2"/>
      <c r="B25" s="2"/>
      <c r="C25" s="34"/>
      <c r="D25" s="2"/>
      <c r="E25" s="2"/>
      <c r="F25" s="2"/>
      <c r="G25" s="2"/>
      <c r="H25" s="2"/>
      <c r="I25" s="2"/>
      <c r="J25" s="2"/>
      <c r="K25" s="2"/>
      <c r="L25" s="2"/>
      <c r="M25" s="2"/>
      <c r="N25" s="2"/>
      <c r="O25" s="2"/>
      <c r="P25" s="2"/>
      <c r="Q25" s="2"/>
      <c r="R25" s="2"/>
      <c r="S25" s="2"/>
      <c r="T25" s="2"/>
    </row>
    <row r="26" spans="1:21" x14ac:dyDescent="0.25">
      <c r="A26" s="2"/>
      <c r="B26" s="2"/>
      <c r="C26" s="34"/>
      <c r="D26" s="2"/>
      <c r="E26" s="2"/>
      <c r="F26" s="2"/>
      <c r="G26" s="2"/>
      <c r="H26" s="2"/>
      <c r="I26" s="2"/>
      <c r="J26" s="2"/>
      <c r="K26" s="2"/>
      <c r="L26" s="2"/>
      <c r="M26" s="2"/>
      <c r="N26" s="2"/>
      <c r="O26" s="2"/>
      <c r="P26" s="2"/>
      <c r="Q26" s="2"/>
      <c r="R26" s="2"/>
      <c r="S26" s="2"/>
      <c r="T26" s="2"/>
    </row>
    <row r="27" spans="1:21" x14ac:dyDescent="0.25">
      <c r="A27" s="2"/>
      <c r="B27" s="2"/>
      <c r="C27" s="34"/>
      <c r="D27" s="2"/>
      <c r="E27" s="2"/>
      <c r="F27" s="2"/>
      <c r="G27" s="2"/>
      <c r="H27" s="2"/>
      <c r="I27" s="2"/>
      <c r="J27" s="2"/>
      <c r="K27" s="2"/>
      <c r="L27" s="2"/>
      <c r="M27" s="2"/>
      <c r="N27" s="2"/>
      <c r="O27" s="2"/>
      <c r="P27" s="2"/>
      <c r="Q27" s="2"/>
      <c r="R27" s="2"/>
      <c r="S27" s="2"/>
      <c r="T27" s="2"/>
    </row>
    <row r="28" spans="1:21" x14ac:dyDescent="0.25">
      <c r="A28" s="2"/>
      <c r="B28" s="2"/>
      <c r="C28" s="34"/>
      <c r="D28" s="2"/>
      <c r="E28" s="2"/>
      <c r="F28" s="2"/>
      <c r="G28" s="2"/>
      <c r="H28" s="2"/>
      <c r="I28" s="2"/>
      <c r="J28" s="2"/>
      <c r="K28" s="2"/>
      <c r="L28" s="2"/>
      <c r="M28" s="2"/>
      <c r="N28" s="2"/>
      <c r="O28" s="2"/>
      <c r="P28" s="2"/>
      <c r="Q28" s="2"/>
      <c r="R28" s="2"/>
      <c r="S28" s="2"/>
      <c r="T28" s="2"/>
    </row>
    <row r="29" spans="1:21" x14ac:dyDescent="0.25">
      <c r="A29" s="2"/>
      <c r="B29" s="2"/>
      <c r="C29" s="34"/>
      <c r="D29" s="2"/>
      <c r="E29" s="2"/>
      <c r="F29" s="2"/>
      <c r="G29" s="2"/>
      <c r="H29" s="2"/>
      <c r="I29" s="2"/>
      <c r="J29" s="2"/>
      <c r="K29" s="2"/>
      <c r="L29" s="2"/>
      <c r="M29" s="2"/>
      <c r="N29" s="2"/>
      <c r="O29" s="2"/>
      <c r="P29" s="2"/>
      <c r="Q29" s="2"/>
      <c r="R29" s="2"/>
      <c r="S29" s="2"/>
      <c r="T29" s="2"/>
    </row>
    <row r="30" spans="1:21" x14ac:dyDescent="0.25">
      <c r="A30" s="2"/>
      <c r="B30" s="2"/>
      <c r="C30" s="34"/>
      <c r="D30" s="2"/>
      <c r="E30" s="2"/>
      <c r="F30" s="2"/>
      <c r="G30" s="2"/>
      <c r="H30" s="2"/>
      <c r="I30" s="2"/>
      <c r="J30" s="2"/>
      <c r="K30" s="2"/>
      <c r="L30" s="2"/>
      <c r="M30" s="2"/>
      <c r="N30" s="2"/>
      <c r="O30" s="2"/>
      <c r="P30" s="2"/>
      <c r="Q30" s="2"/>
      <c r="R30" s="2"/>
      <c r="S30" s="2"/>
      <c r="T30" s="2"/>
    </row>
    <row r="31" spans="1:21" x14ac:dyDescent="0.25">
      <c r="A31" s="2"/>
      <c r="B31" s="2"/>
      <c r="C31" s="34"/>
      <c r="D31" s="2"/>
      <c r="E31" s="2"/>
      <c r="F31" s="2"/>
      <c r="G31" s="2"/>
      <c r="H31" s="2"/>
      <c r="I31" s="2"/>
      <c r="J31" s="2"/>
      <c r="K31" s="2"/>
      <c r="L31" s="2"/>
      <c r="M31" s="2"/>
      <c r="N31" s="2"/>
      <c r="O31" s="2"/>
      <c r="P31" s="2"/>
      <c r="Q31" s="2"/>
      <c r="R31" s="2"/>
      <c r="S31" s="2"/>
      <c r="T31" s="2"/>
    </row>
    <row r="32" spans="1:21" x14ac:dyDescent="0.25">
      <c r="A32" s="2"/>
      <c r="B32" s="2"/>
      <c r="C32" s="34"/>
      <c r="D32" s="2"/>
      <c r="E32" s="2"/>
      <c r="F32" s="2"/>
      <c r="G32" s="2"/>
      <c r="H32" s="2"/>
      <c r="I32" s="2"/>
      <c r="J32" s="2"/>
      <c r="K32" s="2"/>
      <c r="L32" s="2"/>
      <c r="M32" s="2"/>
      <c r="N32" s="2"/>
      <c r="O32" s="2"/>
      <c r="P32" s="2"/>
      <c r="Q32" s="2"/>
      <c r="R32" s="2"/>
      <c r="S32" s="2"/>
      <c r="T32" s="2"/>
    </row>
    <row r="33" spans="1:20" x14ac:dyDescent="0.25">
      <c r="A33" s="2"/>
      <c r="B33" s="2"/>
      <c r="C33" s="34"/>
      <c r="D33" s="2"/>
      <c r="E33" s="2"/>
      <c r="F33" s="2"/>
      <c r="G33" s="2"/>
      <c r="H33" s="2"/>
      <c r="I33" s="2"/>
      <c r="J33" s="2"/>
      <c r="K33" s="2"/>
      <c r="L33" s="2"/>
      <c r="M33" s="2"/>
      <c r="N33" s="2"/>
      <c r="O33" s="2"/>
      <c r="P33" s="2"/>
      <c r="Q33" s="2"/>
      <c r="R33" s="2"/>
      <c r="S33" s="2"/>
      <c r="T33" s="2"/>
    </row>
    <row r="34" spans="1:20" x14ac:dyDescent="0.25">
      <c r="A34" s="2"/>
      <c r="B34" s="2"/>
      <c r="C34" s="34"/>
      <c r="D34" s="2"/>
      <c r="E34" s="2"/>
      <c r="F34" s="2"/>
      <c r="G34" s="2"/>
      <c r="H34" s="2"/>
      <c r="I34" s="2"/>
      <c r="J34" s="2"/>
      <c r="K34" s="2"/>
      <c r="L34" s="2"/>
      <c r="M34" s="2"/>
      <c r="N34" s="2"/>
      <c r="O34" s="2"/>
      <c r="P34" s="2"/>
      <c r="Q34" s="2"/>
      <c r="R34" s="2"/>
      <c r="S34" s="2"/>
      <c r="T34" s="2"/>
    </row>
    <row r="35" spans="1:20" x14ac:dyDescent="0.25">
      <c r="A35" s="2"/>
      <c r="B35" s="2"/>
      <c r="C35" s="34"/>
      <c r="D35" s="2"/>
      <c r="E35" s="2"/>
      <c r="F35" s="2"/>
      <c r="G35" s="2"/>
      <c r="H35" s="2"/>
      <c r="I35" s="2"/>
      <c r="J35" s="2"/>
      <c r="K35" s="2"/>
      <c r="L35" s="2"/>
      <c r="M35" s="2"/>
      <c r="N35" s="2"/>
      <c r="O35" s="2"/>
      <c r="P35" s="2"/>
      <c r="Q35" s="2"/>
      <c r="R35" s="2"/>
      <c r="S35" s="2"/>
      <c r="T35" s="2"/>
    </row>
    <row r="36" spans="1:20" x14ac:dyDescent="0.25">
      <c r="A36" s="2"/>
      <c r="B36" s="2"/>
      <c r="C36" s="34"/>
      <c r="D36" s="2"/>
      <c r="E36" s="2"/>
      <c r="F36" s="2"/>
      <c r="G36" s="2"/>
      <c r="H36" s="2"/>
      <c r="I36" s="2"/>
      <c r="J36" s="2"/>
      <c r="K36" s="2"/>
      <c r="L36" s="2"/>
      <c r="M36" s="2"/>
      <c r="N36" s="2"/>
      <c r="O36" s="2"/>
      <c r="P36" s="2"/>
      <c r="Q36" s="2"/>
      <c r="R36" s="2"/>
      <c r="S36" s="2"/>
      <c r="T36" s="2"/>
    </row>
    <row r="37" spans="1:20" x14ac:dyDescent="0.25">
      <c r="A37" s="2"/>
      <c r="B37" s="2"/>
      <c r="C37" s="34"/>
      <c r="D37" s="2"/>
      <c r="E37" s="2"/>
      <c r="F37" s="2"/>
      <c r="G37" s="2"/>
      <c r="H37" s="2"/>
      <c r="I37" s="2"/>
      <c r="J37" s="2"/>
      <c r="K37" s="2"/>
      <c r="L37" s="2"/>
      <c r="M37" s="2"/>
      <c r="N37" s="2"/>
      <c r="O37" s="2"/>
      <c r="P37" s="2"/>
      <c r="Q37" s="2"/>
      <c r="R37" s="2"/>
      <c r="S37" s="2"/>
      <c r="T37" s="2"/>
    </row>
    <row r="38" spans="1:20" x14ac:dyDescent="0.25">
      <c r="A38" s="2"/>
      <c r="B38" s="2"/>
      <c r="C38" s="34"/>
      <c r="D38" s="2"/>
      <c r="E38" s="2"/>
      <c r="F38" s="2"/>
      <c r="G38" s="2"/>
      <c r="H38" s="2"/>
      <c r="I38" s="2"/>
      <c r="J38" s="2"/>
      <c r="K38" s="2"/>
      <c r="L38" s="2"/>
      <c r="M38" s="2"/>
      <c r="N38" s="2"/>
      <c r="O38" s="2"/>
      <c r="P38" s="2"/>
      <c r="Q38" s="2"/>
      <c r="R38" s="2"/>
      <c r="S38" s="2"/>
      <c r="T38" s="2"/>
    </row>
    <row r="39" spans="1:20" x14ac:dyDescent="0.25">
      <c r="A39" s="2"/>
      <c r="B39" s="2"/>
      <c r="C39" s="34"/>
      <c r="D39" s="2"/>
      <c r="E39" s="2"/>
      <c r="F39" s="2"/>
      <c r="G39" s="2"/>
      <c r="H39" s="2"/>
      <c r="I39" s="2"/>
      <c r="J39" s="2"/>
      <c r="K39" s="2"/>
      <c r="L39" s="2"/>
      <c r="M39" s="2"/>
      <c r="N39" s="2"/>
      <c r="O39" s="2"/>
      <c r="P39" s="2"/>
      <c r="Q39" s="2"/>
      <c r="R39" s="2"/>
      <c r="S39" s="2"/>
      <c r="T39" s="2"/>
    </row>
    <row r="40" spans="1:20" x14ac:dyDescent="0.25">
      <c r="A40" s="2"/>
      <c r="B40" s="2"/>
      <c r="C40" s="34"/>
      <c r="D40" s="2"/>
      <c r="E40" s="2"/>
      <c r="F40" s="2"/>
      <c r="G40" s="2"/>
      <c r="H40" s="2"/>
      <c r="I40" s="2"/>
      <c r="J40" s="2"/>
      <c r="K40" s="2"/>
      <c r="L40" s="2"/>
      <c r="M40" s="2"/>
      <c r="N40" s="2"/>
      <c r="O40" s="2"/>
      <c r="P40" s="2"/>
      <c r="Q40" s="2"/>
      <c r="R40" s="2"/>
      <c r="S40" s="2"/>
      <c r="T40" s="2"/>
    </row>
    <row r="41" spans="1:20" x14ac:dyDescent="0.25">
      <c r="A41" s="2"/>
      <c r="B41" s="2"/>
      <c r="C41" s="34"/>
      <c r="D41" s="2"/>
      <c r="E41" s="2"/>
      <c r="F41" s="2"/>
      <c r="G41" s="2"/>
      <c r="H41" s="2"/>
      <c r="I41" s="2"/>
      <c r="J41" s="2"/>
      <c r="K41" s="2"/>
      <c r="L41" s="2"/>
      <c r="M41" s="2"/>
      <c r="N41" s="2"/>
      <c r="O41" s="2"/>
      <c r="P41" s="2"/>
      <c r="Q41" s="2"/>
      <c r="R41" s="2"/>
      <c r="S41" s="2"/>
      <c r="T41" s="2"/>
    </row>
    <row r="42" spans="1:20" x14ac:dyDescent="0.25">
      <c r="A42" s="2"/>
      <c r="B42" s="2"/>
      <c r="C42" s="34"/>
      <c r="D42" s="2"/>
      <c r="E42" s="2"/>
      <c r="F42" s="2"/>
      <c r="G42" s="2"/>
      <c r="H42" s="2"/>
      <c r="I42" s="2"/>
      <c r="J42" s="2"/>
      <c r="K42" s="2"/>
      <c r="L42" s="2"/>
      <c r="M42" s="2"/>
      <c r="N42" s="2"/>
      <c r="O42" s="2"/>
      <c r="P42" s="2"/>
      <c r="Q42" s="2"/>
      <c r="R42" s="2"/>
      <c r="S42" s="2"/>
      <c r="T42" s="2"/>
    </row>
    <row r="43" spans="1:20" x14ac:dyDescent="0.25">
      <c r="A43" s="2"/>
      <c r="B43" s="2"/>
      <c r="C43" s="34"/>
      <c r="D43" s="2"/>
      <c r="E43" s="2"/>
      <c r="F43" s="2"/>
      <c r="G43" s="2"/>
      <c r="H43" s="2"/>
      <c r="I43" s="2"/>
      <c r="J43" s="2"/>
      <c r="K43" s="2"/>
      <c r="L43" s="2"/>
      <c r="M43" s="2"/>
      <c r="N43" s="2"/>
      <c r="O43" s="2"/>
      <c r="P43" s="2"/>
      <c r="Q43" s="2"/>
      <c r="R43" s="2"/>
      <c r="S43" s="2"/>
      <c r="T43" s="2"/>
    </row>
    <row r="44" spans="1:20" x14ac:dyDescent="0.25">
      <c r="A44" s="2"/>
      <c r="B44" s="2"/>
      <c r="C44" s="34"/>
      <c r="D44" s="2"/>
      <c r="E44" s="2"/>
      <c r="F44" s="2"/>
      <c r="G44" s="2"/>
      <c r="H44" s="2"/>
      <c r="I44" s="2"/>
      <c r="J44" s="2"/>
      <c r="K44" s="2"/>
      <c r="L44" s="2"/>
      <c r="M44" s="2"/>
      <c r="N44" s="2"/>
      <c r="O44" s="2"/>
      <c r="P44" s="2"/>
      <c r="Q44" s="2"/>
      <c r="R44" s="2"/>
      <c r="S44" s="2"/>
      <c r="T44" s="2"/>
    </row>
    <row r="45" spans="1:20" x14ac:dyDescent="0.25">
      <c r="A45" s="2"/>
      <c r="B45" s="2"/>
      <c r="C45" s="34"/>
      <c r="D45" s="2"/>
      <c r="E45" s="2"/>
      <c r="F45" s="2"/>
      <c r="G45" s="2"/>
      <c r="H45" s="2"/>
      <c r="I45" s="2"/>
      <c r="J45" s="2"/>
      <c r="K45" s="2"/>
      <c r="L45" s="2"/>
      <c r="M45" s="2"/>
      <c r="N45" s="2"/>
      <c r="O45" s="2"/>
      <c r="P45" s="2"/>
      <c r="Q45" s="2"/>
      <c r="R45" s="2"/>
      <c r="S45" s="2"/>
      <c r="T45" s="2"/>
    </row>
    <row r="46" spans="1:20" x14ac:dyDescent="0.25">
      <c r="A46" s="2"/>
      <c r="B46" s="2"/>
      <c r="C46" s="34"/>
      <c r="D46" s="2"/>
      <c r="E46" s="2"/>
      <c r="F46" s="2"/>
      <c r="G46" s="2"/>
      <c r="H46" s="2"/>
      <c r="I46" s="2"/>
      <c r="J46" s="2"/>
      <c r="K46" s="2"/>
      <c r="L46" s="2"/>
      <c r="M46" s="2"/>
      <c r="N46" s="2"/>
      <c r="O46" s="2"/>
      <c r="P46" s="2"/>
      <c r="Q46" s="2"/>
      <c r="R46" s="2"/>
      <c r="S46" s="2"/>
      <c r="T46" s="2"/>
    </row>
    <row r="47" spans="1:20" x14ac:dyDescent="0.25">
      <c r="A47" s="2"/>
      <c r="B47" s="2"/>
      <c r="C47" s="34"/>
      <c r="D47" s="2"/>
      <c r="E47" s="2"/>
      <c r="F47" s="2"/>
      <c r="G47" s="2"/>
      <c r="H47" s="2"/>
      <c r="I47" s="2"/>
      <c r="J47" s="2"/>
      <c r="K47" s="2"/>
      <c r="L47" s="2"/>
      <c r="M47" s="2"/>
      <c r="N47" s="2"/>
      <c r="O47" s="2"/>
      <c r="P47" s="2"/>
      <c r="Q47" s="2"/>
      <c r="R47" s="2"/>
      <c r="S47" s="2"/>
      <c r="T47" s="2"/>
    </row>
    <row r="48" spans="1:20" x14ac:dyDescent="0.25">
      <c r="A48" s="2"/>
      <c r="B48" s="2"/>
      <c r="C48" s="34"/>
      <c r="D48" s="2"/>
      <c r="E48" s="2"/>
      <c r="F48" s="2"/>
      <c r="G48" s="2"/>
      <c r="H48" s="2"/>
      <c r="I48" s="2"/>
      <c r="J48" s="2"/>
      <c r="K48" s="2"/>
      <c r="L48" s="2"/>
      <c r="M48" s="2"/>
      <c r="N48" s="2"/>
      <c r="O48" s="2"/>
      <c r="P48" s="2"/>
      <c r="Q48" s="2"/>
      <c r="R48" s="2"/>
      <c r="S48" s="2"/>
      <c r="T48" s="2"/>
    </row>
    <row r="49" spans="1:20" x14ac:dyDescent="0.25">
      <c r="A49" s="2"/>
      <c r="B49" s="2"/>
      <c r="C49" s="34"/>
      <c r="D49" s="2"/>
      <c r="E49" s="2"/>
      <c r="F49" s="2"/>
      <c r="G49" s="2"/>
      <c r="H49" s="2"/>
      <c r="I49" s="2"/>
      <c r="J49" s="2"/>
      <c r="K49" s="2"/>
      <c r="L49" s="2"/>
      <c r="M49" s="2"/>
      <c r="N49" s="2"/>
      <c r="O49" s="2"/>
      <c r="P49" s="2"/>
      <c r="Q49" s="2"/>
      <c r="R49" s="2"/>
      <c r="S49" s="2"/>
      <c r="T49" s="2"/>
    </row>
    <row r="50" spans="1:20" x14ac:dyDescent="0.25">
      <c r="A50" s="2"/>
      <c r="B50" s="2"/>
      <c r="C50" s="34"/>
      <c r="D50" s="2"/>
      <c r="E50" s="2"/>
      <c r="F50" s="2"/>
      <c r="G50" s="2"/>
      <c r="H50" s="2"/>
      <c r="I50" s="2"/>
      <c r="J50" s="2"/>
      <c r="K50" s="2"/>
      <c r="L50" s="2"/>
      <c r="M50" s="2"/>
      <c r="N50" s="2"/>
      <c r="O50" s="2"/>
      <c r="P50" s="2"/>
      <c r="Q50" s="2"/>
      <c r="R50" s="2"/>
      <c r="S50" s="2"/>
      <c r="T50" s="2"/>
    </row>
    <row r="51" spans="1:20" x14ac:dyDescent="0.25">
      <c r="A51" s="2"/>
      <c r="B51" s="2"/>
      <c r="C51" s="34"/>
      <c r="D51" s="2"/>
      <c r="E51" s="2"/>
      <c r="F51" s="2"/>
      <c r="G51" s="2"/>
      <c r="H51" s="2"/>
      <c r="I51" s="2"/>
      <c r="J51" s="2"/>
      <c r="K51" s="2"/>
      <c r="L51" s="2"/>
      <c r="M51" s="2"/>
      <c r="N51" s="2"/>
      <c r="O51" s="2"/>
      <c r="P51" s="2"/>
      <c r="Q51" s="2"/>
      <c r="R51" s="2"/>
      <c r="S51" s="2"/>
      <c r="T51" s="2"/>
    </row>
    <row r="52" spans="1:20" x14ac:dyDescent="0.25">
      <c r="A52" s="2"/>
      <c r="B52" s="2"/>
      <c r="C52" s="34"/>
      <c r="D52" s="2"/>
      <c r="E52" s="2"/>
      <c r="F52" s="2"/>
      <c r="G52" s="2"/>
      <c r="H52" s="2"/>
      <c r="I52" s="2"/>
      <c r="J52" s="2"/>
      <c r="K52" s="2"/>
      <c r="L52" s="2"/>
      <c r="M52" s="2"/>
      <c r="N52" s="2"/>
      <c r="O52" s="2"/>
      <c r="P52" s="2"/>
      <c r="Q52" s="2"/>
      <c r="R52" s="2"/>
      <c r="S52" s="2"/>
      <c r="T52" s="2"/>
    </row>
    <row r="53" spans="1:20" x14ac:dyDescent="0.25">
      <c r="A53" s="2"/>
      <c r="B53" s="2"/>
      <c r="C53" s="34"/>
      <c r="D53" s="2"/>
      <c r="E53" s="2"/>
      <c r="F53" s="2"/>
      <c r="G53" s="2"/>
      <c r="H53" s="2"/>
      <c r="I53" s="2"/>
      <c r="J53" s="2"/>
      <c r="K53" s="2"/>
      <c r="L53" s="2"/>
      <c r="M53" s="2"/>
      <c r="N53" s="2"/>
      <c r="O53" s="2"/>
      <c r="P53" s="2"/>
      <c r="Q53" s="2"/>
      <c r="R53" s="2"/>
      <c r="S53" s="2"/>
      <c r="T53" s="2"/>
    </row>
    <row r="54" spans="1:20" x14ac:dyDescent="0.25">
      <c r="A54" s="2"/>
      <c r="B54" s="2"/>
      <c r="C54" s="34"/>
      <c r="D54" s="2"/>
      <c r="E54" s="2"/>
      <c r="F54" s="2"/>
      <c r="G54" s="2"/>
      <c r="H54" s="2"/>
      <c r="I54" s="2"/>
      <c r="J54" s="2"/>
      <c r="K54" s="2"/>
      <c r="L54" s="2"/>
      <c r="M54" s="2"/>
      <c r="N54" s="2"/>
      <c r="O54" s="2"/>
      <c r="P54" s="2"/>
      <c r="Q54" s="2"/>
      <c r="R54" s="2"/>
      <c r="S54" s="2"/>
      <c r="T54" s="2"/>
    </row>
    <row r="55" spans="1:20" x14ac:dyDescent="0.25">
      <c r="A55" s="2"/>
      <c r="B55" s="2"/>
      <c r="C55" s="34"/>
      <c r="D55" s="2"/>
      <c r="E55" s="2"/>
      <c r="F55" s="2"/>
      <c r="G55" s="2"/>
      <c r="H55" s="2"/>
      <c r="I55" s="2"/>
      <c r="J55" s="2"/>
      <c r="K55" s="2"/>
      <c r="L55" s="2"/>
      <c r="M55" s="2"/>
      <c r="N55" s="2"/>
      <c r="O55" s="2"/>
      <c r="P55" s="2"/>
      <c r="Q55" s="2"/>
      <c r="R55" s="2"/>
      <c r="S55" s="2"/>
      <c r="T55" s="2"/>
    </row>
    <row r="56" spans="1:20" x14ac:dyDescent="0.25">
      <c r="A56" s="2"/>
      <c r="B56" s="2"/>
      <c r="C56" s="34"/>
      <c r="D56" s="2"/>
      <c r="E56" s="2"/>
      <c r="F56" s="2"/>
      <c r="G56" s="2"/>
      <c r="H56" s="2"/>
      <c r="I56" s="2"/>
      <c r="J56" s="2"/>
      <c r="K56" s="2"/>
      <c r="L56" s="2"/>
      <c r="M56" s="2"/>
      <c r="N56" s="2"/>
      <c r="O56" s="2"/>
      <c r="P56" s="2"/>
      <c r="Q56" s="2"/>
      <c r="R56" s="2"/>
      <c r="S56" s="2"/>
      <c r="T56" s="2"/>
    </row>
    <row r="57" spans="1:20" x14ac:dyDescent="0.25">
      <c r="A57" s="2"/>
      <c r="B57" s="2"/>
      <c r="C57" s="34"/>
      <c r="D57" s="2"/>
      <c r="E57" s="2"/>
      <c r="F57" s="2"/>
      <c r="G57" s="2"/>
      <c r="H57" s="2"/>
      <c r="I57" s="2"/>
      <c r="J57" s="2"/>
      <c r="K57" s="2"/>
      <c r="L57" s="2"/>
      <c r="M57" s="2"/>
      <c r="N57" s="2"/>
      <c r="O57" s="2"/>
      <c r="P57" s="2"/>
      <c r="Q57" s="2"/>
      <c r="R57" s="2"/>
      <c r="S57" s="2"/>
      <c r="T57" s="2"/>
    </row>
    <row r="58" spans="1:20" x14ac:dyDescent="0.25">
      <c r="A58" s="2"/>
      <c r="B58" s="2"/>
      <c r="C58" s="34"/>
      <c r="D58" s="2"/>
      <c r="E58" s="2"/>
      <c r="F58" s="2"/>
      <c r="G58" s="2"/>
      <c r="H58" s="2"/>
      <c r="I58" s="2"/>
      <c r="J58" s="2"/>
      <c r="K58" s="2"/>
      <c r="L58" s="2"/>
      <c r="M58" s="2"/>
      <c r="N58" s="2"/>
      <c r="O58" s="2"/>
      <c r="P58" s="2"/>
      <c r="Q58" s="2"/>
      <c r="R58" s="2"/>
      <c r="S58" s="2"/>
      <c r="T58" s="2"/>
    </row>
    <row r="59" spans="1:20" x14ac:dyDescent="0.25">
      <c r="A59" s="2"/>
      <c r="B59" s="2"/>
      <c r="C59" s="34"/>
      <c r="D59" s="2"/>
      <c r="E59" s="2"/>
      <c r="F59" s="2"/>
      <c r="G59" s="2"/>
      <c r="H59" s="2"/>
      <c r="I59" s="2"/>
      <c r="J59" s="2"/>
      <c r="K59" s="2"/>
      <c r="L59" s="2"/>
      <c r="M59" s="2"/>
      <c r="N59" s="2"/>
      <c r="O59" s="2"/>
      <c r="P59" s="2"/>
      <c r="Q59" s="2"/>
      <c r="R59" s="2"/>
      <c r="S59" s="2"/>
      <c r="T59" s="2"/>
    </row>
    <row r="60" spans="1:20" x14ac:dyDescent="0.25">
      <c r="A60" s="2"/>
      <c r="B60" s="2"/>
      <c r="C60" s="34"/>
      <c r="D60" s="2"/>
      <c r="E60" s="2"/>
      <c r="F60" s="2"/>
      <c r="G60" s="2"/>
      <c r="H60" s="2"/>
      <c r="I60" s="2"/>
      <c r="J60" s="2"/>
      <c r="K60" s="2"/>
      <c r="L60" s="2"/>
      <c r="M60" s="2"/>
      <c r="N60" s="2"/>
      <c r="O60" s="2"/>
      <c r="P60" s="2"/>
      <c r="Q60" s="2"/>
      <c r="R60" s="2"/>
      <c r="S60" s="2"/>
      <c r="T60" s="2"/>
    </row>
    <row r="61" spans="1:20" x14ac:dyDescent="0.25">
      <c r="A61" s="2"/>
      <c r="B61" s="2"/>
      <c r="C61" s="34"/>
      <c r="D61" s="2"/>
      <c r="E61" s="2"/>
      <c r="F61" s="2"/>
      <c r="G61" s="2"/>
      <c r="H61" s="2"/>
      <c r="I61" s="2"/>
      <c r="J61" s="2"/>
      <c r="K61" s="2"/>
      <c r="L61" s="2"/>
      <c r="M61" s="2"/>
      <c r="N61" s="2"/>
      <c r="O61" s="2"/>
      <c r="P61" s="2"/>
      <c r="Q61" s="2"/>
      <c r="R61" s="2"/>
      <c r="S61" s="2"/>
      <c r="T61" s="2"/>
    </row>
    <row r="62" spans="1:20" x14ac:dyDescent="0.25">
      <c r="A62" s="2"/>
      <c r="B62" s="2"/>
      <c r="C62" s="34"/>
      <c r="D62" s="2"/>
      <c r="E62" s="2"/>
      <c r="F62" s="2"/>
      <c r="G62" s="2"/>
      <c r="H62" s="2"/>
      <c r="I62" s="2"/>
      <c r="J62" s="2"/>
      <c r="K62" s="2"/>
      <c r="L62" s="2"/>
      <c r="M62" s="2"/>
      <c r="N62" s="2"/>
      <c r="O62" s="2"/>
      <c r="P62" s="2"/>
      <c r="Q62" s="2"/>
      <c r="R62" s="2"/>
      <c r="S62" s="2"/>
      <c r="T62" s="2"/>
    </row>
    <row r="63" spans="1:20" x14ac:dyDescent="0.25">
      <c r="A63" s="2"/>
      <c r="B63" s="2"/>
      <c r="C63" s="34"/>
      <c r="D63" s="2"/>
      <c r="E63" s="2"/>
      <c r="F63" s="2"/>
      <c r="G63" s="2"/>
      <c r="H63" s="2"/>
      <c r="I63" s="2"/>
      <c r="J63" s="2"/>
      <c r="K63" s="2"/>
      <c r="L63" s="2"/>
      <c r="M63" s="2"/>
      <c r="N63" s="2"/>
      <c r="O63" s="2"/>
      <c r="P63" s="2"/>
      <c r="Q63" s="2"/>
      <c r="R63" s="2"/>
      <c r="S63" s="2"/>
      <c r="T63" s="2"/>
    </row>
    <row r="64" spans="1:20" x14ac:dyDescent="0.25">
      <c r="A64" s="2"/>
      <c r="B64" s="2"/>
      <c r="C64" s="34"/>
      <c r="D64" s="2"/>
      <c r="E64" s="2"/>
      <c r="F64" s="2"/>
      <c r="G64" s="2"/>
      <c r="H64" s="2"/>
      <c r="I64" s="2"/>
      <c r="J64" s="2"/>
      <c r="K64" s="2"/>
      <c r="L64" s="2"/>
      <c r="M64" s="2"/>
      <c r="N64" s="2"/>
      <c r="O64" s="2"/>
      <c r="P64" s="2"/>
      <c r="Q64" s="2"/>
      <c r="R64" s="2"/>
      <c r="S64" s="2"/>
      <c r="T64" s="2"/>
    </row>
    <row r="65" spans="1:20" x14ac:dyDescent="0.25">
      <c r="A65" s="2"/>
      <c r="B65" s="2"/>
      <c r="C65" s="34"/>
      <c r="D65" s="2"/>
      <c r="E65" s="2"/>
      <c r="F65" s="2"/>
      <c r="G65" s="2"/>
      <c r="H65" s="2"/>
      <c r="I65" s="2"/>
      <c r="J65" s="2"/>
      <c r="K65" s="2"/>
      <c r="L65" s="2"/>
      <c r="M65" s="2"/>
      <c r="N65" s="2"/>
      <c r="O65" s="2"/>
      <c r="P65" s="2"/>
      <c r="Q65" s="2"/>
      <c r="R65" s="2"/>
      <c r="S65" s="2"/>
      <c r="T65" s="2"/>
    </row>
    <row r="66" spans="1:20" x14ac:dyDescent="0.25">
      <c r="A66" s="2"/>
      <c r="B66" s="2"/>
      <c r="C66" s="34"/>
      <c r="D66" s="2"/>
      <c r="E66" s="2"/>
      <c r="F66" s="2"/>
      <c r="G66" s="2"/>
      <c r="H66" s="2"/>
      <c r="I66" s="2"/>
      <c r="J66" s="2"/>
      <c r="K66" s="2"/>
      <c r="L66" s="2"/>
      <c r="M66" s="2"/>
      <c r="N66" s="2"/>
      <c r="O66" s="2"/>
      <c r="P66" s="2"/>
      <c r="Q66" s="2"/>
      <c r="R66" s="2"/>
      <c r="S66" s="2"/>
      <c r="T66" s="2"/>
    </row>
    <row r="67" spans="1:20" x14ac:dyDescent="0.25">
      <c r="A67" s="2"/>
      <c r="B67" s="2"/>
      <c r="C67" s="34"/>
      <c r="D67" s="2"/>
      <c r="E67" s="2"/>
      <c r="F67" s="2"/>
      <c r="G67" s="2"/>
      <c r="H67" s="2"/>
      <c r="I67" s="2"/>
      <c r="J67" s="2"/>
      <c r="K67" s="2"/>
      <c r="L67" s="2"/>
      <c r="M67" s="2"/>
      <c r="N67" s="2"/>
      <c r="O67" s="2"/>
      <c r="P67" s="2"/>
      <c r="Q67" s="2"/>
      <c r="R67" s="2"/>
      <c r="S67" s="2"/>
      <c r="T67" s="2"/>
    </row>
    <row r="68" spans="1:20" x14ac:dyDescent="0.25">
      <c r="A68" s="2"/>
      <c r="B68" s="2"/>
      <c r="C68" s="34"/>
      <c r="D68" s="2"/>
      <c r="E68" s="2"/>
      <c r="F68" s="2"/>
      <c r="G68" s="2"/>
      <c r="H68" s="2"/>
      <c r="I68" s="2"/>
      <c r="J68" s="2"/>
      <c r="K68" s="2"/>
      <c r="L68" s="2"/>
      <c r="M68" s="2"/>
      <c r="N68" s="2"/>
      <c r="O68" s="2"/>
      <c r="P68" s="2"/>
      <c r="Q68" s="2"/>
      <c r="R68" s="2"/>
      <c r="S68" s="2"/>
      <c r="T68" s="2"/>
    </row>
  </sheetData>
  <dataConsolidate function="max" link="1">
    <dataRefs count="1">
      <dataRef ref="H6:H20" sheet="MAIN OI BankNifty"/>
    </dataRefs>
  </dataConsolidate>
  <mergeCells count="3">
    <mergeCell ref="C1:T1"/>
    <mergeCell ref="D5:K5"/>
    <mergeCell ref="M5:T5"/>
  </mergeCells>
  <conditionalFormatting sqref="S7:S23 E7:E22 D23">
    <cfRule type="containsText" dxfId="2469" priority="52" operator="containsText" text="DOWN">
      <formula>NOT(ISERROR(SEARCH("DOWN",D7)))</formula>
    </cfRule>
  </conditionalFormatting>
  <conditionalFormatting sqref="S7:S23 E7:E22 D23">
    <cfRule type="containsText" dxfId="2468" priority="51" operator="containsText" text="UP">
      <formula>NOT(ISERROR(SEARCH("UP",D7)))</formula>
    </cfRule>
  </conditionalFormatting>
  <conditionalFormatting sqref="J7:J23">
    <cfRule type="colorScale" priority="142">
      <colorScale>
        <cfvo type="min"/>
        <cfvo type="max"/>
        <color rgb="FFFFEF9C"/>
        <color rgb="FF63BE7B"/>
      </colorScale>
    </cfRule>
  </conditionalFormatting>
  <conditionalFormatting sqref="N7:N23">
    <cfRule type="colorScale" priority="143">
      <colorScale>
        <cfvo type="min"/>
        <cfvo type="max"/>
        <color rgb="FFFF7128"/>
        <color rgb="FFFFEF9C"/>
      </colorScale>
    </cfRule>
  </conditionalFormatting>
  <conditionalFormatting sqref="R7:R23">
    <cfRule type="dataBar" priority="144">
      <dataBar>
        <cfvo type="min"/>
        <cfvo type="max"/>
        <color rgb="FFFF555A"/>
      </dataBar>
    </cfRule>
  </conditionalFormatting>
  <conditionalFormatting sqref="F7:F23">
    <cfRule type="dataBar" priority="145">
      <dataBar>
        <cfvo type="min"/>
        <cfvo type="max"/>
        <color rgb="FFFF555A"/>
      </dataBar>
    </cfRule>
  </conditionalFormatting>
  <conditionalFormatting sqref="G7:G23">
    <cfRule type="top10" dxfId="2467" priority="146" rank="1"/>
  </conditionalFormatting>
  <conditionalFormatting sqref="Q7:Q22">
    <cfRule type="top10" dxfId="2466" priority="147" rank="1"/>
  </conditionalFormatting>
  <conditionalFormatting sqref="H7:H23 P7:P22 Q23">
    <cfRule type="cellIs" dxfId="2465" priority="148" operator="equal">
      <formula>$G$135</formula>
    </cfRule>
  </conditionalFormatting>
  <conditionalFormatting sqref="P7:P22 Q23">
    <cfRule type="cellIs" dxfId="2464" priority="150" operator="equal">
      <formula>$J$135</formula>
    </cfRule>
  </conditionalFormatting>
  <conditionalFormatting sqref="H7:H23 P7:P22 Q23">
    <cfRule type="cellIs" dxfId="2463" priority="153" operator="equal">
      <formula>#REF!</formula>
    </cfRule>
  </conditionalFormatting>
  <conditionalFormatting sqref="H7:H23">
    <cfRule type="top10" dxfId="2462" priority="158" rank="1"/>
    <cfRule type="cellIs" dxfId="2461" priority="159" operator="equal">
      <formula>$G$133</formula>
    </cfRule>
  </conditionalFormatting>
  <conditionalFormatting sqref="P7:P22 Q23">
    <cfRule type="top10" dxfId="2460" priority="161" rank="1"/>
    <cfRule type="cellIs" dxfId="2459" priority="162" operator="equal">
      <formula>$G$133</formula>
    </cfRule>
  </conditionalFormatting>
  <conditionalFormatting sqref="D7:D22">
    <cfRule type="containsText" dxfId="2458" priority="19" operator="containsText" text="Short Buildup">
      <formula>NOT(ISERROR(SEARCH("Short Buildup",D7)))</formula>
    </cfRule>
    <cfRule type="containsText" dxfId="2457" priority="20" operator="containsText" text="Long Liquidation">
      <formula>NOT(ISERROR(SEARCH("Long Liquidation",D7)))</formula>
    </cfRule>
    <cfRule type="containsText" dxfId="2456" priority="21" operator="containsText" text="Short covering">
      <formula>NOT(ISERROR(SEARCH("Short covering",D7)))</formula>
    </cfRule>
    <cfRule type="containsText" dxfId="2455" priority="22" operator="containsText" text="Long Buildup">
      <formula>NOT(ISERROR(SEARCH("Long Buildup",D7)))</formula>
    </cfRule>
  </conditionalFormatting>
  <conditionalFormatting sqref="I7:I23">
    <cfRule type="colorScale" priority="10">
      <colorScale>
        <cfvo type="min"/>
        <cfvo type="percentile" val="20"/>
        <cfvo type="max"/>
        <color rgb="FF92D050"/>
        <color theme="5" tint="0.79998168889431442"/>
        <color rgb="FFFF0000"/>
      </colorScale>
    </cfRule>
    <cfRule type="colorScale" priority="11">
      <colorScale>
        <cfvo type="min"/>
        <cfvo type="max"/>
        <color rgb="FFFF0000"/>
        <color rgb="FF92D050"/>
      </colorScale>
    </cfRule>
    <cfRule type="colorScale" priority="15">
      <colorScale>
        <cfvo type="min"/>
        <cfvo type="percentile" val="50"/>
        <cfvo type="max"/>
        <color rgb="FF5A8AC6"/>
        <color rgb="FFFCFCFF"/>
        <color rgb="FFF8696B"/>
      </colorScale>
    </cfRule>
    <cfRule type="colorScale" priority="16">
      <colorScale>
        <cfvo type="formula" val="&quot;&gt;20&quot;"/>
        <cfvo type="formula" val="35"/>
        <color rgb="FFF8696B"/>
        <color rgb="FFFCFCFF"/>
      </colorScale>
    </cfRule>
    <cfRule type="colorScale" priority="18">
      <colorScale>
        <cfvo type="min"/>
        <cfvo type="max"/>
        <color rgb="FFFFEF9C"/>
        <color rgb="FF63BE7B"/>
      </colorScale>
    </cfRule>
  </conditionalFormatting>
  <conditionalFormatting sqref="O7:O23">
    <cfRule type="colorScale" priority="5">
      <colorScale>
        <cfvo type="min"/>
        <cfvo type="percentile" val="20"/>
        <cfvo type="max"/>
        <color rgb="FF92D050"/>
        <color theme="5" tint="0.79998168889431442"/>
        <color rgb="FFFF0000"/>
      </colorScale>
    </cfRule>
    <cfRule type="colorScale" priority="6">
      <colorScale>
        <cfvo type="min"/>
        <cfvo type="max"/>
        <color rgb="FFFF0000"/>
        <color rgb="FF92D050"/>
      </colorScale>
    </cfRule>
    <cfRule type="colorScale" priority="7">
      <colorScale>
        <cfvo type="min"/>
        <cfvo type="percentile" val="50"/>
        <cfvo type="max"/>
        <color rgb="FF5A8AC6"/>
        <color rgb="FFFCFCFF"/>
        <color rgb="FFF8696B"/>
      </colorScale>
    </cfRule>
    <cfRule type="colorScale" priority="8">
      <colorScale>
        <cfvo type="formula" val="&quot;&gt;20&quot;"/>
        <cfvo type="formula" val="35"/>
        <color rgb="FFF8696B"/>
        <color rgb="FFFCFCFF"/>
      </colorScale>
    </cfRule>
    <cfRule type="colorScale" priority="9">
      <colorScale>
        <cfvo type="min"/>
        <cfvo type="max"/>
        <color rgb="FFFFEF9C"/>
        <color rgb="FF63BE7B"/>
      </colorScale>
    </cfRule>
  </conditionalFormatting>
  <conditionalFormatting sqref="T7:T23">
    <cfRule type="containsText" dxfId="2454" priority="1" operator="containsText" text="Short Buildup">
      <formula>NOT(ISERROR(SEARCH("Short Buildup",T7)))</formula>
    </cfRule>
    <cfRule type="containsText" dxfId="2453" priority="2" operator="containsText" text="Long Liquidation">
      <formula>NOT(ISERROR(SEARCH("Long Liquidation",T7)))</formula>
    </cfRule>
    <cfRule type="containsText" dxfId="2452" priority="3" operator="containsText" text="Short covering">
      <formula>NOT(ISERROR(SEARCH("Short covering",T7)))</formula>
    </cfRule>
    <cfRule type="containsText" dxfId="2451" priority="4" operator="containsText" text="Long Buildup">
      <formula>NOT(ISERROR(SEARCH("Long Buildup",T7)))</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28"/>
  <sheetViews>
    <sheetView showGridLines="0" tabSelected="1" zoomScaleNormal="100" workbookViewId="0">
      <selection activeCell="L27" sqref="L27"/>
    </sheetView>
  </sheetViews>
  <sheetFormatPr defaultColWidth="9.140625" defaultRowHeight="15" x14ac:dyDescent="0.25"/>
  <cols>
    <col min="1" max="16384" width="9.140625" style="47"/>
  </cols>
  <sheetData>
    <row r="1" spans="1:23" s="51" customFormat="1" ht="24" customHeight="1" x14ac:dyDescent="0.35">
      <c r="A1" s="64" t="s">
        <v>73</v>
      </c>
      <c r="B1" s="64"/>
      <c r="C1" s="64"/>
      <c r="D1" s="64"/>
      <c r="E1" s="64"/>
      <c r="F1" s="64"/>
      <c r="G1" s="64"/>
      <c r="H1" s="64"/>
      <c r="I1" s="64"/>
      <c r="J1" s="64"/>
      <c r="K1" s="64"/>
      <c r="L1" s="64"/>
      <c r="M1" s="64"/>
      <c r="N1" s="64"/>
      <c r="O1" s="64"/>
      <c r="P1" s="64"/>
      <c r="Q1" s="64"/>
    </row>
    <row r="2" spans="1:23" x14ac:dyDescent="0.25">
      <c r="A2" s="50"/>
      <c r="B2" s="50"/>
      <c r="C2" s="50"/>
      <c r="D2" s="50"/>
      <c r="E2" s="50"/>
      <c r="F2" s="50"/>
      <c r="G2" s="50"/>
      <c r="H2" s="50"/>
      <c r="I2" s="50"/>
      <c r="J2" s="50"/>
      <c r="K2" s="50"/>
      <c r="L2" s="50"/>
      <c r="M2" s="50"/>
      <c r="N2" s="50"/>
      <c r="O2" s="50"/>
      <c r="P2" s="50"/>
      <c r="Q2" s="50"/>
      <c r="R2" s="47" t="s">
        <v>72</v>
      </c>
    </row>
    <row r="3" spans="1:23" x14ac:dyDescent="0.25">
      <c r="R3" s="47" t="s">
        <v>72</v>
      </c>
    </row>
    <row r="11" spans="1:23" x14ac:dyDescent="0.25">
      <c r="W11" s="48"/>
    </row>
    <row r="26" spans="1:24" x14ac:dyDescent="0.25">
      <c r="A26" s="63"/>
      <c r="B26" s="63"/>
      <c r="C26" s="63"/>
      <c r="D26" s="63"/>
      <c r="E26" s="63"/>
      <c r="F26" s="63"/>
      <c r="G26" s="63"/>
      <c r="H26" s="63"/>
      <c r="I26" s="63"/>
      <c r="J26" s="63"/>
      <c r="K26" s="63"/>
      <c r="L26" s="63"/>
      <c r="M26" s="63"/>
      <c r="N26" s="63"/>
      <c r="O26" s="63"/>
      <c r="P26" s="63"/>
      <c r="Q26" s="63"/>
    </row>
    <row r="28" spans="1:24" x14ac:dyDescent="0.25">
      <c r="X28" s="47" t="s">
        <v>71</v>
      </c>
    </row>
  </sheetData>
  <sheetProtection algorithmName="SHA-512" hashValue="s/TaH+loDncWmTuJ4d3V/3XZlpNAb81YqquJK42k+lFThGhfJ33QSUVrvEL9lvKgPanD0t/3RMgy/MCB8ShCBA==" saltValue="IodDfQseYf2PV8S3Jpo+DA==" spinCount="100000" sheet="1" selectLockedCells="1" autoFilter="0" pivotTables="0"/>
  <mergeCells count="2">
    <mergeCell ref="A26:Q26"/>
    <mergeCell ref="A1:Q1"/>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Y2677"/>
  <sheetViews>
    <sheetView workbookViewId="0">
      <selection activeCell="B648" sqref="B648:T664"/>
    </sheetView>
  </sheetViews>
  <sheetFormatPr defaultRowHeight="15" x14ac:dyDescent="0.25"/>
  <sheetData>
    <row r="1" spans="1:25" ht="47.25" customHeight="1" x14ac:dyDescent="0.25">
      <c r="A1" s="45"/>
      <c r="B1" s="35" t="s">
        <v>56</v>
      </c>
      <c r="C1" s="9" t="s">
        <v>16</v>
      </c>
      <c r="D1" s="10" t="s">
        <v>61</v>
      </c>
      <c r="E1" s="10" t="s">
        <v>20</v>
      </c>
      <c r="F1" s="10" t="s">
        <v>28</v>
      </c>
      <c r="G1" s="10" t="s">
        <v>27</v>
      </c>
      <c r="H1" s="10" t="s">
        <v>66</v>
      </c>
      <c r="I1" s="10" t="s">
        <v>29</v>
      </c>
      <c r="J1" s="10" t="s">
        <v>26</v>
      </c>
      <c r="K1" s="11" t="s">
        <v>18</v>
      </c>
      <c r="L1" s="10" t="s">
        <v>23</v>
      </c>
      <c r="M1" s="10" t="s">
        <v>22</v>
      </c>
      <c r="N1" s="10" t="s">
        <v>67</v>
      </c>
      <c r="O1" s="10" t="s">
        <v>24</v>
      </c>
      <c r="P1" s="10" t="s">
        <v>25</v>
      </c>
      <c r="Q1" s="10" t="s">
        <v>21</v>
      </c>
      <c r="R1" s="10" t="str">
        <f>D1</f>
        <v>OI change_up or down</v>
      </c>
      <c r="S1" s="12" t="s">
        <v>16</v>
      </c>
      <c r="T1" s="9" t="s">
        <v>54</v>
      </c>
    </row>
    <row r="2" spans="1:25" x14ac:dyDescent="0.25">
      <c r="A2" t="str">
        <f>(COUNTIF($K$2:K2,K2))&amp;K2</f>
        <v>130200</v>
      </c>
      <c r="B2" s="34" t="s">
        <v>75</v>
      </c>
      <c r="C2" s="13" t="s">
        <v>74</v>
      </c>
      <c r="D2" s="14" t="s">
        <v>76</v>
      </c>
      <c r="E2" s="16">
        <v>161</v>
      </c>
      <c r="F2" s="17">
        <v>1500</v>
      </c>
      <c r="G2" s="24">
        <v>1080</v>
      </c>
      <c r="H2" s="15" t="s">
        <v>14</v>
      </c>
      <c r="I2" s="15">
        <v>140.19999999999999</v>
      </c>
      <c r="J2" s="15">
        <v>861.15</v>
      </c>
      <c r="K2" s="18">
        <v>30200</v>
      </c>
      <c r="L2" s="15">
        <v>17.95</v>
      </c>
      <c r="M2" s="15">
        <v>-22.2</v>
      </c>
      <c r="N2" s="15">
        <v>25.27</v>
      </c>
      <c r="O2" s="24">
        <v>56440</v>
      </c>
      <c r="P2" s="17">
        <v>270500</v>
      </c>
      <c r="Q2" s="16">
        <v>142556</v>
      </c>
      <c r="R2" s="19" t="s">
        <v>76</v>
      </c>
      <c r="S2" s="20" t="s">
        <v>39</v>
      </c>
      <c r="T2">
        <v>31025.4</v>
      </c>
    </row>
    <row r="3" spans="1:25" x14ac:dyDescent="0.25">
      <c r="A3" t="str">
        <f>(COUNTIF($K$2:K3,K3))&amp;K3</f>
        <v>130300</v>
      </c>
      <c r="B3" s="34" t="s">
        <v>75</v>
      </c>
      <c r="C3" s="13" t="s">
        <v>40</v>
      </c>
      <c r="D3" s="14" t="s">
        <v>76</v>
      </c>
      <c r="E3" s="16">
        <v>586</v>
      </c>
      <c r="F3" s="17">
        <v>5000</v>
      </c>
      <c r="G3" s="24">
        <v>2840</v>
      </c>
      <c r="H3" s="15" t="s">
        <v>14</v>
      </c>
      <c r="I3" s="15">
        <v>170.35</v>
      </c>
      <c r="J3" s="15">
        <v>800</v>
      </c>
      <c r="K3" s="18">
        <v>30300</v>
      </c>
      <c r="L3" s="15">
        <v>23.25</v>
      </c>
      <c r="M3" s="15">
        <v>-29.4</v>
      </c>
      <c r="N3" s="15">
        <v>24.8</v>
      </c>
      <c r="O3" s="24">
        <v>88720</v>
      </c>
      <c r="P3" s="17">
        <v>235020</v>
      </c>
      <c r="Q3" s="16">
        <v>184780</v>
      </c>
      <c r="R3" s="19" t="s">
        <v>76</v>
      </c>
      <c r="S3" s="20" t="s">
        <v>39</v>
      </c>
      <c r="T3">
        <v>31025.4</v>
      </c>
    </row>
    <row r="4" spans="1:25" x14ac:dyDescent="0.25">
      <c r="A4" t="str">
        <f>(COUNTIF($K$2:K4,K4))&amp;K4</f>
        <v>130400</v>
      </c>
      <c r="B4" s="34" t="s">
        <v>75</v>
      </c>
      <c r="C4" s="13" t="s">
        <v>40</v>
      </c>
      <c r="D4" s="14" t="s">
        <v>76</v>
      </c>
      <c r="E4" s="16">
        <v>868</v>
      </c>
      <c r="F4" s="17">
        <v>2220</v>
      </c>
      <c r="G4" s="24">
        <v>820</v>
      </c>
      <c r="H4" s="15">
        <v>18.75</v>
      </c>
      <c r="I4" s="15">
        <v>121.7</v>
      </c>
      <c r="J4" s="15">
        <v>675.05</v>
      </c>
      <c r="K4" s="18">
        <v>30400</v>
      </c>
      <c r="L4" s="15">
        <v>31.2</v>
      </c>
      <c r="M4" s="15">
        <v>-38.549999999999997</v>
      </c>
      <c r="N4" s="15">
        <v>24.54</v>
      </c>
      <c r="O4" s="24">
        <v>151920</v>
      </c>
      <c r="P4" s="17">
        <v>283240</v>
      </c>
      <c r="Q4" s="16">
        <v>269555</v>
      </c>
      <c r="R4" s="19" t="s">
        <v>76</v>
      </c>
      <c r="S4" s="20" t="s">
        <v>39</v>
      </c>
      <c r="T4">
        <v>31025.4</v>
      </c>
    </row>
    <row r="5" spans="1:25" x14ac:dyDescent="0.25">
      <c r="A5" t="str">
        <f>(COUNTIF($K$2:K5,K5))&amp;K5</f>
        <v>130500</v>
      </c>
      <c r="B5" s="34" t="s">
        <v>75</v>
      </c>
      <c r="C5" s="13" t="s">
        <v>40</v>
      </c>
      <c r="D5" s="14" t="s">
        <v>76</v>
      </c>
      <c r="E5" s="16">
        <v>12213</v>
      </c>
      <c r="F5" s="17">
        <v>54900</v>
      </c>
      <c r="G5" s="24">
        <v>6880</v>
      </c>
      <c r="H5" s="15">
        <v>18.89</v>
      </c>
      <c r="I5" s="15">
        <v>106.45</v>
      </c>
      <c r="J5" s="15">
        <v>580</v>
      </c>
      <c r="K5" s="18">
        <v>30500</v>
      </c>
      <c r="L5" s="15">
        <v>42.65</v>
      </c>
      <c r="M5" s="15">
        <v>-49.6</v>
      </c>
      <c r="N5" s="15">
        <v>24.42</v>
      </c>
      <c r="O5" s="24">
        <v>350980</v>
      </c>
      <c r="P5" s="17">
        <v>889320</v>
      </c>
      <c r="Q5" s="16">
        <v>579318</v>
      </c>
      <c r="R5" s="19" t="s">
        <v>76</v>
      </c>
      <c r="S5" s="20" t="s">
        <v>39</v>
      </c>
      <c r="T5">
        <v>31025.4</v>
      </c>
    </row>
    <row r="6" spans="1:25" x14ac:dyDescent="0.25">
      <c r="A6" t="str">
        <f>(COUNTIF($K$2:K6,K6))&amp;K6</f>
        <v>130600</v>
      </c>
      <c r="B6" s="34" t="s">
        <v>75</v>
      </c>
      <c r="C6" s="13" t="s">
        <v>40</v>
      </c>
      <c r="D6" s="14" t="s">
        <v>76</v>
      </c>
      <c r="E6" s="16">
        <v>9970</v>
      </c>
      <c r="F6" s="17">
        <v>20460</v>
      </c>
      <c r="G6" s="24">
        <v>4080</v>
      </c>
      <c r="H6" s="15">
        <v>19.420000000000002</v>
      </c>
      <c r="I6" s="15">
        <v>92.95</v>
      </c>
      <c r="J6" s="15">
        <v>496.5</v>
      </c>
      <c r="K6" s="18">
        <v>30600</v>
      </c>
      <c r="L6" s="15">
        <v>57.05</v>
      </c>
      <c r="M6" s="15">
        <v>-61.2</v>
      </c>
      <c r="N6" s="15">
        <v>24.28</v>
      </c>
      <c r="O6" s="24">
        <v>228000</v>
      </c>
      <c r="P6" s="17">
        <v>401820</v>
      </c>
      <c r="Q6" s="16">
        <v>337776</v>
      </c>
      <c r="R6" s="19" t="s">
        <v>76</v>
      </c>
      <c r="S6" s="20" t="s">
        <v>39</v>
      </c>
      <c r="T6">
        <v>31025.4</v>
      </c>
    </row>
    <row r="7" spans="1:25" x14ac:dyDescent="0.25">
      <c r="A7" t="str">
        <f>(COUNTIF($K$2:K7,K7))&amp;K7</f>
        <v>130700</v>
      </c>
      <c r="B7" s="34" t="s">
        <v>75</v>
      </c>
      <c r="C7" s="13" t="s">
        <v>40</v>
      </c>
      <c r="D7" s="14" t="s">
        <v>76</v>
      </c>
      <c r="E7" s="16">
        <v>44784</v>
      </c>
      <c r="F7" s="17">
        <v>56980</v>
      </c>
      <c r="G7" s="24">
        <v>28780</v>
      </c>
      <c r="H7" s="15">
        <v>19.79</v>
      </c>
      <c r="I7" s="15">
        <v>84.6</v>
      </c>
      <c r="J7" s="15">
        <v>417.05</v>
      </c>
      <c r="K7" s="18">
        <v>30700</v>
      </c>
      <c r="L7" s="15">
        <v>76.099999999999994</v>
      </c>
      <c r="M7" s="15">
        <v>-76.099999999999994</v>
      </c>
      <c r="N7" s="15">
        <v>24.03</v>
      </c>
      <c r="O7" s="24">
        <v>313980</v>
      </c>
      <c r="P7" s="17">
        <v>486460</v>
      </c>
      <c r="Q7" s="16">
        <v>397821</v>
      </c>
      <c r="R7" s="19" t="s">
        <v>76</v>
      </c>
      <c r="S7" s="20" t="s">
        <v>39</v>
      </c>
      <c r="T7">
        <v>31025.4</v>
      </c>
    </row>
    <row r="8" spans="1:25" x14ac:dyDescent="0.25">
      <c r="A8" t="str">
        <f>(COUNTIF($K$2:K8,K8))&amp;K8</f>
        <v>130800</v>
      </c>
      <c r="B8" s="34" t="s">
        <v>75</v>
      </c>
      <c r="C8" s="13" t="s">
        <v>40</v>
      </c>
      <c r="D8" s="14" t="s">
        <v>76</v>
      </c>
      <c r="E8" s="16">
        <v>145942</v>
      </c>
      <c r="F8" s="17">
        <v>222420</v>
      </c>
      <c r="G8" s="24">
        <v>79800</v>
      </c>
      <c r="H8" s="15">
        <v>20.46</v>
      </c>
      <c r="I8" s="15">
        <v>73.5</v>
      </c>
      <c r="J8" s="15">
        <v>347.15</v>
      </c>
      <c r="K8" s="18">
        <v>30800</v>
      </c>
      <c r="L8" s="15">
        <v>101.45</v>
      </c>
      <c r="M8" s="15">
        <v>-89.7</v>
      </c>
      <c r="N8" s="15">
        <v>23.85</v>
      </c>
      <c r="O8" s="24">
        <v>334420</v>
      </c>
      <c r="P8" s="17">
        <v>592060</v>
      </c>
      <c r="Q8" s="16">
        <v>401097</v>
      </c>
      <c r="R8" s="19" t="s">
        <v>76</v>
      </c>
      <c r="S8" s="20" t="s">
        <v>39</v>
      </c>
      <c r="T8">
        <v>31025.4</v>
      </c>
    </row>
    <row r="9" spans="1:25" x14ac:dyDescent="0.25">
      <c r="A9" t="str">
        <f>(COUNTIF($K$2:K9,K9))&amp;K9</f>
        <v>130900</v>
      </c>
      <c r="B9" s="34" t="s">
        <v>75</v>
      </c>
      <c r="C9" s="13" t="s">
        <v>40</v>
      </c>
      <c r="D9" s="14" t="s">
        <v>76</v>
      </c>
      <c r="E9" s="16">
        <v>256623</v>
      </c>
      <c r="F9" s="17">
        <v>401560</v>
      </c>
      <c r="G9" s="24">
        <v>181360</v>
      </c>
      <c r="H9" s="15">
        <v>20.61</v>
      </c>
      <c r="I9" s="15">
        <v>56.6</v>
      </c>
      <c r="J9" s="15">
        <v>277.45</v>
      </c>
      <c r="K9" s="18">
        <v>30900</v>
      </c>
      <c r="L9" s="15">
        <v>134</v>
      </c>
      <c r="M9" s="15">
        <v>-102.5</v>
      </c>
      <c r="N9" s="15">
        <v>24.05</v>
      </c>
      <c r="O9" s="24">
        <v>316820</v>
      </c>
      <c r="P9" s="17">
        <v>525540</v>
      </c>
      <c r="Q9" s="16">
        <v>347208</v>
      </c>
      <c r="R9" s="19" t="s">
        <v>76</v>
      </c>
      <c r="S9" s="20" t="s">
        <v>39</v>
      </c>
      <c r="T9">
        <v>31025.4</v>
      </c>
    </row>
    <row r="10" spans="1:25" ht="15.75" x14ac:dyDescent="0.25">
      <c r="A10" t="str">
        <f>(COUNTIF($K$2:K10,K10))&amp;K10</f>
        <v>131000</v>
      </c>
      <c r="B10" s="34" t="s">
        <v>75</v>
      </c>
      <c r="C10" s="13" t="s">
        <v>40</v>
      </c>
      <c r="D10" s="14" t="s">
        <v>76</v>
      </c>
      <c r="E10" s="16">
        <v>548504</v>
      </c>
      <c r="F10" s="17">
        <v>1077080</v>
      </c>
      <c r="G10" s="24">
        <v>298820</v>
      </c>
      <c r="H10" s="15">
        <v>20.97</v>
      </c>
      <c r="I10" s="15">
        <v>41.45</v>
      </c>
      <c r="J10" s="15">
        <v>219.25</v>
      </c>
      <c r="K10" s="21">
        <v>31000</v>
      </c>
      <c r="L10" s="15">
        <v>174.5</v>
      </c>
      <c r="M10" s="15">
        <v>-117.45</v>
      </c>
      <c r="N10" s="15">
        <v>24.06</v>
      </c>
      <c r="O10" s="24">
        <v>321480</v>
      </c>
      <c r="P10" s="17">
        <v>772700</v>
      </c>
      <c r="Q10" s="16">
        <v>328041</v>
      </c>
      <c r="R10" s="19" t="s">
        <v>76</v>
      </c>
      <c r="S10" s="20" t="s">
        <v>39</v>
      </c>
      <c r="T10">
        <v>31025.4</v>
      </c>
    </row>
    <row r="11" spans="1:25" x14ac:dyDescent="0.25">
      <c r="A11" t="str">
        <f>(COUNTIF($K$2:K11,K11))&amp;K11</f>
        <v>131100</v>
      </c>
      <c r="B11" s="34" t="s">
        <v>75</v>
      </c>
      <c r="C11" s="13" t="s">
        <v>40</v>
      </c>
      <c r="D11" s="14" t="s">
        <v>76</v>
      </c>
      <c r="E11" s="16">
        <v>344303</v>
      </c>
      <c r="F11" s="17">
        <v>467200</v>
      </c>
      <c r="G11" s="24">
        <v>97280</v>
      </c>
      <c r="H11" s="15">
        <v>21.21</v>
      </c>
      <c r="I11" s="15">
        <v>29.95</v>
      </c>
      <c r="J11" s="15">
        <v>170.2</v>
      </c>
      <c r="K11" s="18">
        <v>31100</v>
      </c>
      <c r="L11" s="15">
        <v>224.6</v>
      </c>
      <c r="M11" s="15">
        <v>-128.85</v>
      </c>
      <c r="N11" s="15">
        <v>24.48</v>
      </c>
      <c r="O11" s="24">
        <v>41540</v>
      </c>
      <c r="P11" s="17">
        <v>145800</v>
      </c>
      <c r="Q11" s="16">
        <v>76201</v>
      </c>
      <c r="R11" s="19" t="s">
        <v>76</v>
      </c>
      <c r="S11" s="20" t="s">
        <v>39</v>
      </c>
      <c r="T11">
        <v>31025.4</v>
      </c>
    </row>
    <row r="12" spans="1:25" x14ac:dyDescent="0.25">
      <c r="A12" t="str">
        <f>(COUNTIF($K$2:K12,K12))&amp;K12</f>
        <v>131200</v>
      </c>
      <c r="B12" s="34" t="s">
        <v>75</v>
      </c>
      <c r="C12" s="13" t="s">
        <v>40</v>
      </c>
      <c r="D12" s="14" t="s">
        <v>76</v>
      </c>
      <c r="E12" s="16">
        <v>526145</v>
      </c>
      <c r="F12" s="17">
        <v>690720</v>
      </c>
      <c r="G12" s="24">
        <v>131320</v>
      </c>
      <c r="H12" s="15">
        <v>21.39</v>
      </c>
      <c r="I12" s="15">
        <v>20</v>
      </c>
      <c r="J12" s="15">
        <v>130.85</v>
      </c>
      <c r="K12" s="18">
        <v>31200</v>
      </c>
      <c r="L12" s="15">
        <v>284.39999999999998</v>
      </c>
      <c r="M12" s="15">
        <v>-140.85</v>
      </c>
      <c r="N12" s="15">
        <v>24.69</v>
      </c>
      <c r="O12" s="24">
        <v>10440</v>
      </c>
      <c r="P12" s="17">
        <v>115540</v>
      </c>
      <c r="Q12" s="16">
        <v>39920</v>
      </c>
      <c r="R12" s="19" t="s">
        <v>76</v>
      </c>
      <c r="S12" s="20" t="s">
        <v>39</v>
      </c>
      <c r="T12">
        <v>31025.4</v>
      </c>
    </row>
    <row r="13" spans="1:25" x14ac:dyDescent="0.25">
      <c r="A13" t="str">
        <f>(COUNTIF($K$2:K13,K13))&amp;K13</f>
        <v>131300</v>
      </c>
      <c r="B13" s="34" t="s">
        <v>75</v>
      </c>
      <c r="C13" s="13" t="s">
        <v>40</v>
      </c>
      <c r="D13" s="14" t="s">
        <v>76</v>
      </c>
      <c r="E13" s="16">
        <v>368355</v>
      </c>
      <c r="F13" s="17">
        <v>599180</v>
      </c>
      <c r="G13" s="24">
        <v>151500</v>
      </c>
      <c r="H13" s="15">
        <v>21.55</v>
      </c>
      <c r="I13" s="15">
        <v>11.45</v>
      </c>
      <c r="J13" s="15">
        <v>97</v>
      </c>
      <c r="K13" s="18">
        <v>31300</v>
      </c>
      <c r="L13" s="15">
        <v>350.65</v>
      </c>
      <c r="M13" s="15">
        <v>-158.05000000000001</v>
      </c>
      <c r="N13" s="15">
        <v>25.78</v>
      </c>
      <c r="O13" s="24">
        <v>-15740</v>
      </c>
      <c r="P13" s="17">
        <v>87440</v>
      </c>
      <c r="Q13" s="16">
        <v>10648</v>
      </c>
      <c r="R13" s="19" t="s">
        <v>77</v>
      </c>
      <c r="S13" s="20" t="s">
        <v>37</v>
      </c>
      <c r="T13">
        <v>31025.4</v>
      </c>
    </row>
    <row r="14" spans="1:25" x14ac:dyDescent="0.25">
      <c r="A14" t="str">
        <f>(COUNTIF($K$2:K14,K14))&amp;K14</f>
        <v>131400</v>
      </c>
      <c r="B14" s="34" t="s">
        <v>75</v>
      </c>
      <c r="C14" s="13" t="s">
        <v>40</v>
      </c>
      <c r="D14" s="14" t="s">
        <v>76</v>
      </c>
      <c r="E14" s="16">
        <v>331292</v>
      </c>
      <c r="F14" s="17">
        <v>551600</v>
      </c>
      <c r="G14" s="24">
        <v>158440</v>
      </c>
      <c r="H14" s="15">
        <v>21.66</v>
      </c>
      <c r="I14" s="15">
        <v>5.55</v>
      </c>
      <c r="J14" s="15">
        <v>71.400000000000006</v>
      </c>
      <c r="K14" s="18">
        <v>31400</v>
      </c>
      <c r="L14" s="15">
        <v>430.55</v>
      </c>
      <c r="M14" s="15">
        <v>-151.4</v>
      </c>
      <c r="N14" s="15">
        <v>25.51</v>
      </c>
      <c r="O14" s="24">
        <v>4280</v>
      </c>
      <c r="P14" s="17">
        <v>54760</v>
      </c>
      <c r="Q14" s="16">
        <v>3740</v>
      </c>
      <c r="R14" s="19" t="s">
        <v>76</v>
      </c>
      <c r="S14" s="20" t="s">
        <v>39</v>
      </c>
      <c r="T14">
        <v>31025.4</v>
      </c>
      <c r="Y14">
        <f>130+126</f>
        <v>256</v>
      </c>
    </row>
    <row r="15" spans="1:25" x14ac:dyDescent="0.25">
      <c r="A15" t="str">
        <f>(COUNTIF($K$2:K15,K15))&amp;K15</f>
        <v>131500</v>
      </c>
      <c r="B15" s="34" t="s">
        <v>75</v>
      </c>
      <c r="C15" s="13" t="s">
        <v>40</v>
      </c>
      <c r="D15" s="14" t="s">
        <v>76</v>
      </c>
      <c r="E15" s="16">
        <v>484979</v>
      </c>
      <c r="F15" s="17">
        <v>1421160</v>
      </c>
      <c r="G15" s="24">
        <v>226800</v>
      </c>
      <c r="H15" s="15">
        <v>22.04</v>
      </c>
      <c r="I15" s="15">
        <v>2.2999999999999998</v>
      </c>
      <c r="J15" s="15">
        <v>52.25</v>
      </c>
      <c r="K15" s="18">
        <v>31500</v>
      </c>
      <c r="L15" s="15">
        <v>508.95</v>
      </c>
      <c r="M15" s="15">
        <v>-158.35</v>
      </c>
      <c r="N15" s="15">
        <v>28.05</v>
      </c>
      <c r="O15" s="24">
        <v>3740</v>
      </c>
      <c r="P15" s="17">
        <v>471840</v>
      </c>
      <c r="Q15" s="16">
        <v>5941</v>
      </c>
      <c r="R15" s="19" t="s">
        <v>76</v>
      </c>
      <c r="S15" s="20" t="s">
        <v>39</v>
      </c>
      <c r="T15">
        <v>31025.4</v>
      </c>
    </row>
    <row r="16" spans="1:25" x14ac:dyDescent="0.25">
      <c r="A16" t="str">
        <f>(COUNTIF($K$2:K16,K16))&amp;K16</f>
        <v>131600</v>
      </c>
      <c r="B16" s="34" t="s">
        <v>75</v>
      </c>
      <c r="C16" s="13" t="s">
        <v>39</v>
      </c>
      <c r="D16" s="14" t="s">
        <v>76</v>
      </c>
      <c r="E16" s="16">
        <v>191338</v>
      </c>
      <c r="F16" s="17">
        <v>360020</v>
      </c>
      <c r="G16" s="24">
        <v>75800</v>
      </c>
      <c r="H16" s="15">
        <v>22.28</v>
      </c>
      <c r="I16" s="15">
        <v>-0.5</v>
      </c>
      <c r="J16" s="15">
        <v>37.25</v>
      </c>
      <c r="K16" s="18">
        <v>31600</v>
      </c>
      <c r="L16" s="15">
        <v>590</v>
      </c>
      <c r="M16" s="15">
        <v>-170.85</v>
      </c>
      <c r="N16" s="15">
        <v>26.66</v>
      </c>
      <c r="O16" s="24">
        <v>20</v>
      </c>
      <c r="P16" s="17">
        <v>17680</v>
      </c>
      <c r="Q16" s="16">
        <v>266</v>
      </c>
      <c r="R16" s="19" t="s">
        <v>76</v>
      </c>
      <c r="S16" s="20" t="s">
        <v>39</v>
      </c>
      <c r="T16">
        <v>31025.4</v>
      </c>
    </row>
    <row r="17" spans="1:20" x14ac:dyDescent="0.25">
      <c r="A17" t="str">
        <f>(COUNTIF($K$2:K17,K17))&amp;K17</f>
        <v>131700</v>
      </c>
      <c r="B17" s="34" t="s">
        <v>75</v>
      </c>
      <c r="C17" s="13" t="s">
        <v>39</v>
      </c>
      <c r="D17" s="14" t="s">
        <v>76</v>
      </c>
      <c r="E17" s="16">
        <v>125182</v>
      </c>
      <c r="F17" s="17">
        <v>369520</v>
      </c>
      <c r="G17" s="24">
        <v>11560</v>
      </c>
      <c r="H17" s="15">
        <v>22.71</v>
      </c>
      <c r="I17" s="15">
        <v>-1.95</v>
      </c>
      <c r="J17" s="15">
        <v>26.2</v>
      </c>
      <c r="K17" s="18">
        <v>31700</v>
      </c>
      <c r="L17" s="15">
        <v>670</v>
      </c>
      <c r="M17" s="15">
        <v>-173.7</v>
      </c>
      <c r="N17" s="15">
        <v>29.09</v>
      </c>
      <c r="O17" s="24">
        <v>-1100</v>
      </c>
      <c r="P17" s="17">
        <v>10240</v>
      </c>
      <c r="Q17" s="16">
        <v>298</v>
      </c>
      <c r="R17" s="19" t="s">
        <v>77</v>
      </c>
      <c r="S17" s="20" t="s">
        <v>37</v>
      </c>
      <c r="T17">
        <v>31025.4</v>
      </c>
    </row>
    <row r="18" spans="1:20" x14ac:dyDescent="0.25">
      <c r="A18" t="str">
        <f>(COUNTIF($K$2:K18,K18))&amp;K18</f>
        <v>1PCR</v>
      </c>
      <c r="B18" s="34" t="s">
        <v>75</v>
      </c>
      <c r="C18" s="41">
        <v>0.85058208178344274</v>
      </c>
      <c r="E18" s="33"/>
      <c r="F18" s="39">
        <v>6301520</v>
      </c>
      <c r="G18" s="40"/>
      <c r="H18" s="38"/>
      <c r="I18" s="38"/>
      <c r="J18" s="38"/>
      <c r="K18" s="56" t="s">
        <v>57</v>
      </c>
      <c r="L18" s="38"/>
      <c r="M18" s="38"/>
      <c r="N18" s="38"/>
      <c r="P18" s="40">
        <v>5359960</v>
      </c>
      <c r="Q18" s="33"/>
      <c r="R18" s="38"/>
      <c r="S18" s="38"/>
    </row>
    <row r="19" spans="1:20" x14ac:dyDescent="0.25">
      <c r="A19" t="str">
        <f>(COUNTIF($K$2:K19,K19))&amp;K19</f>
        <v>230200</v>
      </c>
      <c r="B19" s="34" t="s">
        <v>78</v>
      </c>
      <c r="C19" s="13" t="s">
        <v>74</v>
      </c>
      <c r="D19" s="14" t="s">
        <v>76</v>
      </c>
      <c r="E19" s="16">
        <v>165</v>
      </c>
      <c r="F19" s="17">
        <v>1440</v>
      </c>
      <c r="G19" s="24">
        <v>1020</v>
      </c>
      <c r="H19" s="15" t="s">
        <v>14</v>
      </c>
      <c r="I19" s="15">
        <v>129.05000000000001</v>
      </c>
      <c r="J19" s="15">
        <v>850</v>
      </c>
      <c r="K19" s="18">
        <v>30200</v>
      </c>
      <c r="L19" s="15">
        <v>18.100000000000001</v>
      </c>
      <c r="M19" s="15">
        <v>-22.05</v>
      </c>
      <c r="N19" s="15">
        <v>25.27</v>
      </c>
      <c r="O19" s="24">
        <v>56440</v>
      </c>
      <c r="P19" s="17">
        <v>270500</v>
      </c>
      <c r="Q19" s="16">
        <v>144864</v>
      </c>
      <c r="R19" s="19" t="s">
        <v>76</v>
      </c>
      <c r="S19" s="20" t="s">
        <v>39</v>
      </c>
      <c r="T19">
        <v>31011.25</v>
      </c>
    </row>
    <row r="20" spans="1:20" x14ac:dyDescent="0.25">
      <c r="A20" t="str">
        <f>(COUNTIF($K$2:K20,K20))&amp;K20</f>
        <v>230300</v>
      </c>
      <c r="B20" s="34" t="s">
        <v>78</v>
      </c>
      <c r="C20" s="13" t="s">
        <v>40</v>
      </c>
      <c r="D20" s="14" t="s">
        <v>76</v>
      </c>
      <c r="E20" s="16">
        <v>586</v>
      </c>
      <c r="F20" s="17">
        <v>5000</v>
      </c>
      <c r="G20" s="24">
        <v>2840</v>
      </c>
      <c r="H20" s="15" t="s">
        <v>14</v>
      </c>
      <c r="I20" s="15">
        <v>170.35</v>
      </c>
      <c r="J20" s="15">
        <v>800</v>
      </c>
      <c r="K20" s="18">
        <v>30300</v>
      </c>
      <c r="L20" s="15">
        <v>23.6</v>
      </c>
      <c r="M20" s="15">
        <v>-29.05</v>
      </c>
      <c r="N20" s="15">
        <v>24.8</v>
      </c>
      <c r="O20" s="24">
        <v>88720</v>
      </c>
      <c r="P20" s="17">
        <v>235020</v>
      </c>
      <c r="Q20" s="16">
        <v>187074</v>
      </c>
      <c r="R20" s="19" t="s">
        <v>76</v>
      </c>
      <c r="S20" s="20" t="s">
        <v>39</v>
      </c>
      <c r="T20">
        <v>31011.25</v>
      </c>
    </row>
    <row r="21" spans="1:20" x14ac:dyDescent="0.25">
      <c r="A21" t="str">
        <f>(COUNTIF($K$2:K21,K21))&amp;K21</f>
        <v>230400</v>
      </c>
      <c r="B21" s="34" t="s">
        <v>78</v>
      </c>
      <c r="C21" s="13" t="s">
        <v>40</v>
      </c>
      <c r="D21" s="14" t="s">
        <v>76</v>
      </c>
      <c r="E21" s="16">
        <v>871</v>
      </c>
      <c r="F21" s="17">
        <v>2160</v>
      </c>
      <c r="G21" s="24">
        <v>760</v>
      </c>
      <c r="H21" s="15">
        <v>18.75</v>
      </c>
      <c r="I21" s="15">
        <v>134.80000000000001</v>
      </c>
      <c r="J21" s="15">
        <v>688.15</v>
      </c>
      <c r="K21" s="18">
        <v>30400</v>
      </c>
      <c r="L21" s="15">
        <v>32.15</v>
      </c>
      <c r="M21" s="15">
        <v>-37.6</v>
      </c>
      <c r="N21" s="15">
        <v>24.54</v>
      </c>
      <c r="O21" s="24">
        <v>151920</v>
      </c>
      <c r="P21" s="17">
        <v>283240</v>
      </c>
      <c r="Q21" s="16">
        <v>272863</v>
      </c>
      <c r="R21" s="19" t="s">
        <v>76</v>
      </c>
      <c r="S21" s="20" t="s">
        <v>39</v>
      </c>
      <c r="T21">
        <v>31011.25</v>
      </c>
    </row>
    <row r="22" spans="1:20" x14ac:dyDescent="0.25">
      <c r="A22" t="str">
        <f>(COUNTIF($K$2:K22,K22))&amp;K22</f>
        <v>230500</v>
      </c>
      <c r="B22" s="34" t="s">
        <v>78</v>
      </c>
      <c r="C22" s="13" t="s">
        <v>40</v>
      </c>
      <c r="D22" s="14" t="s">
        <v>76</v>
      </c>
      <c r="E22" s="16">
        <v>12290</v>
      </c>
      <c r="F22" s="17">
        <v>55180</v>
      </c>
      <c r="G22" s="24">
        <v>7160</v>
      </c>
      <c r="H22" s="15">
        <v>18.89</v>
      </c>
      <c r="I22" s="15">
        <v>111.45</v>
      </c>
      <c r="J22" s="15">
        <v>585</v>
      </c>
      <c r="K22" s="18">
        <v>30500</v>
      </c>
      <c r="L22" s="15">
        <v>43.85</v>
      </c>
      <c r="M22" s="15">
        <v>-48.4</v>
      </c>
      <c r="N22" s="15">
        <v>24.42</v>
      </c>
      <c r="O22" s="24">
        <v>350980</v>
      </c>
      <c r="P22" s="17">
        <v>889320</v>
      </c>
      <c r="Q22" s="16">
        <v>588620</v>
      </c>
      <c r="R22" s="19" t="s">
        <v>76</v>
      </c>
      <c r="S22" s="20" t="s">
        <v>39</v>
      </c>
      <c r="T22">
        <v>31011.25</v>
      </c>
    </row>
    <row r="23" spans="1:20" x14ac:dyDescent="0.25">
      <c r="A23" t="str">
        <f>(COUNTIF($K$2:K23,K23))&amp;K23</f>
        <v>230600</v>
      </c>
      <c r="B23" s="34" t="s">
        <v>78</v>
      </c>
      <c r="C23" s="13" t="s">
        <v>40</v>
      </c>
      <c r="D23" s="14" t="s">
        <v>76</v>
      </c>
      <c r="E23" s="16">
        <v>9980</v>
      </c>
      <c r="F23" s="17">
        <v>20160</v>
      </c>
      <c r="G23" s="24">
        <v>3780</v>
      </c>
      <c r="H23" s="15">
        <v>19.420000000000002</v>
      </c>
      <c r="I23" s="15">
        <v>94.9</v>
      </c>
      <c r="J23" s="15">
        <v>498.45</v>
      </c>
      <c r="K23" s="18">
        <v>30600</v>
      </c>
      <c r="L23" s="15">
        <v>59</v>
      </c>
      <c r="M23" s="15">
        <v>-59.25</v>
      </c>
      <c r="N23" s="15">
        <v>24.28</v>
      </c>
      <c r="O23" s="24">
        <v>228000</v>
      </c>
      <c r="P23" s="17">
        <v>401820</v>
      </c>
      <c r="Q23" s="16">
        <v>341463</v>
      </c>
      <c r="R23" s="19" t="s">
        <v>76</v>
      </c>
      <c r="S23" s="20" t="s">
        <v>39</v>
      </c>
      <c r="T23">
        <v>31011.25</v>
      </c>
    </row>
    <row r="24" spans="1:20" x14ac:dyDescent="0.25">
      <c r="A24" t="str">
        <f>(COUNTIF($K$2:K24,K24))&amp;K24</f>
        <v>230700</v>
      </c>
      <c r="B24" s="34" t="s">
        <v>78</v>
      </c>
      <c r="C24" s="13" t="s">
        <v>40</v>
      </c>
      <c r="D24" s="14" t="s">
        <v>76</v>
      </c>
      <c r="E24" s="16">
        <v>45178</v>
      </c>
      <c r="F24" s="17">
        <v>56320</v>
      </c>
      <c r="G24" s="24">
        <v>28120</v>
      </c>
      <c r="H24" s="15">
        <v>19.79</v>
      </c>
      <c r="I24" s="15">
        <v>84.15</v>
      </c>
      <c r="J24" s="15">
        <v>416.6</v>
      </c>
      <c r="K24" s="18">
        <v>30700</v>
      </c>
      <c r="L24" s="15">
        <v>78.8</v>
      </c>
      <c r="M24" s="15">
        <v>-73.400000000000006</v>
      </c>
      <c r="N24" s="15">
        <v>24.03</v>
      </c>
      <c r="O24" s="24">
        <v>313980</v>
      </c>
      <c r="P24" s="17">
        <v>486460</v>
      </c>
      <c r="Q24" s="16">
        <v>402092</v>
      </c>
      <c r="R24" s="19" t="s">
        <v>76</v>
      </c>
      <c r="S24" s="20" t="s">
        <v>39</v>
      </c>
      <c r="T24">
        <v>31011.25</v>
      </c>
    </row>
    <row r="25" spans="1:20" x14ac:dyDescent="0.25">
      <c r="A25" t="str">
        <f>(COUNTIF($K$2:K25,K25))&amp;K25</f>
        <v>230800</v>
      </c>
      <c r="B25" s="34" t="s">
        <v>78</v>
      </c>
      <c r="C25" s="13" t="s">
        <v>40</v>
      </c>
      <c r="D25" s="14" t="s">
        <v>76</v>
      </c>
      <c r="E25" s="16">
        <v>146981</v>
      </c>
      <c r="F25" s="17">
        <v>222420</v>
      </c>
      <c r="G25" s="24">
        <v>79800</v>
      </c>
      <c r="H25" s="15">
        <v>20.46</v>
      </c>
      <c r="I25" s="15">
        <v>68.849999999999994</v>
      </c>
      <c r="J25" s="15">
        <v>342.5</v>
      </c>
      <c r="K25" s="18">
        <v>30800</v>
      </c>
      <c r="L25" s="15">
        <v>104.8</v>
      </c>
      <c r="M25" s="15">
        <v>-86.35</v>
      </c>
      <c r="N25" s="15">
        <v>23.85</v>
      </c>
      <c r="O25" s="24">
        <v>334420</v>
      </c>
      <c r="P25" s="17">
        <v>592060</v>
      </c>
      <c r="Q25" s="16">
        <v>407643</v>
      </c>
      <c r="R25" s="19" t="s">
        <v>76</v>
      </c>
      <c r="S25" s="20" t="s">
        <v>39</v>
      </c>
      <c r="T25">
        <v>31011.25</v>
      </c>
    </row>
    <row r="26" spans="1:20" x14ac:dyDescent="0.25">
      <c r="A26" t="str">
        <f>(COUNTIF($K$2:K26,K26))&amp;K26</f>
        <v>230900</v>
      </c>
      <c r="B26" s="34" t="s">
        <v>78</v>
      </c>
      <c r="C26" s="13" t="s">
        <v>40</v>
      </c>
      <c r="D26" s="14" t="s">
        <v>76</v>
      </c>
      <c r="E26" s="16">
        <v>259624</v>
      </c>
      <c r="F26" s="17">
        <v>401560</v>
      </c>
      <c r="G26" s="24">
        <v>181360</v>
      </c>
      <c r="H26" s="15">
        <v>20.61</v>
      </c>
      <c r="I26" s="15">
        <v>55.25</v>
      </c>
      <c r="J26" s="15">
        <v>276.10000000000002</v>
      </c>
      <c r="K26" s="18">
        <v>30900</v>
      </c>
      <c r="L26" s="15">
        <v>137</v>
      </c>
      <c r="M26" s="15">
        <v>-99.5</v>
      </c>
      <c r="N26" s="15">
        <v>24.05</v>
      </c>
      <c r="O26" s="24">
        <v>316820</v>
      </c>
      <c r="P26" s="17">
        <v>525540</v>
      </c>
      <c r="Q26" s="16">
        <v>351480</v>
      </c>
      <c r="R26" s="19" t="s">
        <v>76</v>
      </c>
      <c r="S26" s="20" t="s">
        <v>39</v>
      </c>
      <c r="T26">
        <v>31011.25</v>
      </c>
    </row>
    <row r="27" spans="1:20" ht="15.75" x14ac:dyDescent="0.25">
      <c r="A27" t="str">
        <f>(COUNTIF($K$2:K27,K27))&amp;K27</f>
        <v>231000</v>
      </c>
      <c r="B27" s="34" t="s">
        <v>78</v>
      </c>
      <c r="C27" s="13" t="s">
        <v>40</v>
      </c>
      <c r="D27" s="14" t="s">
        <v>76</v>
      </c>
      <c r="E27" s="16">
        <v>555104</v>
      </c>
      <c r="F27" s="17">
        <v>1077080</v>
      </c>
      <c r="G27" s="24">
        <v>298820</v>
      </c>
      <c r="H27" s="15">
        <v>20.97</v>
      </c>
      <c r="I27" s="15">
        <v>39.700000000000003</v>
      </c>
      <c r="J27" s="15">
        <v>217.5</v>
      </c>
      <c r="K27" s="21">
        <v>31000</v>
      </c>
      <c r="L27" s="15">
        <v>176.9</v>
      </c>
      <c r="M27" s="15">
        <v>-115.05</v>
      </c>
      <c r="N27" s="15">
        <v>24.06</v>
      </c>
      <c r="O27" s="24">
        <v>321480</v>
      </c>
      <c r="P27" s="17">
        <v>772700</v>
      </c>
      <c r="Q27" s="16">
        <v>333844</v>
      </c>
      <c r="R27" s="19" t="s">
        <v>76</v>
      </c>
      <c r="S27" s="20" t="s">
        <v>39</v>
      </c>
      <c r="T27">
        <v>31011.25</v>
      </c>
    </row>
    <row r="28" spans="1:20" x14ac:dyDescent="0.25">
      <c r="A28" t="str">
        <f>(COUNTIF($K$2:K28,K28))&amp;K28</f>
        <v>231100</v>
      </c>
      <c r="B28" s="34" t="s">
        <v>78</v>
      </c>
      <c r="C28" s="13" t="s">
        <v>40</v>
      </c>
      <c r="D28" s="14" t="s">
        <v>76</v>
      </c>
      <c r="E28" s="16">
        <v>349410</v>
      </c>
      <c r="F28" s="17">
        <v>467200</v>
      </c>
      <c r="G28" s="24">
        <v>97280</v>
      </c>
      <c r="H28" s="15">
        <v>21.21</v>
      </c>
      <c r="I28" s="15">
        <v>29.2</v>
      </c>
      <c r="J28" s="15">
        <v>169.45</v>
      </c>
      <c r="K28" s="18">
        <v>31100</v>
      </c>
      <c r="L28" s="15">
        <v>229</v>
      </c>
      <c r="M28" s="15">
        <v>-124.45</v>
      </c>
      <c r="N28" s="15">
        <v>24.48</v>
      </c>
      <c r="O28" s="24">
        <v>41540</v>
      </c>
      <c r="P28" s="17">
        <v>145800</v>
      </c>
      <c r="Q28" s="16">
        <v>77288</v>
      </c>
      <c r="R28" s="19" t="s">
        <v>76</v>
      </c>
      <c r="S28" s="20" t="s">
        <v>39</v>
      </c>
      <c r="T28">
        <v>31011.25</v>
      </c>
    </row>
    <row r="29" spans="1:20" x14ac:dyDescent="0.25">
      <c r="A29" t="str">
        <f>(COUNTIF($K$2:K29,K29))&amp;K29</f>
        <v>231200</v>
      </c>
      <c r="B29" s="34" t="s">
        <v>78</v>
      </c>
      <c r="C29" s="13" t="s">
        <v>40</v>
      </c>
      <c r="D29" s="14" t="s">
        <v>76</v>
      </c>
      <c r="E29" s="16">
        <v>532654</v>
      </c>
      <c r="F29" s="17">
        <v>690720</v>
      </c>
      <c r="G29" s="24">
        <v>131320</v>
      </c>
      <c r="H29" s="15">
        <v>21.39</v>
      </c>
      <c r="I29" s="15">
        <v>17.850000000000001</v>
      </c>
      <c r="J29" s="15">
        <v>128.69999999999999</v>
      </c>
      <c r="K29" s="18">
        <v>31200</v>
      </c>
      <c r="L29" s="15">
        <v>290.35000000000002</v>
      </c>
      <c r="M29" s="15">
        <v>-134.9</v>
      </c>
      <c r="N29" s="15">
        <v>24.69</v>
      </c>
      <c r="O29" s="24">
        <v>10440</v>
      </c>
      <c r="P29" s="17">
        <v>115540</v>
      </c>
      <c r="Q29" s="16">
        <v>40724</v>
      </c>
      <c r="R29" s="19" t="s">
        <v>76</v>
      </c>
      <c r="S29" s="20" t="s">
        <v>39</v>
      </c>
      <c r="T29">
        <v>31011.25</v>
      </c>
    </row>
    <row r="30" spans="1:20" x14ac:dyDescent="0.25">
      <c r="A30" t="str">
        <f>(COUNTIF($K$2:K30,K30))&amp;K30</f>
        <v>231300</v>
      </c>
      <c r="B30" s="34" t="s">
        <v>78</v>
      </c>
      <c r="C30" s="13" t="s">
        <v>40</v>
      </c>
      <c r="D30" s="14" t="s">
        <v>76</v>
      </c>
      <c r="E30" s="16">
        <v>374133</v>
      </c>
      <c r="F30" s="17">
        <v>599180</v>
      </c>
      <c r="G30" s="24">
        <v>151500</v>
      </c>
      <c r="H30" s="15">
        <v>21.55</v>
      </c>
      <c r="I30" s="15">
        <v>11.15</v>
      </c>
      <c r="J30" s="15">
        <v>96.7</v>
      </c>
      <c r="K30" s="18">
        <v>31300</v>
      </c>
      <c r="L30" s="15">
        <v>358.1</v>
      </c>
      <c r="M30" s="15">
        <v>-150.6</v>
      </c>
      <c r="N30" s="15">
        <v>25.78</v>
      </c>
      <c r="O30" s="24">
        <v>-16040</v>
      </c>
      <c r="P30" s="17">
        <v>87140</v>
      </c>
      <c r="Q30" s="16">
        <v>10884</v>
      </c>
      <c r="R30" s="19" t="s">
        <v>77</v>
      </c>
      <c r="S30" s="20" t="s">
        <v>37</v>
      </c>
      <c r="T30">
        <v>31011.25</v>
      </c>
    </row>
    <row r="31" spans="1:20" x14ac:dyDescent="0.25">
      <c r="A31" t="str">
        <f>(COUNTIF($K$2:K31,K31))&amp;K31</f>
        <v>231400</v>
      </c>
      <c r="B31" s="34" t="s">
        <v>78</v>
      </c>
      <c r="C31" s="13" t="s">
        <v>40</v>
      </c>
      <c r="D31" s="14" t="s">
        <v>76</v>
      </c>
      <c r="E31" s="16">
        <v>335454</v>
      </c>
      <c r="F31" s="17">
        <v>551600</v>
      </c>
      <c r="G31" s="24">
        <v>158440</v>
      </c>
      <c r="H31" s="15">
        <v>21.66</v>
      </c>
      <c r="I31" s="15">
        <v>4.8</v>
      </c>
      <c r="J31" s="15">
        <v>70.650000000000006</v>
      </c>
      <c r="K31" s="18">
        <v>31400</v>
      </c>
      <c r="L31" s="15">
        <v>431.8</v>
      </c>
      <c r="M31" s="15">
        <v>-150.15</v>
      </c>
      <c r="N31" s="15">
        <v>25.51</v>
      </c>
      <c r="O31" s="24">
        <v>4280</v>
      </c>
      <c r="P31" s="17">
        <v>54760</v>
      </c>
      <c r="Q31" s="16">
        <v>3814</v>
      </c>
      <c r="R31" s="19" t="s">
        <v>76</v>
      </c>
      <c r="S31" s="20" t="s">
        <v>39</v>
      </c>
      <c r="T31">
        <v>31011.25</v>
      </c>
    </row>
    <row r="32" spans="1:20" x14ac:dyDescent="0.25">
      <c r="A32" t="str">
        <f>(COUNTIF($K$2:K32,K32))&amp;K32</f>
        <v>231500</v>
      </c>
      <c r="B32" s="34" t="s">
        <v>78</v>
      </c>
      <c r="C32" s="13" t="s">
        <v>40</v>
      </c>
      <c r="D32" s="14" t="s">
        <v>76</v>
      </c>
      <c r="E32" s="16">
        <v>492426</v>
      </c>
      <c r="F32" s="17">
        <v>1421160</v>
      </c>
      <c r="G32" s="24">
        <v>226800</v>
      </c>
      <c r="H32" s="15">
        <v>22.04</v>
      </c>
      <c r="I32" s="15">
        <v>1.25</v>
      </c>
      <c r="J32" s="15">
        <v>51.2</v>
      </c>
      <c r="K32" s="18">
        <v>31500</v>
      </c>
      <c r="L32" s="15">
        <v>518</v>
      </c>
      <c r="M32" s="15">
        <v>-149.30000000000001</v>
      </c>
      <c r="N32" s="15">
        <v>28.05</v>
      </c>
      <c r="O32" s="24">
        <v>3740</v>
      </c>
      <c r="P32" s="17">
        <v>471840</v>
      </c>
      <c r="Q32" s="16">
        <v>6111</v>
      </c>
      <c r="R32" s="19" t="s">
        <v>76</v>
      </c>
      <c r="S32" s="20" t="s">
        <v>39</v>
      </c>
      <c r="T32">
        <v>31011.25</v>
      </c>
    </row>
    <row r="33" spans="1:20" x14ac:dyDescent="0.25">
      <c r="A33" t="str">
        <f>(COUNTIF($K$2:K33,K33))&amp;K33</f>
        <v>231600</v>
      </c>
      <c r="B33" s="34" t="s">
        <v>78</v>
      </c>
      <c r="C33" s="13" t="s">
        <v>39</v>
      </c>
      <c r="D33" s="14" t="s">
        <v>76</v>
      </c>
      <c r="E33" s="16">
        <v>193767</v>
      </c>
      <c r="F33" s="17">
        <v>360020</v>
      </c>
      <c r="G33" s="24">
        <v>75800</v>
      </c>
      <c r="H33" s="15">
        <v>22.28</v>
      </c>
      <c r="I33" s="15">
        <v>-1.75</v>
      </c>
      <c r="J33" s="15">
        <v>36</v>
      </c>
      <c r="K33" s="18">
        <v>31600</v>
      </c>
      <c r="L33" s="15">
        <v>590</v>
      </c>
      <c r="M33" s="15">
        <v>-170.85</v>
      </c>
      <c r="N33" s="15">
        <v>26.66</v>
      </c>
      <c r="O33" s="24">
        <v>20</v>
      </c>
      <c r="P33" s="17">
        <v>17680</v>
      </c>
      <c r="Q33" s="16">
        <v>266</v>
      </c>
      <c r="R33" s="19" t="s">
        <v>76</v>
      </c>
      <c r="S33" s="20" t="s">
        <v>39</v>
      </c>
      <c r="T33">
        <v>31011.25</v>
      </c>
    </row>
    <row r="34" spans="1:20" x14ac:dyDescent="0.25">
      <c r="A34" t="str">
        <f>(COUNTIF($K$2:K34,K34))&amp;K34</f>
        <v>231700</v>
      </c>
      <c r="B34" s="34" t="s">
        <v>78</v>
      </c>
      <c r="C34" s="13" t="s">
        <v>39</v>
      </c>
      <c r="D34" s="14" t="s">
        <v>76</v>
      </c>
      <c r="E34" s="16">
        <v>127303</v>
      </c>
      <c r="F34" s="17">
        <v>369520</v>
      </c>
      <c r="G34" s="24">
        <v>11560</v>
      </c>
      <c r="H34" s="15">
        <v>22.71</v>
      </c>
      <c r="I34" s="15">
        <v>-2.25</v>
      </c>
      <c r="J34" s="15">
        <v>25.9</v>
      </c>
      <c r="K34" s="18">
        <v>31700</v>
      </c>
      <c r="L34" s="15">
        <v>670</v>
      </c>
      <c r="M34" s="15">
        <v>-173.7</v>
      </c>
      <c r="N34" s="15">
        <v>29.09</v>
      </c>
      <c r="O34" s="24">
        <v>-1100</v>
      </c>
      <c r="P34" s="17">
        <v>10240</v>
      </c>
      <c r="Q34" s="16">
        <v>298</v>
      </c>
      <c r="R34" s="19" t="s">
        <v>77</v>
      </c>
      <c r="S34" s="20" t="s">
        <v>37</v>
      </c>
      <c r="T34">
        <v>31011.25</v>
      </c>
    </row>
    <row r="35" spans="1:20" x14ac:dyDescent="0.25">
      <c r="A35" t="str">
        <f>(COUNTIF($K$2:K35,K35))&amp;K35</f>
        <v>2PCR</v>
      </c>
      <c r="B35" s="34" t="s">
        <v>78</v>
      </c>
      <c r="C35" s="41">
        <v>0.85064246625782447</v>
      </c>
      <c r="E35" s="33"/>
      <c r="F35" s="39">
        <v>6300720</v>
      </c>
      <c r="G35" s="40"/>
      <c r="H35" s="38"/>
      <c r="I35" s="38"/>
      <c r="J35" s="38"/>
      <c r="K35" s="56" t="s">
        <v>57</v>
      </c>
      <c r="L35" s="38"/>
      <c r="M35" s="38"/>
      <c r="N35" s="38"/>
      <c r="P35" s="40">
        <v>5359660</v>
      </c>
      <c r="Q35" s="33"/>
      <c r="R35" s="38"/>
      <c r="S35" s="38"/>
    </row>
    <row r="36" spans="1:20" x14ac:dyDescent="0.25">
      <c r="A36" t="str">
        <f>(COUNTIF($K$2:K36,K36))&amp;K36</f>
        <v>330200</v>
      </c>
      <c r="B36" s="34" t="s">
        <v>78</v>
      </c>
      <c r="C36" s="13" t="s">
        <v>74</v>
      </c>
      <c r="D36" s="14" t="s">
        <v>76</v>
      </c>
      <c r="E36" s="16">
        <v>165</v>
      </c>
      <c r="F36" s="17">
        <v>1440</v>
      </c>
      <c r="G36" s="24">
        <v>1020</v>
      </c>
      <c r="H36" s="15" t="s">
        <v>14</v>
      </c>
      <c r="I36" s="15">
        <v>129.05000000000001</v>
      </c>
      <c r="J36" s="15">
        <v>850</v>
      </c>
      <c r="K36" s="18">
        <v>30200</v>
      </c>
      <c r="L36" s="15">
        <v>18.100000000000001</v>
      </c>
      <c r="M36" s="15">
        <v>-22.05</v>
      </c>
      <c r="N36" s="15">
        <v>25.27</v>
      </c>
      <c r="O36" s="24">
        <v>56440</v>
      </c>
      <c r="P36" s="17">
        <v>270500</v>
      </c>
      <c r="Q36" s="16">
        <v>144864</v>
      </c>
      <c r="R36" s="19" t="s">
        <v>76</v>
      </c>
      <c r="S36" s="20" t="s">
        <v>39</v>
      </c>
      <c r="T36">
        <v>31011.25</v>
      </c>
    </row>
    <row r="37" spans="1:20" x14ac:dyDescent="0.25">
      <c r="A37" t="str">
        <f>(COUNTIF($K$2:K37,K37))&amp;K37</f>
        <v>330300</v>
      </c>
      <c r="B37" s="34" t="s">
        <v>78</v>
      </c>
      <c r="C37" s="13" t="s">
        <v>40</v>
      </c>
      <c r="D37" s="14" t="s">
        <v>76</v>
      </c>
      <c r="E37" s="16">
        <v>586</v>
      </c>
      <c r="F37" s="17">
        <v>5000</v>
      </c>
      <c r="G37" s="24">
        <v>2840</v>
      </c>
      <c r="H37" s="15" t="s">
        <v>14</v>
      </c>
      <c r="I37" s="15">
        <v>170.35</v>
      </c>
      <c r="J37" s="15">
        <v>800</v>
      </c>
      <c r="K37" s="18">
        <v>30300</v>
      </c>
      <c r="L37" s="15">
        <v>23.6</v>
      </c>
      <c r="M37" s="15">
        <v>-29.05</v>
      </c>
      <c r="N37" s="15">
        <v>24.8</v>
      </c>
      <c r="O37" s="24">
        <v>88720</v>
      </c>
      <c r="P37" s="17">
        <v>235020</v>
      </c>
      <c r="Q37" s="16">
        <v>187074</v>
      </c>
      <c r="R37" s="19" t="s">
        <v>76</v>
      </c>
      <c r="S37" s="20" t="s">
        <v>39</v>
      </c>
      <c r="T37">
        <v>31011.25</v>
      </c>
    </row>
    <row r="38" spans="1:20" x14ac:dyDescent="0.25">
      <c r="A38" t="str">
        <f>(COUNTIF($K$2:K38,K38))&amp;K38</f>
        <v>330400</v>
      </c>
      <c r="B38" s="34" t="s">
        <v>78</v>
      </c>
      <c r="C38" s="13" t="s">
        <v>40</v>
      </c>
      <c r="D38" s="14" t="s">
        <v>76</v>
      </c>
      <c r="E38" s="16">
        <v>871</v>
      </c>
      <c r="F38" s="17">
        <v>2160</v>
      </c>
      <c r="G38" s="24">
        <v>760</v>
      </c>
      <c r="H38" s="15">
        <v>18.75</v>
      </c>
      <c r="I38" s="15">
        <v>134.80000000000001</v>
      </c>
      <c r="J38" s="15">
        <v>688.15</v>
      </c>
      <c r="K38" s="18">
        <v>30400</v>
      </c>
      <c r="L38" s="15">
        <v>32.15</v>
      </c>
      <c r="M38" s="15">
        <v>-37.6</v>
      </c>
      <c r="N38" s="15">
        <v>24.54</v>
      </c>
      <c r="O38" s="24">
        <v>151920</v>
      </c>
      <c r="P38" s="17">
        <v>283240</v>
      </c>
      <c r="Q38" s="16">
        <v>272863</v>
      </c>
      <c r="R38" s="19" t="s">
        <v>76</v>
      </c>
      <c r="S38" s="20" t="s">
        <v>39</v>
      </c>
      <c r="T38">
        <v>31011.25</v>
      </c>
    </row>
    <row r="39" spans="1:20" x14ac:dyDescent="0.25">
      <c r="A39" t="str">
        <f>(COUNTIF($K$2:K39,K39))&amp;K39</f>
        <v>330500</v>
      </c>
      <c r="B39" s="34" t="s">
        <v>78</v>
      </c>
      <c r="C39" s="13" t="s">
        <v>40</v>
      </c>
      <c r="D39" s="14" t="s">
        <v>76</v>
      </c>
      <c r="E39" s="16">
        <v>12290</v>
      </c>
      <c r="F39" s="17">
        <v>55180</v>
      </c>
      <c r="G39" s="24">
        <v>7160</v>
      </c>
      <c r="H39" s="15">
        <v>18.89</v>
      </c>
      <c r="I39" s="15">
        <v>111.45</v>
      </c>
      <c r="J39" s="15">
        <v>585</v>
      </c>
      <c r="K39" s="18">
        <v>30500</v>
      </c>
      <c r="L39" s="15">
        <v>43.85</v>
      </c>
      <c r="M39" s="15">
        <v>-48.4</v>
      </c>
      <c r="N39" s="15">
        <v>24.42</v>
      </c>
      <c r="O39" s="24">
        <v>350980</v>
      </c>
      <c r="P39" s="17">
        <v>889320</v>
      </c>
      <c r="Q39" s="16">
        <v>588620</v>
      </c>
      <c r="R39" s="19" t="s">
        <v>76</v>
      </c>
      <c r="S39" s="20" t="s">
        <v>39</v>
      </c>
      <c r="T39">
        <v>31011.25</v>
      </c>
    </row>
    <row r="40" spans="1:20" x14ac:dyDescent="0.25">
      <c r="A40" t="str">
        <f>(COUNTIF($K$2:K40,K40))&amp;K40</f>
        <v>330600</v>
      </c>
      <c r="B40" s="34" t="s">
        <v>78</v>
      </c>
      <c r="C40" s="13" t="s">
        <v>40</v>
      </c>
      <c r="D40" s="14" t="s">
        <v>76</v>
      </c>
      <c r="E40" s="16">
        <v>9980</v>
      </c>
      <c r="F40" s="17">
        <v>20160</v>
      </c>
      <c r="G40" s="24">
        <v>3780</v>
      </c>
      <c r="H40" s="15">
        <v>19.420000000000002</v>
      </c>
      <c r="I40" s="15">
        <v>94.9</v>
      </c>
      <c r="J40" s="15">
        <v>498.45</v>
      </c>
      <c r="K40" s="18">
        <v>30600</v>
      </c>
      <c r="L40" s="15">
        <v>59</v>
      </c>
      <c r="M40" s="15">
        <v>-59.25</v>
      </c>
      <c r="N40" s="15">
        <v>24.28</v>
      </c>
      <c r="O40" s="24">
        <v>228000</v>
      </c>
      <c r="P40" s="17">
        <v>401820</v>
      </c>
      <c r="Q40" s="16">
        <v>341463</v>
      </c>
      <c r="R40" s="19" t="s">
        <v>76</v>
      </c>
      <c r="S40" s="20" t="s">
        <v>39</v>
      </c>
      <c r="T40">
        <v>31011.25</v>
      </c>
    </row>
    <row r="41" spans="1:20" x14ac:dyDescent="0.25">
      <c r="A41" t="str">
        <f>(COUNTIF($K$2:K41,K41))&amp;K41</f>
        <v>330700</v>
      </c>
      <c r="B41" s="34" t="s">
        <v>78</v>
      </c>
      <c r="C41" s="13" t="s">
        <v>40</v>
      </c>
      <c r="D41" s="14" t="s">
        <v>76</v>
      </c>
      <c r="E41" s="16">
        <v>45178</v>
      </c>
      <c r="F41" s="17">
        <v>56320</v>
      </c>
      <c r="G41" s="24">
        <v>28120</v>
      </c>
      <c r="H41" s="15">
        <v>19.79</v>
      </c>
      <c r="I41" s="15">
        <v>84.15</v>
      </c>
      <c r="J41" s="15">
        <v>416.6</v>
      </c>
      <c r="K41" s="18">
        <v>30700</v>
      </c>
      <c r="L41" s="15">
        <v>78.8</v>
      </c>
      <c r="M41" s="15">
        <v>-73.400000000000006</v>
      </c>
      <c r="N41" s="15">
        <v>24.03</v>
      </c>
      <c r="O41" s="24">
        <v>313980</v>
      </c>
      <c r="P41" s="17">
        <v>486460</v>
      </c>
      <c r="Q41" s="16">
        <v>402092</v>
      </c>
      <c r="R41" s="19" t="s">
        <v>76</v>
      </c>
      <c r="S41" s="20" t="s">
        <v>39</v>
      </c>
      <c r="T41">
        <v>31011.25</v>
      </c>
    </row>
    <row r="42" spans="1:20" x14ac:dyDescent="0.25">
      <c r="A42" t="str">
        <f>(COUNTIF($K$2:K42,K42))&amp;K42</f>
        <v>330800</v>
      </c>
      <c r="B42" s="34" t="s">
        <v>78</v>
      </c>
      <c r="C42" s="13" t="s">
        <v>40</v>
      </c>
      <c r="D42" s="14" t="s">
        <v>76</v>
      </c>
      <c r="E42" s="16">
        <v>146981</v>
      </c>
      <c r="F42" s="17">
        <v>222420</v>
      </c>
      <c r="G42" s="24">
        <v>79800</v>
      </c>
      <c r="H42" s="15">
        <v>20.46</v>
      </c>
      <c r="I42" s="15">
        <v>68.849999999999994</v>
      </c>
      <c r="J42" s="15">
        <v>342.5</v>
      </c>
      <c r="K42" s="18">
        <v>30800</v>
      </c>
      <c r="L42" s="15">
        <v>104.8</v>
      </c>
      <c r="M42" s="15">
        <v>-86.35</v>
      </c>
      <c r="N42" s="15">
        <v>23.85</v>
      </c>
      <c r="O42" s="24">
        <v>334420</v>
      </c>
      <c r="P42" s="17">
        <v>592060</v>
      </c>
      <c r="Q42" s="16">
        <v>407643</v>
      </c>
      <c r="R42" s="19" t="s">
        <v>76</v>
      </c>
      <c r="S42" s="20" t="s">
        <v>39</v>
      </c>
      <c r="T42">
        <v>31011.25</v>
      </c>
    </row>
    <row r="43" spans="1:20" x14ac:dyDescent="0.25">
      <c r="A43" t="str">
        <f>(COUNTIF($K$2:K43,K43))&amp;K43</f>
        <v>330900</v>
      </c>
      <c r="B43" s="34" t="s">
        <v>78</v>
      </c>
      <c r="C43" s="13" t="s">
        <v>40</v>
      </c>
      <c r="D43" s="14" t="s">
        <v>76</v>
      </c>
      <c r="E43" s="16">
        <v>259624</v>
      </c>
      <c r="F43" s="17">
        <v>401560</v>
      </c>
      <c r="G43" s="24">
        <v>181360</v>
      </c>
      <c r="H43" s="15">
        <v>20.61</v>
      </c>
      <c r="I43" s="15">
        <v>55.25</v>
      </c>
      <c r="J43" s="15">
        <v>276.10000000000002</v>
      </c>
      <c r="K43" s="18">
        <v>30900</v>
      </c>
      <c r="L43" s="15">
        <v>137</v>
      </c>
      <c r="M43" s="15">
        <v>-99.5</v>
      </c>
      <c r="N43" s="15">
        <v>24.05</v>
      </c>
      <c r="O43" s="24">
        <v>316820</v>
      </c>
      <c r="P43" s="17">
        <v>525540</v>
      </c>
      <c r="Q43" s="16">
        <v>351480</v>
      </c>
      <c r="R43" s="19" t="s">
        <v>76</v>
      </c>
      <c r="S43" s="20" t="s">
        <v>39</v>
      </c>
      <c r="T43">
        <v>31011.25</v>
      </c>
    </row>
    <row r="44" spans="1:20" ht="15.75" x14ac:dyDescent="0.25">
      <c r="A44" t="str">
        <f>(COUNTIF($K$2:K44,K44))&amp;K44</f>
        <v>331000</v>
      </c>
      <c r="B44" s="34" t="s">
        <v>78</v>
      </c>
      <c r="C44" s="13" t="s">
        <v>40</v>
      </c>
      <c r="D44" s="14" t="s">
        <v>76</v>
      </c>
      <c r="E44" s="16">
        <v>555104</v>
      </c>
      <c r="F44" s="17">
        <v>1077080</v>
      </c>
      <c r="G44" s="24">
        <v>298820</v>
      </c>
      <c r="H44" s="15">
        <v>20.97</v>
      </c>
      <c r="I44" s="15">
        <v>39.700000000000003</v>
      </c>
      <c r="J44" s="15">
        <v>217.5</v>
      </c>
      <c r="K44" s="21">
        <v>31000</v>
      </c>
      <c r="L44" s="15">
        <v>176.9</v>
      </c>
      <c r="M44" s="15">
        <v>-115.05</v>
      </c>
      <c r="N44" s="15">
        <v>24.06</v>
      </c>
      <c r="O44" s="24">
        <v>321480</v>
      </c>
      <c r="P44" s="17">
        <v>772700</v>
      </c>
      <c r="Q44" s="16">
        <v>333844</v>
      </c>
      <c r="R44" s="19" t="s">
        <v>76</v>
      </c>
      <c r="S44" s="20" t="s">
        <v>39</v>
      </c>
      <c r="T44">
        <v>31011.25</v>
      </c>
    </row>
    <row r="45" spans="1:20" x14ac:dyDescent="0.25">
      <c r="A45" t="str">
        <f>(COUNTIF($K$2:K45,K45))&amp;K45</f>
        <v>331100</v>
      </c>
      <c r="B45" s="34" t="s">
        <v>78</v>
      </c>
      <c r="C45" s="13" t="s">
        <v>40</v>
      </c>
      <c r="D45" s="14" t="s">
        <v>76</v>
      </c>
      <c r="E45" s="16">
        <v>349410</v>
      </c>
      <c r="F45" s="17">
        <v>467200</v>
      </c>
      <c r="G45" s="24">
        <v>97280</v>
      </c>
      <c r="H45" s="15">
        <v>21.21</v>
      </c>
      <c r="I45" s="15">
        <v>29.2</v>
      </c>
      <c r="J45" s="15">
        <v>169.45</v>
      </c>
      <c r="K45" s="18">
        <v>31100</v>
      </c>
      <c r="L45" s="15">
        <v>229</v>
      </c>
      <c r="M45" s="15">
        <v>-124.45</v>
      </c>
      <c r="N45" s="15">
        <v>24.48</v>
      </c>
      <c r="O45" s="24">
        <v>41540</v>
      </c>
      <c r="P45" s="17">
        <v>145800</v>
      </c>
      <c r="Q45" s="16">
        <v>77288</v>
      </c>
      <c r="R45" s="19" t="s">
        <v>76</v>
      </c>
      <c r="S45" s="20" t="s">
        <v>39</v>
      </c>
      <c r="T45">
        <v>31011.25</v>
      </c>
    </row>
    <row r="46" spans="1:20" x14ac:dyDescent="0.25">
      <c r="A46" t="str">
        <f>(COUNTIF($K$2:K46,K46))&amp;K46</f>
        <v>331200</v>
      </c>
      <c r="B46" s="34" t="s">
        <v>78</v>
      </c>
      <c r="C46" s="13" t="s">
        <v>40</v>
      </c>
      <c r="D46" s="14" t="s">
        <v>76</v>
      </c>
      <c r="E46" s="16">
        <v>532654</v>
      </c>
      <c r="F46" s="17">
        <v>690720</v>
      </c>
      <c r="G46" s="24">
        <v>131320</v>
      </c>
      <c r="H46" s="15">
        <v>21.39</v>
      </c>
      <c r="I46" s="15">
        <v>17.850000000000001</v>
      </c>
      <c r="J46" s="15">
        <v>128.69999999999999</v>
      </c>
      <c r="K46" s="18">
        <v>31200</v>
      </c>
      <c r="L46" s="15">
        <v>290.35000000000002</v>
      </c>
      <c r="M46" s="15">
        <v>-134.9</v>
      </c>
      <c r="N46" s="15">
        <v>24.69</v>
      </c>
      <c r="O46" s="24">
        <v>10440</v>
      </c>
      <c r="P46" s="17">
        <v>115540</v>
      </c>
      <c r="Q46" s="16">
        <v>40724</v>
      </c>
      <c r="R46" s="19" t="s">
        <v>76</v>
      </c>
      <c r="S46" s="20" t="s">
        <v>39</v>
      </c>
      <c r="T46">
        <v>31011.25</v>
      </c>
    </row>
    <row r="47" spans="1:20" x14ac:dyDescent="0.25">
      <c r="A47" t="str">
        <f>(COUNTIF($K$2:K47,K47))&amp;K47</f>
        <v>331300</v>
      </c>
      <c r="B47" s="34" t="s">
        <v>78</v>
      </c>
      <c r="C47" s="13" t="s">
        <v>40</v>
      </c>
      <c r="D47" s="14" t="s">
        <v>76</v>
      </c>
      <c r="E47" s="16">
        <v>374133</v>
      </c>
      <c r="F47" s="17">
        <v>599180</v>
      </c>
      <c r="G47" s="24">
        <v>151500</v>
      </c>
      <c r="H47" s="15">
        <v>21.55</v>
      </c>
      <c r="I47" s="15">
        <v>11.15</v>
      </c>
      <c r="J47" s="15">
        <v>96.7</v>
      </c>
      <c r="K47" s="18">
        <v>31300</v>
      </c>
      <c r="L47" s="15">
        <v>358.1</v>
      </c>
      <c r="M47" s="15">
        <v>-150.6</v>
      </c>
      <c r="N47" s="15">
        <v>25.78</v>
      </c>
      <c r="O47" s="24">
        <v>-16040</v>
      </c>
      <c r="P47" s="17">
        <v>87140</v>
      </c>
      <c r="Q47" s="16">
        <v>10884</v>
      </c>
      <c r="R47" s="19" t="s">
        <v>77</v>
      </c>
      <c r="S47" s="20" t="s">
        <v>37</v>
      </c>
      <c r="T47">
        <v>31011.25</v>
      </c>
    </row>
    <row r="48" spans="1:20" x14ac:dyDescent="0.25">
      <c r="A48" t="str">
        <f>(COUNTIF($K$2:K48,K48))&amp;K48</f>
        <v>331400</v>
      </c>
      <c r="B48" s="34" t="s">
        <v>78</v>
      </c>
      <c r="C48" s="13" t="s">
        <v>40</v>
      </c>
      <c r="D48" s="14" t="s">
        <v>76</v>
      </c>
      <c r="E48" s="16">
        <v>335454</v>
      </c>
      <c r="F48" s="17">
        <v>551600</v>
      </c>
      <c r="G48" s="24">
        <v>158440</v>
      </c>
      <c r="H48" s="15">
        <v>21.66</v>
      </c>
      <c r="I48" s="15">
        <v>4.8</v>
      </c>
      <c r="J48" s="15">
        <v>70.650000000000006</v>
      </c>
      <c r="K48" s="18">
        <v>31400</v>
      </c>
      <c r="L48" s="15">
        <v>431.8</v>
      </c>
      <c r="M48" s="15">
        <v>-150.15</v>
      </c>
      <c r="N48" s="15">
        <v>25.51</v>
      </c>
      <c r="O48" s="24">
        <v>4280</v>
      </c>
      <c r="P48" s="17">
        <v>54760</v>
      </c>
      <c r="Q48" s="16">
        <v>3814</v>
      </c>
      <c r="R48" s="19" t="s">
        <v>76</v>
      </c>
      <c r="S48" s="20" t="s">
        <v>39</v>
      </c>
      <c r="T48">
        <v>31011.25</v>
      </c>
    </row>
    <row r="49" spans="1:20" x14ac:dyDescent="0.25">
      <c r="A49" t="str">
        <f>(COUNTIF($K$2:K49,K49))&amp;K49</f>
        <v>331500</v>
      </c>
      <c r="B49" s="34" t="s">
        <v>78</v>
      </c>
      <c r="C49" s="13" t="s">
        <v>40</v>
      </c>
      <c r="D49" s="14" t="s">
        <v>76</v>
      </c>
      <c r="E49" s="16">
        <v>492426</v>
      </c>
      <c r="F49" s="17">
        <v>1421160</v>
      </c>
      <c r="G49" s="24">
        <v>226800</v>
      </c>
      <c r="H49" s="15">
        <v>22.04</v>
      </c>
      <c r="I49" s="15">
        <v>1.25</v>
      </c>
      <c r="J49" s="15">
        <v>51.2</v>
      </c>
      <c r="K49" s="18">
        <v>31500</v>
      </c>
      <c r="L49" s="15">
        <v>518</v>
      </c>
      <c r="M49" s="15">
        <v>-149.30000000000001</v>
      </c>
      <c r="N49" s="15">
        <v>28.05</v>
      </c>
      <c r="O49" s="24">
        <v>3740</v>
      </c>
      <c r="P49" s="17">
        <v>471840</v>
      </c>
      <c r="Q49" s="16">
        <v>6111</v>
      </c>
      <c r="R49" s="19" t="s">
        <v>76</v>
      </c>
      <c r="S49" s="20" t="s">
        <v>39</v>
      </c>
      <c r="T49">
        <v>31011.25</v>
      </c>
    </row>
    <row r="50" spans="1:20" x14ac:dyDescent="0.25">
      <c r="A50" t="str">
        <f>(COUNTIF($K$2:K50,K50))&amp;K50</f>
        <v>331600</v>
      </c>
      <c r="B50" s="34" t="s">
        <v>78</v>
      </c>
      <c r="C50" s="13" t="s">
        <v>39</v>
      </c>
      <c r="D50" s="14" t="s">
        <v>76</v>
      </c>
      <c r="E50" s="16">
        <v>193767</v>
      </c>
      <c r="F50" s="17">
        <v>360020</v>
      </c>
      <c r="G50" s="24">
        <v>75800</v>
      </c>
      <c r="H50" s="15">
        <v>22.28</v>
      </c>
      <c r="I50" s="15">
        <v>-1.75</v>
      </c>
      <c r="J50" s="15">
        <v>36</v>
      </c>
      <c r="K50" s="18">
        <v>31600</v>
      </c>
      <c r="L50" s="15">
        <v>590</v>
      </c>
      <c r="M50" s="15">
        <v>-170.85</v>
      </c>
      <c r="N50" s="15">
        <v>26.66</v>
      </c>
      <c r="O50" s="24">
        <v>20</v>
      </c>
      <c r="P50" s="17">
        <v>17680</v>
      </c>
      <c r="Q50" s="16">
        <v>266</v>
      </c>
      <c r="R50" s="19" t="s">
        <v>76</v>
      </c>
      <c r="S50" s="20" t="s">
        <v>39</v>
      </c>
      <c r="T50">
        <v>31011.25</v>
      </c>
    </row>
    <row r="51" spans="1:20" x14ac:dyDescent="0.25">
      <c r="A51" t="str">
        <f>(COUNTIF($K$2:K51,K51))&amp;K51</f>
        <v>331700</v>
      </c>
      <c r="B51" s="34" t="s">
        <v>78</v>
      </c>
      <c r="C51" s="13" t="s">
        <v>39</v>
      </c>
      <c r="D51" s="14" t="s">
        <v>76</v>
      </c>
      <c r="E51" s="16">
        <v>127303</v>
      </c>
      <c r="F51" s="17">
        <v>369520</v>
      </c>
      <c r="G51" s="24">
        <v>11560</v>
      </c>
      <c r="H51" s="15">
        <v>22.71</v>
      </c>
      <c r="I51" s="15">
        <v>-2.25</v>
      </c>
      <c r="J51" s="15">
        <v>25.9</v>
      </c>
      <c r="K51" s="18">
        <v>31700</v>
      </c>
      <c r="L51" s="15">
        <v>670</v>
      </c>
      <c r="M51" s="15">
        <v>-173.7</v>
      </c>
      <c r="N51" s="15">
        <v>29.09</v>
      </c>
      <c r="O51" s="24">
        <v>-1100</v>
      </c>
      <c r="P51" s="17">
        <v>10240</v>
      </c>
      <c r="Q51" s="16">
        <v>298</v>
      </c>
      <c r="R51" s="19" t="s">
        <v>77</v>
      </c>
      <c r="S51" s="20" t="s">
        <v>37</v>
      </c>
      <c r="T51">
        <v>31011.25</v>
      </c>
    </row>
    <row r="52" spans="1:20" x14ac:dyDescent="0.25">
      <c r="A52" t="str">
        <f>(COUNTIF($K$2:K52,K52))&amp;K52</f>
        <v>3PCR</v>
      </c>
      <c r="B52" s="34" t="s">
        <v>78</v>
      </c>
      <c r="C52" s="41">
        <v>0.85064246625782447</v>
      </c>
      <c r="E52" s="33"/>
      <c r="F52" s="39">
        <v>6300720</v>
      </c>
      <c r="G52" s="40"/>
      <c r="H52" s="38"/>
      <c r="I52" s="38"/>
      <c r="J52" s="38"/>
      <c r="K52" s="56" t="s">
        <v>57</v>
      </c>
      <c r="L52" s="38"/>
      <c r="M52" s="38"/>
      <c r="N52" s="38"/>
      <c r="P52" s="40">
        <v>5359660</v>
      </c>
      <c r="Q52" s="33"/>
      <c r="R52" s="38"/>
      <c r="S52" s="38"/>
    </row>
    <row r="53" spans="1:20" x14ac:dyDescent="0.25">
      <c r="A53" t="str">
        <f>(COUNTIF($K$2:K53,K53))&amp;K53</f>
        <v>430200</v>
      </c>
      <c r="B53" s="34" t="s">
        <v>78</v>
      </c>
      <c r="C53" s="13" t="s">
        <v>74</v>
      </c>
      <c r="D53" s="14" t="s">
        <v>76</v>
      </c>
      <c r="E53" s="16">
        <v>165</v>
      </c>
      <c r="F53" s="17">
        <v>1440</v>
      </c>
      <c r="G53" s="24">
        <v>1020</v>
      </c>
      <c r="H53" s="15" t="s">
        <v>14</v>
      </c>
      <c r="I53" s="15">
        <v>129.05000000000001</v>
      </c>
      <c r="J53" s="15">
        <v>850</v>
      </c>
      <c r="K53" s="18">
        <v>30200</v>
      </c>
      <c r="L53" s="15">
        <v>18.100000000000001</v>
      </c>
      <c r="M53" s="15">
        <v>-22.05</v>
      </c>
      <c r="N53" s="15">
        <v>25.27</v>
      </c>
      <c r="O53" s="24">
        <v>56440</v>
      </c>
      <c r="P53" s="17">
        <v>270500</v>
      </c>
      <c r="Q53" s="16">
        <v>144864</v>
      </c>
      <c r="R53" s="19" t="s">
        <v>76</v>
      </c>
      <c r="S53" s="20" t="s">
        <v>39</v>
      </c>
      <c r="T53">
        <v>31011.25</v>
      </c>
    </row>
    <row r="54" spans="1:20" x14ac:dyDescent="0.25">
      <c r="A54" t="str">
        <f>(COUNTIF($K$2:K54,K54))&amp;K54</f>
        <v>430300</v>
      </c>
      <c r="B54" s="34" t="s">
        <v>78</v>
      </c>
      <c r="C54" s="13" t="s">
        <v>40</v>
      </c>
      <c r="D54" s="14" t="s">
        <v>76</v>
      </c>
      <c r="E54" s="16">
        <v>586</v>
      </c>
      <c r="F54" s="17">
        <v>5000</v>
      </c>
      <c r="G54" s="24">
        <v>2840</v>
      </c>
      <c r="H54" s="15" t="s">
        <v>14</v>
      </c>
      <c r="I54" s="15">
        <v>170.35</v>
      </c>
      <c r="J54" s="15">
        <v>800</v>
      </c>
      <c r="K54" s="18">
        <v>30300</v>
      </c>
      <c r="L54" s="15">
        <v>23.6</v>
      </c>
      <c r="M54" s="15">
        <v>-29.05</v>
      </c>
      <c r="N54" s="15">
        <v>24.8</v>
      </c>
      <c r="O54" s="24">
        <v>88720</v>
      </c>
      <c r="P54" s="17">
        <v>235020</v>
      </c>
      <c r="Q54" s="16">
        <v>187074</v>
      </c>
      <c r="R54" s="19" t="s">
        <v>76</v>
      </c>
      <c r="S54" s="20" t="s">
        <v>39</v>
      </c>
      <c r="T54">
        <v>31011.25</v>
      </c>
    </row>
    <row r="55" spans="1:20" x14ac:dyDescent="0.25">
      <c r="A55" t="str">
        <f>(COUNTIF($K$2:K55,K55))&amp;K55</f>
        <v>430400</v>
      </c>
      <c r="B55" s="34" t="s">
        <v>78</v>
      </c>
      <c r="C55" s="13" t="s">
        <v>40</v>
      </c>
      <c r="D55" s="14" t="s">
        <v>76</v>
      </c>
      <c r="E55" s="16">
        <v>871</v>
      </c>
      <c r="F55" s="17">
        <v>2160</v>
      </c>
      <c r="G55" s="24">
        <v>760</v>
      </c>
      <c r="H55" s="15">
        <v>18.75</v>
      </c>
      <c r="I55" s="15">
        <v>134.80000000000001</v>
      </c>
      <c r="J55" s="15">
        <v>688.15</v>
      </c>
      <c r="K55" s="18">
        <v>30400</v>
      </c>
      <c r="L55" s="15">
        <v>32.15</v>
      </c>
      <c r="M55" s="15">
        <v>-37.6</v>
      </c>
      <c r="N55" s="15">
        <v>24.54</v>
      </c>
      <c r="O55" s="24">
        <v>151920</v>
      </c>
      <c r="P55" s="17">
        <v>283240</v>
      </c>
      <c r="Q55" s="16">
        <v>272863</v>
      </c>
      <c r="R55" s="19" t="s">
        <v>76</v>
      </c>
      <c r="S55" s="20" t="s">
        <v>39</v>
      </c>
      <c r="T55">
        <v>31011.25</v>
      </c>
    </row>
    <row r="56" spans="1:20" x14ac:dyDescent="0.25">
      <c r="A56" t="str">
        <f>(COUNTIF($K$2:K56,K56))&amp;K56</f>
        <v>430500</v>
      </c>
      <c r="B56" s="34" t="s">
        <v>78</v>
      </c>
      <c r="C56" s="13" t="s">
        <v>40</v>
      </c>
      <c r="D56" s="14" t="s">
        <v>76</v>
      </c>
      <c r="E56" s="16">
        <v>12290</v>
      </c>
      <c r="F56" s="17">
        <v>55180</v>
      </c>
      <c r="G56" s="24">
        <v>7160</v>
      </c>
      <c r="H56" s="15">
        <v>18.89</v>
      </c>
      <c r="I56" s="15">
        <v>111.45</v>
      </c>
      <c r="J56" s="15">
        <v>585</v>
      </c>
      <c r="K56" s="18">
        <v>30500</v>
      </c>
      <c r="L56" s="15">
        <v>43.85</v>
      </c>
      <c r="M56" s="15">
        <v>-48.4</v>
      </c>
      <c r="N56" s="15">
        <v>24.42</v>
      </c>
      <c r="O56" s="24">
        <v>350980</v>
      </c>
      <c r="P56" s="17">
        <v>889320</v>
      </c>
      <c r="Q56" s="16">
        <v>588620</v>
      </c>
      <c r="R56" s="19" t="s">
        <v>76</v>
      </c>
      <c r="S56" s="20" t="s">
        <v>39</v>
      </c>
      <c r="T56">
        <v>31011.25</v>
      </c>
    </row>
    <row r="57" spans="1:20" x14ac:dyDescent="0.25">
      <c r="A57" t="str">
        <f>(COUNTIF($K$2:K57,K57))&amp;K57</f>
        <v>430600</v>
      </c>
      <c r="B57" s="34" t="s">
        <v>78</v>
      </c>
      <c r="C57" s="13" t="s">
        <v>40</v>
      </c>
      <c r="D57" s="14" t="s">
        <v>76</v>
      </c>
      <c r="E57" s="16">
        <v>9980</v>
      </c>
      <c r="F57" s="17">
        <v>20160</v>
      </c>
      <c r="G57" s="24">
        <v>3780</v>
      </c>
      <c r="H57" s="15">
        <v>19.420000000000002</v>
      </c>
      <c r="I57" s="15">
        <v>94.9</v>
      </c>
      <c r="J57" s="15">
        <v>498.45</v>
      </c>
      <c r="K57" s="18">
        <v>30600</v>
      </c>
      <c r="L57" s="15">
        <v>59</v>
      </c>
      <c r="M57" s="15">
        <v>-59.25</v>
      </c>
      <c r="N57" s="15">
        <v>24.28</v>
      </c>
      <c r="O57" s="24">
        <v>228000</v>
      </c>
      <c r="P57" s="17">
        <v>401820</v>
      </c>
      <c r="Q57" s="16">
        <v>341463</v>
      </c>
      <c r="R57" s="19" t="s">
        <v>76</v>
      </c>
      <c r="S57" s="20" t="s">
        <v>39</v>
      </c>
      <c r="T57">
        <v>31011.25</v>
      </c>
    </row>
    <row r="58" spans="1:20" x14ac:dyDescent="0.25">
      <c r="A58" t="str">
        <f>(COUNTIF($K$2:K58,K58))&amp;K58</f>
        <v>430700</v>
      </c>
      <c r="B58" s="34" t="s">
        <v>78</v>
      </c>
      <c r="C58" s="13" t="s">
        <v>40</v>
      </c>
      <c r="D58" s="14" t="s">
        <v>76</v>
      </c>
      <c r="E58" s="16">
        <v>45178</v>
      </c>
      <c r="F58" s="17">
        <v>56320</v>
      </c>
      <c r="G58" s="24">
        <v>28120</v>
      </c>
      <c r="H58" s="15">
        <v>19.79</v>
      </c>
      <c r="I58" s="15">
        <v>84.15</v>
      </c>
      <c r="J58" s="15">
        <v>416.6</v>
      </c>
      <c r="K58" s="18">
        <v>30700</v>
      </c>
      <c r="L58" s="15">
        <v>78.8</v>
      </c>
      <c r="M58" s="15">
        <v>-73.400000000000006</v>
      </c>
      <c r="N58" s="15">
        <v>24.03</v>
      </c>
      <c r="O58" s="24">
        <v>313980</v>
      </c>
      <c r="P58" s="17">
        <v>486460</v>
      </c>
      <c r="Q58" s="16">
        <v>402092</v>
      </c>
      <c r="R58" s="19" t="s">
        <v>76</v>
      </c>
      <c r="S58" s="20" t="s">
        <v>39</v>
      </c>
      <c r="T58">
        <v>31011.25</v>
      </c>
    </row>
    <row r="59" spans="1:20" x14ac:dyDescent="0.25">
      <c r="A59" t="str">
        <f>(COUNTIF($K$2:K59,K59))&amp;K59</f>
        <v>430800</v>
      </c>
      <c r="B59" s="34" t="s">
        <v>78</v>
      </c>
      <c r="C59" s="13" t="s">
        <v>40</v>
      </c>
      <c r="D59" s="14" t="s">
        <v>76</v>
      </c>
      <c r="E59" s="16">
        <v>146981</v>
      </c>
      <c r="F59" s="17">
        <v>222420</v>
      </c>
      <c r="G59" s="24">
        <v>79800</v>
      </c>
      <c r="H59" s="15">
        <v>20.46</v>
      </c>
      <c r="I59" s="15">
        <v>68.849999999999994</v>
      </c>
      <c r="J59" s="15">
        <v>342.5</v>
      </c>
      <c r="K59" s="18">
        <v>30800</v>
      </c>
      <c r="L59" s="15">
        <v>104.8</v>
      </c>
      <c r="M59" s="15">
        <v>-86.35</v>
      </c>
      <c r="N59" s="15">
        <v>23.85</v>
      </c>
      <c r="O59" s="24">
        <v>334420</v>
      </c>
      <c r="P59" s="17">
        <v>592060</v>
      </c>
      <c r="Q59" s="16">
        <v>407643</v>
      </c>
      <c r="R59" s="19" t="s">
        <v>76</v>
      </c>
      <c r="S59" s="20" t="s">
        <v>39</v>
      </c>
      <c r="T59">
        <v>31011.25</v>
      </c>
    </row>
    <row r="60" spans="1:20" x14ac:dyDescent="0.25">
      <c r="A60" t="str">
        <f>(COUNTIF($K$2:K60,K60))&amp;K60</f>
        <v>430900</v>
      </c>
      <c r="B60" s="34" t="s">
        <v>78</v>
      </c>
      <c r="C60" s="13" t="s">
        <v>40</v>
      </c>
      <c r="D60" s="14" t="s">
        <v>76</v>
      </c>
      <c r="E60" s="16">
        <v>259624</v>
      </c>
      <c r="F60" s="17">
        <v>401560</v>
      </c>
      <c r="G60" s="24">
        <v>181360</v>
      </c>
      <c r="H60" s="15">
        <v>20.61</v>
      </c>
      <c r="I60" s="15">
        <v>55.25</v>
      </c>
      <c r="J60" s="15">
        <v>276.10000000000002</v>
      </c>
      <c r="K60" s="18">
        <v>30900</v>
      </c>
      <c r="L60" s="15">
        <v>137</v>
      </c>
      <c r="M60" s="15">
        <v>-99.5</v>
      </c>
      <c r="N60" s="15">
        <v>24.05</v>
      </c>
      <c r="O60" s="24">
        <v>316820</v>
      </c>
      <c r="P60" s="17">
        <v>525540</v>
      </c>
      <c r="Q60" s="16">
        <v>351480</v>
      </c>
      <c r="R60" s="19" t="s">
        <v>76</v>
      </c>
      <c r="S60" s="20" t="s">
        <v>39</v>
      </c>
      <c r="T60">
        <v>31011.25</v>
      </c>
    </row>
    <row r="61" spans="1:20" ht="15.75" x14ac:dyDescent="0.25">
      <c r="A61" t="str">
        <f>(COUNTIF($K$2:K61,K61))&amp;K61</f>
        <v>431000</v>
      </c>
      <c r="B61" s="34" t="s">
        <v>78</v>
      </c>
      <c r="C61" s="13" t="s">
        <v>40</v>
      </c>
      <c r="D61" s="14" t="s">
        <v>76</v>
      </c>
      <c r="E61" s="16">
        <v>555104</v>
      </c>
      <c r="F61" s="17">
        <v>1077080</v>
      </c>
      <c r="G61" s="24">
        <v>298820</v>
      </c>
      <c r="H61" s="15">
        <v>20.97</v>
      </c>
      <c r="I61" s="15">
        <v>39.700000000000003</v>
      </c>
      <c r="J61" s="15">
        <v>217.5</v>
      </c>
      <c r="K61" s="21">
        <v>31000</v>
      </c>
      <c r="L61" s="15">
        <v>176.9</v>
      </c>
      <c r="M61" s="15">
        <v>-115.05</v>
      </c>
      <c r="N61" s="15">
        <v>24.06</v>
      </c>
      <c r="O61" s="24">
        <v>321480</v>
      </c>
      <c r="P61" s="17">
        <v>772700</v>
      </c>
      <c r="Q61" s="16">
        <v>333844</v>
      </c>
      <c r="R61" s="19" t="s">
        <v>76</v>
      </c>
      <c r="S61" s="20" t="s">
        <v>39</v>
      </c>
      <c r="T61">
        <v>31011.25</v>
      </c>
    </row>
    <row r="62" spans="1:20" x14ac:dyDescent="0.25">
      <c r="A62" t="str">
        <f>(COUNTIF($K$2:K62,K62))&amp;K62</f>
        <v>431100</v>
      </c>
      <c r="B62" s="34" t="s">
        <v>78</v>
      </c>
      <c r="C62" s="13" t="s">
        <v>40</v>
      </c>
      <c r="D62" s="14" t="s">
        <v>76</v>
      </c>
      <c r="E62" s="16">
        <v>349410</v>
      </c>
      <c r="F62" s="17">
        <v>467200</v>
      </c>
      <c r="G62" s="24">
        <v>97280</v>
      </c>
      <c r="H62" s="15">
        <v>21.21</v>
      </c>
      <c r="I62" s="15">
        <v>29.2</v>
      </c>
      <c r="J62" s="15">
        <v>169.45</v>
      </c>
      <c r="K62" s="18">
        <v>31100</v>
      </c>
      <c r="L62" s="15">
        <v>229</v>
      </c>
      <c r="M62" s="15">
        <v>-124.45</v>
      </c>
      <c r="N62" s="15">
        <v>24.48</v>
      </c>
      <c r="O62" s="24">
        <v>41540</v>
      </c>
      <c r="P62" s="17">
        <v>145800</v>
      </c>
      <c r="Q62" s="16">
        <v>77288</v>
      </c>
      <c r="R62" s="19" t="s">
        <v>76</v>
      </c>
      <c r="S62" s="20" t="s">
        <v>39</v>
      </c>
      <c r="T62">
        <v>31011.25</v>
      </c>
    </row>
    <row r="63" spans="1:20" x14ac:dyDescent="0.25">
      <c r="A63" t="str">
        <f>(COUNTIF($K$2:K63,K63))&amp;K63</f>
        <v>431200</v>
      </c>
      <c r="B63" s="34" t="s">
        <v>78</v>
      </c>
      <c r="C63" s="13" t="s">
        <v>40</v>
      </c>
      <c r="D63" s="14" t="s">
        <v>76</v>
      </c>
      <c r="E63" s="16">
        <v>532654</v>
      </c>
      <c r="F63" s="17">
        <v>690720</v>
      </c>
      <c r="G63" s="24">
        <v>131320</v>
      </c>
      <c r="H63" s="15">
        <v>21.39</v>
      </c>
      <c r="I63" s="15">
        <v>17.850000000000001</v>
      </c>
      <c r="J63" s="15">
        <v>128.69999999999999</v>
      </c>
      <c r="K63" s="18">
        <v>31200</v>
      </c>
      <c r="L63" s="15">
        <v>290.35000000000002</v>
      </c>
      <c r="M63" s="15">
        <v>-134.9</v>
      </c>
      <c r="N63" s="15">
        <v>24.69</v>
      </c>
      <c r="O63" s="24">
        <v>10440</v>
      </c>
      <c r="P63" s="17">
        <v>115540</v>
      </c>
      <c r="Q63" s="16">
        <v>40724</v>
      </c>
      <c r="R63" s="19" t="s">
        <v>76</v>
      </c>
      <c r="S63" s="20" t="s">
        <v>39</v>
      </c>
      <c r="T63">
        <v>31011.25</v>
      </c>
    </row>
    <row r="64" spans="1:20" x14ac:dyDescent="0.25">
      <c r="A64" t="str">
        <f>(COUNTIF($K$2:K64,K64))&amp;K64</f>
        <v>431300</v>
      </c>
      <c r="B64" s="34" t="s">
        <v>78</v>
      </c>
      <c r="C64" s="13" t="s">
        <v>40</v>
      </c>
      <c r="D64" s="14" t="s">
        <v>76</v>
      </c>
      <c r="E64" s="16">
        <v>374133</v>
      </c>
      <c r="F64" s="17">
        <v>599180</v>
      </c>
      <c r="G64" s="24">
        <v>151500</v>
      </c>
      <c r="H64" s="15">
        <v>21.55</v>
      </c>
      <c r="I64" s="15">
        <v>11.15</v>
      </c>
      <c r="J64" s="15">
        <v>96.7</v>
      </c>
      <c r="K64" s="18">
        <v>31300</v>
      </c>
      <c r="L64" s="15">
        <v>358.1</v>
      </c>
      <c r="M64" s="15">
        <v>-150.6</v>
      </c>
      <c r="N64" s="15">
        <v>25.78</v>
      </c>
      <c r="O64" s="24">
        <v>-16040</v>
      </c>
      <c r="P64" s="17">
        <v>87140</v>
      </c>
      <c r="Q64" s="16">
        <v>10884</v>
      </c>
      <c r="R64" s="19" t="s">
        <v>77</v>
      </c>
      <c r="S64" s="20" t="s">
        <v>37</v>
      </c>
      <c r="T64">
        <v>31011.25</v>
      </c>
    </row>
    <row r="65" spans="1:20" x14ac:dyDescent="0.25">
      <c r="A65" t="str">
        <f>(COUNTIF($K$2:K65,K65))&amp;K65</f>
        <v>431400</v>
      </c>
      <c r="B65" s="34" t="s">
        <v>78</v>
      </c>
      <c r="C65" s="13" t="s">
        <v>40</v>
      </c>
      <c r="D65" s="14" t="s">
        <v>76</v>
      </c>
      <c r="E65" s="16">
        <v>335454</v>
      </c>
      <c r="F65" s="17">
        <v>551600</v>
      </c>
      <c r="G65" s="24">
        <v>158440</v>
      </c>
      <c r="H65" s="15">
        <v>21.66</v>
      </c>
      <c r="I65" s="15">
        <v>4.8</v>
      </c>
      <c r="J65" s="15">
        <v>70.650000000000006</v>
      </c>
      <c r="K65" s="18">
        <v>31400</v>
      </c>
      <c r="L65" s="15">
        <v>431.8</v>
      </c>
      <c r="M65" s="15">
        <v>-150.15</v>
      </c>
      <c r="N65" s="15">
        <v>25.51</v>
      </c>
      <c r="O65" s="24">
        <v>4280</v>
      </c>
      <c r="P65" s="17">
        <v>54760</v>
      </c>
      <c r="Q65" s="16">
        <v>3814</v>
      </c>
      <c r="R65" s="19" t="s">
        <v>76</v>
      </c>
      <c r="S65" s="20" t="s">
        <v>39</v>
      </c>
      <c r="T65">
        <v>31011.25</v>
      </c>
    </row>
    <row r="66" spans="1:20" x14ac:dyDescent="0.25">
      <c r="A66" t="str">
        <f>(COUNTIF($K$2:K66,K66))&amp;K66</f>
        <v>431500</v>
      </c>
      <c r="B66" s="34" t="s">
        <v>78</v>
      </c>
      <c r="C66" s="13" t="s">
        <v>40</v>
      </c>
      <c r="D66" s="14" t="s">
        <v>76</v>
      </c>
      <c r="E66" s="16">
        <v>492426</v>
      </c>
      <c r="F66" s="17">
        <v>1421160</v>
      </c>
      <c r="G66" s="24">
        <v>226800</v>
      </c>
      <c r="H66" s="15">
        <v>22.04</v>
      </c>
      <c r="I66" s="15">
        <v>1.25</v>
      </c>
      <c r="J66" s="15">
        <v>51.2</v>
      </c>
      <c r="K66" s="18">
        <v>31500</v>
      </c>
      <c r="L66" s="15">
        <v>518</v>
      </c>
      <c r="M66" s="15">
        <v>-149.30000000000001</v>
      </c>
      <c r="N66" s="15">
        <v>28.05</v>
      </c>
      <c r="O66" s="24">
        <v>3740</v>
      </c>
      <c r="P66" s="17">
        <v>471840</v>
      </c>
      <c r="Q66" s="16">
        <v>6111</v>
      </c>
      <c r="R66" s="19" t="s">
        <v>76</v>
      </c>
      <c r="S66" s="20" t="s">
        <v>39</v>
      </c>
      <c r="T66">
        <v>31011.25</v>
      </c>
    </row>
    <row r="67" spans="1:20" x14ac:dyDescent="0.25">
      <c r="A67" t="str">
        <f>(COUNTIF($K$2:K67,K67))&amp;K67</f>
        <v>431600</v>
      </c>
      <c r="B67" s="34" t="s">
        <v>78</v>
      </c>
      <c r="C67" s="13" t="s">
        <v>39</v>
      </c>
      <c r="D67" s="14" t="s">
        <v>76</v>
      </c>
      <c r="E67" s="16">
        <v>193767</v>
      </c>
      <c r="F67" s="17">
        <v>360020</v>
      </c>
      <c r="G67" s="24">
        <v>75800</v>
      </c>
      <c r="H67" s="15">
        <v>22.28</v>
      </c>
      <c r="I67" s="15">
        <v>-1.75</v>
      </c>
      <c r="J67" s="15">
        <v>36</v>
      </c>
      <c r="K67" s="18">
        <v>31600</v>
      </c>
      <c r="L67" s="15">
        <v>590</v>
      </c>
      <c r="M67" s="15">
        <v>-170.85</v>
      </c>
      <c r="N67" s="15">
        <v>26.66</v>
      </c>
      <c r="O67" s="24">
        <v>20</v>
      </c>
      <c r="P67" s="17">
        <v>17680</v>
      </c>
      <c r="Q67" s="16">
        <v>266</v>
      </c>
      <c r="R67" s="19" t="s">
        <v>76</v>
      </c>
      <c r="S67" s="20" t="s">
        <v>39</v>
      </c>
      <c r="T67">
        <v>31011.25</v>
      </c>
    </row>
    <row r="68" spans="1:20" x14ac:dyDescent="0.25">
      <c r="A68" t="str">
        <f>(COUNTIF($K$2:K68,K68))&amp;K68</f>
        <v>431700</v>
      </c>
      <c r="B68" s="34" t="s">
        <v>78</v>
      </c>
      <c r="C68" s="13" t="s">
        <v>39</v>
      </c>
      <c r="D68" s="14" t="s">
        <v>76</v>
      </c>
      <c r="E68" s="16">
        <v>127303</v>
      </c>
      <c r="F68" s="17">
        <v>369520</v>
      </c>
      <c r="G68" s="24">
        <v>11560</v>
      </c>
      <c r="H68" s="15">
        <v>22.71</v>
      </c>
      <c r="I68" s="15">
        <v>-2.25</v>
      </c>
      <c r="J68" s="15">
        <v>25.9</v>
      </c>
      <c r="K68" s="18">
        <v>31700</v>
      </c>
      <c r="L68" s="15">
        <v>670</v>
      </c>
      <c r="M68" s="15">
        <v>-173.7</v>
      </c>
      <c r="N68" s="15">
        <v>29.09</v>
      </c>
      <c r="O68" s="24">
        <v>-1100</v>
      </c>
      <c r="P68" s="17">
        <v>10240</v>
      </c>
      <c r="Q68" s="16">
        <v>298</v>
      </c>
      <c r="R68" s="19" t="s">
        <v>77</v>
      </c>
      <c r="S68" s="20" t="s">
        <v>37</v>
      </c>
      <c r="T68">
        <v>31011.25</v>
      </c>
    </row>
    <row r="69" spans="1:20" x14ac:dyDescent="0.25">
      <c r="A69" t="str">
        <f>(COUNTIF($K$2:K69,K69))&amp;K69</f>
        <v>4PCR</v>
      </c>
      <c r="B69" s="34" t="s">
        <v>78</v>
      </c>
      <c r="C69" s="41">
        <v>0.85064246625782447</v>
      </c>
      <c r="E69" s="33"/>
      <c r="F69" s="39">
        <v>6300720</v>
      </c>
      <c r="G69" s="40"/>
      <c r="H69" s="38"/>
      <c r="I69" s="38"/>
      <c r="J69" s="38"/>
      <c r="K69" s="56" t="s">
        <v>57</v>
      </c>
      <c r="L69" s="38"/>
      <c r="M69" s="38"/>
      <c r="N69" s="38"/>
      <c r="P69" s="40">
        <v>5359660</v>
      </c>
      <c r="Q69" s="33"/>
      <c r="R69" s="38"/>
      <c r="S69" s="38"/>
    </row>
    <row r="70" spans="1:20" x14ac:dyDescent="0.25">
      <c r="A70" t="str">
        <f>(COUNTIF($K$2:K70,K70))&amp;K70</f>
        <v>530200</v>
      </c>
      <c r="B70" s="34" t="s">
        <v>79</v>
      </c>
      <c r="C70" s="13" t="s">
        <v>74</v>
      </c>
      <c r="D70" s="14" t="s">
        <v>76</v>
      </c>
      <c r="E70" s="16">
        <v>165</v>
      </c>
      <c r="F70" s="17">
        <v>1440</v>
      </c>
      <c r="G70" s="24">
        <v>1020</v>
      </c>
      <c r="H70" s="15" t="s">
        <v>14</v>
      </c>
      <c r="I70" s="15">
        <v>129.05000000000001</v>
      </c>
      <c r="J70" s="15">
        <v>850</v>
      </c>
      <c r="K70" s="18">
        <v>30200</v>
      </c>
      <c r="L70" s="15">
        <v>18.350000000000001</v>
      </c>
      <c r="M70" s="15">
        <v>-21.8</v>
      </c>
      <c r="N70" s="15">
        <v>25.27</v>
      </c>
      <c r="O70" s="24">
        <v>49560</v>
      </c>
      <c r="P70" s="17">
        <v>263620</v>
      </c>
      <c r="Q70" s="16">
        <v>146607</v>
      </c>
      <c r="R70" s="19" t="s">
        <v>76</v>
      </c>
      <c r="S70" s="20" t="s">
        <v>39</v>
      </c>
      <c r="T70">
        <v>31006.15</v>
      </c>
    </row>
    <row r="71" spans="1:20" x14ac:dyDescent="0.25">
      <c r="A71" t="str">
        <f>(COUNTIF($K$2:K71,K71))&amp;K71</f>
        <v>530300</v>
      </c>
      <c r="B71" s="34" t="s">
        <v>79</v>
      </c>
      <c r="C71" s="13" t="s">
        <v>40</v>
      </c>
      <c r="D71" s="14" t="s">
        <v>76</v>
      </c>
      <c r="E71" s="16">
        <v>586</v>
      </c>
      <c r="F71" s="17">
        <v>4960</v>
      </c>
      <c r="G71" s="24">
        <v>2800</v>
      </c>
      <c r="H71" s="15" t="s">
        <v>14</v>
      </c>
      <c r="I71" s="15">
        <v>170.35</v>
      </c>
      <c r="J71" s="15">
        <v>800</v>
      </c>
      <c r="K71" s="18">
        <v>30300</v>
      </c>
      <c r="L71" s="15">
        <v>24.3</v>
      </c>
      <c r="M71" s="15">
        <v>-28.35</v>
      </c>
      <c r="N71" s="15">
        <v>24.8</v>
      </c>
      <c r="O71" s="24">
        <v>92360</v>
      </c>
      <c r="P71" s="17">
        <v>238660</v>
      </c>
      <c r="Q71" s="16">
        <v>187968</v>
      </c>
      <c r="R71" s="19" t="s">
        <v>76</v>
      </c>
      <c r="S71" s="20" t="s">
        <v>39</v>
      </c>
      <c r="T71">
        <v>31006.15</v>
      </c>
    </row>
    <row r="72" spans="1:20" x14ac:dyDescent="0.25">
      <c r="A72" t="str">
        <f>(COUNTIF($K$2:K72,K72))&amp;K72</f>
        <v>530400</v>
      </c>
      <c r="B72" s="34" t="s">
        <v>79</v>
      </c>
      <c r="C72" s="13" t="s">
        <v>40</v>
      </c>
      <c r="D72" s="14" t="s">
        <v>76</v>
      </c>
      <c r="E72" s="16">
        <v>872</v>
      </c>
      <c r="F72" s="17">
        <v>2100</v>
      </c>
      <c r="G72" s="24">
        <v>700</v>
      </c>
      <c r="H72" s="15">
        <v>18.75</v>
      </c>
      <c r="I72" s="15">
        <v>112.25</v>
      </c>
      <c r="J72" s="15">
        <v>665.6</v>
      </c>
      <c r="K72" s="18">
        <v>30400</v>
      </c>
      <c r="L72" s="15">
        <v>33.200000000000003</v>
      </c>
      <c r="M72" s="15">
        <v>-36.549999999999997</v>
      </c>
      <c r="N72" s="15">
        <v>24.54</v>
      </c>
      <c r="O72" s="24">
        <v>152660</v>
      </c>
      <c r="P72" s="17">
        <v>283980</v>
      </c>
      <c r="Q72" s="16">
        <v>274354</v>
      </c>
      <c r="R72" s="19" t="s">
        <v>76</v>
      </c>
      <c r="S72" s="20" t="s">
        <v>39</v>
      </c>
      <c r="T72">
        <v>31006.15</v>
      </c>
    </row>
    <row r="73" spans="1:20" x14ac:dyDescent="0.25">
      <c r="A73" t="str">
        <f>(COUNTIF($K$2:K73,K73))&amp;K73</f>
        <v>530500</v>
      </c>
      <c r="B73" s="34" t="s">
        <v>79</v>
      </c>
      <c r="C73" s="13" t="s">
        <v>40</v>
      </c>
      <c r="D73" s="14" t="s">
        <v>76</v>
      </c>
      <c r="E73" s="16">
        <v>12309</v>
      </c>
      <c r="F73" s="17">
        <v>55860</v>
      </c>
      <c r="G73" s="24">
        <v>7840</v>
      </c>
      <c r="H73" s="15">
        <v>18.89</v>
      </c>
      <c r="I73" s="15">
        <v>106.1</v>
      </c>
      <c r="J73" s="15">
        <v>579.65</v>
      </c>
      <c r="K73" s="18">
        <v>30500</v>
      </c>
      <c r="L73" s="15">
        <v>46.3</v>
      </c>
      <c r="M73" s="15">
        <v>-45.95</v>
      </c>
      <c r="N73" s="15">
        <v>24.42</v>
      </c>
      <c r="O73" s="24">
        <v>385500</v>
      </c>
      <c r="P73" s="17">
        <v>923840</v>
      </c>
      <c r="Q73" s="16">
        <v>590579</v>
      </c>
      <c r="R73" s="19" t="s">
        <v>76</v>
      </c>
      <c r="S73" s="20" t="s">
        <v>39</v>
      </c>
      <c r="T73">
        <v>31006.15</v>
      </c>
    </row>
    <row r="74" spans="1:20" x14ac:dyDescent="0.25">
      <c r="A74" t="str">
        <f>(COUNTIF($K$2:K74,K74))&amp;K74</f>
        <v>530600</v>
      </c>
      <c r="B74" s="34" t="s">
        <v>79</v>
      </c>
      <c r="C74" s="13" t="s">
        <v>40</v>
      </c>
      <c r="D74" s="14" t="s">
        <v>76</v>
      </c>
      <c r="E74" s="16">
        <v>10009</v>
      </c>
      <c r="F74" s="17">
        <v>20260</v>
      </c>
      <c r="G74" s="24">
        <v>3880</v>
      </c>
      <c r="H74" s="15">
        <v>19.420000000000002</v>
      </c>
      <c r="I74" s="15">
        <v>74</v>
      </c>
      <c r="J74" s="15">
        <v>477.55</v>
      </c>
      <c r="K74" s="18">
        <v>30600</v>
      </c>
      <c r="L74" s="15">
        <v>62.35</v>
      </c>
      <c r="M74" s="15">
        <v>-55.9</v>
      </c>
      <c r="N74" s="15">
        <v>24.28</v>
      </c>
      <c r="O74" s="24">
        <v>229120</v>
      </c>
      <c r="P74" s="17">
        <v>402940</v>
      </c>
      <c r="Q74" s="16">
        <v>342658</v>
      </c>
      <c r="R74" s="19" t="s">
        <v>76</v>
      </c>
      <c r="S74" s="20" t="s">
        <v>39</v>
      </c>
      <c r="T74">
        <v>31006.15</v>
      </c>
    </row>
    <row r="75" spans="1:20" x14ac:dyDescent="0.25">
      <c r="A75" t="str">
        <f>(COUNTIF($K$2:K75,K75))&amp;K75</f>
        <v>530700</v>
      </c>
      <c r="B75" s="34" t="s">
        <v>79</v>
      </c>
      <c r="C75" s="13" t="s">
        <v>40</v>
      </c>
      <c r="D75" s="14" t="s">
        <v>76</v>
      </c>
      <c r="E75" s="16">
        <v>45226</v>
      </c>
      <c r="F75" s="17">
        <v>54020</v>
      </c>
      <c r="G75" s="24">
        <v>25820</v>
      </c>
      <c r="H75" s="15">
        <v>19.79</v>
      </c>
      <c r="I75" s="15">
        <v>73.05</v>
      </c>
      <c r="J75" s="15">
        <v>405.5</v>
      </c>
      <c r="K75" s="18">
        <v>30700</v>
      </c>
      <c r="L75" s="15">
        <v>84.15</v>
      </c>
      <c r="M75" s="15">
        <v>-68.05</v>
      </c>
      <c r="N75" s="15">
        <v>24.03</v>
      </c>
      <c r="O75" s="24">
        <v>323400</v>
      </c>
      <c r="P75" s="17">
        <v>495880</v>
      </c>
      <c r="Q75" s="16">
        <v>403742</v>
      </c>
      <c r="R75" s="19" t="s">
        <v>76</v>
      </c>
      <c r="S75" s="20" t="s">
        <v>39</v>
      </c>
      <c r="T75">
        <v>31006.15</v>
      </c>
    </row>
    <row r="76" spans="1:20" x14ac:dyDescent="0.25">
      <c r="A76" t="str">
        <f>(COUNTIF($K$2:K76,K76))&amp;K76</f>
        <v>530800</v>
      </c>
      <c r="B76" s="34" t="s">
        <v>79</v>
      </c>
      <c r="C76" s="13" t="s">
        <v>40</v>
      </c>
      <c r="D76" s="14" t="s">
        <v>76</v>
      </c>
      <c r="E76" s="16">
        <v>147499</v>
      </c>
      <c r="F76" s="17">
        <v>220860</v>
      </c>
      <c r="G76" s="24">
        <v>78240</v>
      </c>
      <c r="H76" s="15">
        <v>20.46</v>
      </c>
      <c r="I76" s="15">
        <v>52.7</v>
      </c>
      <c r="J76" s="15">
        <v>326.35000000000002</v>
      </c>
      <c r="K76" s="18">
        <v>30800</v>
      </c>
      <c r="L76" s="15">
        <v>111.05</v>
      </c>
      <c r="M76" s="15">
        <v>-80.099999999999994</v>
      </c>
      <c r="N76" s="15">
        <v>23.85</v>
      </c>
      <c r="O76" s="24">
        <v>350180</v>
      </c>
      <c r="P76" s="17">
        <v>607820</v>
      </c>
      <c r="Q76" s="16">
        <v>409414</v>
      </c>
      <c r="R76" s="19" t="s">
        <v>76</v>
      </c>
      <c r="S76" s="20" t="s">
        <v>39</v>
      </c>
      <c r="T76">
        <v>31006.15</v>
      </c>
    </row>
    <row r="77" spans="1:20" x14ac:dyDescent="0.25">
      <c r="A77" t="str">
        <f>(COUNTIF($K$2:K77,K77))&amp;K77</f>
        <v>530900</v>
      </c>
      <c r="B77" s="34" t="s">
        <v>79</v>
      </c>
      <c r="C77" s="13" t="s">
        <v>40</v>
      </c>
      <c r="D77" s="14" t="s">
        <v>76</v>
      </c>
      <c r="E77" s="16">
        <v>260657</v>
      </c>
      <c r="F77" s="17">
        <v>398320</v>
      </c>
      <c r="G77" s="24">
        <v>178120</v>
      </c>
      <c r="H77" s="15">
        <v>20.61</v>
      </c>
      <c r="I77" s="15">
        <v>38.15</v>
      </c>
      <c r="J77" s="15">
        <v>259</v>
      </c>
      <c r="K77" s="18">
        <v>30900</v>
      </c>
      <c r="L77" s="15">
        <v>145.75</v>
      </c>
      <c r="M77" s="15">
        <v>-90.75</v>
      </c>
      <c r="N77" s="15">
        <v>24.05</v>
      </c>
      <c r="O77" s="24">
        <v>321820</v>
      </c>
      <c r="P77" s="17">
        <v>530540</v>
      </c>
      <c r="Q77" s="16">
        <v>353453</v>
      </c>
      <c r="R77" s="19" t="s">
        <v>76</v>
      </c>
      <c r="S77" s="20" t="s">
        <v>39</v>
      </c>
      <c r="T77">
        <v>31006.15</v>
      </c>
    </row>
    <row r="78" spans="1:20" ht="15.75" x14ac:dyDescent="0.25">
      <c r="A78" t="str">
        <f>(COUNTIF($K$2:K78,K78))&amp;K78</f>
        <v>531000</v>
      </c>
      <c r="B78" s="34" t="s">
        <v>79</v>
      </c>
      <c r="C78" s="13" t="s">
        <v>40</v>
      </c>
      <c r="D78" s="14" t="s">
        <v>76</v>
      </c>
      <c r="E78" s="16">
        <v>558728</v>
      </c>
      <c r="F78" s="17">
        <v>1067280</v>
      </c>
      <c r="G78" s="24">
        <v>289020</v>
      </c>
      <c r="H78" s="15">
        <v>20.97</v>
      </c>
      <c r="I78" s="15">
        <v>26.15</v>
      </c>
      <c r="J78" s="15">
        <v>203.95</v>
      </c>
      <c r="K78" s="21">
        <v>31000</v>
      </c>
      <c r="L78" s="15">
        <v>189.95</v>
      </c>
      <c r="M78" s="15">
        <v>-102</v>
      </c>
      <c r="N78" s="15">
        <v>24.06</v>
      </c>
      <c r="O78" s="24">
        <v>340160</v>
      </c>
      <c r="P78" s="17">
        <v>791380</v>
      </c>
      <c r="Q78" s="16">
        <v>336439</v>
      </c>
      <c r="R78" s="19" t="s">
        <v>76</v>
      </c>
      <c r="S78" s="20" t="s">
        <v>39</v>
      </c>
      <c r="T78">
        <v>31006.15</v>
      </c>
    </row>
    <row r="79" spans="1:20" x14ac:dyDescent="0.25">
      <c r="A79" t="str">
        <f>(COUNTIF($K$2:K79,K79))&amp;K79</f>
        <v>531100</v>
      </c>
      <c r="B79" s="34" t="s">
        <v>79</v>
      </c>
      <c r="C79" s="13" t="s">
        <v>40</v>
      </c>
      <c r="D79" s="14" t="s">
        <v>76</v>
      </c>
      <c r="E79" s="16">
        <v>351024</v>
      </c>
      <c r="F79" s="17">
        <v>473200</v>
      </c>
      <c r="G79" s="24">
        <v>103280</v>
      </c>
      <c r="H79" s="15">
        <v>21.21</v>
      </c>
      <c r="I79" s="15">
        <v>17</v>
      </c>
      <c r="J79" s="15">
        <v>157.25</v>
      </c>
      <c r="K79" s="18">
        <v>31100</v>
      </c>
      <c r="L79" s="15">
        <v>241</v>
      </c>
      <c r="M79" s="15">
        <v>-112.45</v>
      </c>
      <c r="N79" s="15">
        <v>24.48</v>
      </c>
      <c r="O79" s="24">
        <v>42080</v>
      </c>
      <c r="P79" s="17">
        <v>146340</v>
      </c>
      <c r="Q79" s="16">
        <v>77738</v>
      </c>
      <c r="R79" s="19" t="s">
        <v>76</v>
      </c>
      <c r="S79" s="20" t="s">
        <v>39</v>
      </c>
      <c r="T79">
        <v>31006.15</v>
      </c>
    </row>
    <row r="80" spans="1:20" x14ac:dyDescent="0.25">
      <c r="A80" t="str">
        <f>(COUNTIF($K$2:K80,K80))&amp;K80</f>
        <v>531200</v>
      </c>
      <c r="B80" s="34" t="s">
        <v>79</v>
      </c>
      <c r="C80" s="13" t="s">
        <v>40</v>
      </c>
      <c r="D80" s="14" t="s">
        <v>76</v>
      </c>
      <c r="E80" s="16">
        <v>535452</v>
      </c>
      <c r="F80" s="17">
        <v>698480</v>
      </c>
      <c r="G80" s="24">
        <v>139080</v>
      </c>
      <c r="H80" s="15">
        <v>21.39</v>
      </c>
      <c r="I80" s="15">
        <v>8.75</v>
      </c>
      <c r="J80" s="15">
        <v>119.6</v>
      </c>
      <c r="K80" s="18">
        <v>31200</v>
      </c>
      <c r="L80" s="15">
        <v>303.5</v>
      </c>
      <c r="M80" s="15">
        <v>-121.75</v>
      </c>
      <c r="N80" s="15">
        <v>24.69</v>
      </c>
      <c r="O80" s="24">
        <v>12320</v>
      </c>
      <c r="P80" s="17">
        <v>117420</v>
      </c>
      <c r="Q80" s="16">
        <v>41067</v>
      </c>
      <c r="R80" s="19" t="s">
        <v>76</v>
      </c>
      <c r="S80" s="20" t="s">
        <v>39</v>
      </c>
      <c r="T80">
        <v>31006.15</v>
      </c>
    </row>
    <row r="81" spans="1:20" x14ac:dyDescent="0.25">
      <c r="A81" t="str">
        <f>(COUNTIF($K$2:K81,K81))&amp;K81</f>
        <v>531300</v>
      </c>
      <c r="B81" s="34" t="s">
        <v>79</v>
      </c>
      <c r="C81" s="13" t="s">
        <v>40</v>
      </c>
      <c r="D81" s="14" t="s">
        <v>76</v>
      </c>
      <c r="E81" s="16">
        <v>376104</v>
      </c>
      <c r="F81" s="17">
        <v>599920</v>
      </c>
      <c r="G81" s="24">
        <v>152240</v>
      </c>
      <c r="H81" s="15">
        <v>21.55</v>
      </c>
      <c r="I81" s="15">
        <v>2.5</v>
      </c>
      <c r="J81" s="15">
        <v>88.05</v>
      </c>
      <c r="K81" s="18">
        <v>31300</v>
      </c>
      <c r="L81" s="15">
        <v>362.55</v>
      </c>
      <c r="M81" s="15">
        <v>-146.15</v>
      </c>
      <c r="N81" s="15">
        <v>25.78</v>
      </c>
      <c r="O81" s="24">
        <v>-15120</v>
      </c>
      <c r="P81" s="17">
        <v>88060</v>
      </c>
      <c r="Q81" s="16">
        <v>10903</v>
      </c>
      <c r="R81" s="19" t="s">
        <v>77</v>
      </c>
      <c r="S81" s="20" t="s">
        <v>37</v>
      </c>
      <c r="T81">
        <v>31006.15</v>
      </c>
    </row>
    <row r="82" spans="1:20" x14ac:dyDescent="0.25">
      <c r="A82" t="str">
        <f>(COUNTIF($K$2:K82,K82))&amp;K82</f>
        <v>531400</v>
      </c>
      <c r="B82" s="34" t="s">
        <v>79</v>
      </c>
      <c r="C82" s="13" t="s">
        <v>39</v>
      </c>
      <c r="D82" s="14" t="s">
        <v>76</v>
      </c>
      <c r="E82" s="16">
        <v>337300</v>
      </c>
      <c r="F82" s="17">
        <v>547560</v>
      </c>
      <c r="G82" s="24">
        <v>154400</v>
      </c>
      <c r="H82" s="15">
        <v>21.66</v>
      </c>
      <c r="I82" s="15">
        <v>-1.4</v>
      </c>
      <c r="J82" s="15">
        <v>64.45</v>
      </c>
      <c r="K82" s="18">
        <v>31400</v>
      </c>
      <c r="L82" s="15">
        <v>440</v>
      </c>
      <c r="M82" s="15">
        <v>-141.94999999999999</v>
      </c>
      <c r="N82" s="15">
        <v>25.51</v>
      </c>
      <c r="O82" s="24">
        <v>4440</v>
      </c>
      <c r="P82" s="17">
        <v>54920</v>
      </c>
      <c r="Q82" s="16">
        <v>3830</v>
      </c>
      <c r="R82" s="19" t="s">
        <v>76</v>
      </c>
      <c r="S82" s="20" t="s">
        <v>39</v>
      </c>
      <c r="T82">
        <v>31006.15</v>
      </c>
    </row>
    <row r="83" spans="1:20" x14ac:dyDescent="0.25">
      <c r="A83" t="str">
        <f>(COUNTIF($K$2:K83,K83))&amp;K83</f>
        <v>531500</v>
      </c>
      <c r="B83" s="34" t="s">
        <v>79</v>
      </c>
      <c r="C83" s="13" t="s">
        <v>39</v>
      </c>
      <c r="D83" s="14" t="s">
        <v>76</v>
      </c>
      <c r="E83" s="16">
        <v>495211</v>
      </c>
      <c r="F83" s="17">
        <v>1418280</v>
      </c>
      <c r="G83" s="24">
        <v>223920</v>
      </c>
      <c r="H83" s="15">
        <v>22.04</v>
      </c>
      <c r="I83" s="15">
        <v>-2.4500000000000002</v>
      </c>
      <c r="J83" s="15">
        <v>47.5</v>
      </c>
      <c r="K83" s="18">
        <v>31500</v>
      </c>
      <c r="L83" s="15">
        <v>531.65</v>
      </c>
      <c r="M83" s="15">
        <v>-135.65</v>
      </c>
      <c r="N83" s="15">
        <v>28.05</v>
      </c>
      <c r="O83" s="24">
        <v>4640</v>
      </c>
      <c r="P83" s="17">
        <v>472740</v>
      </c>
      <c r="Q83" s="16">
        <v>6171</v>
      </c>
      <c r="R83" s="19" t="s">
        <v>76</v>
      </c>
      <c r="S83" s="20" t="s">
        <v>39</v>
      </c>
      <c r="T83">
        <v>31006.15</v>
      </c>
    </row>
    <row r="84" spans="1:20" x14ac:dyDescent="0.25">
      <c r="A84" t="str">
        <f>(COUNTIF($K$2:K84,K84))&amp;K84</f>
        <v>531600</v>
      </c>
      <c r="B84" s="34" t="s">
        <v>79</v>
      </c>
      <c r="C84" s="13" t="s">
        <v>39</v>
      </c>
      <c r="D84" s="14" t="s">
        <v>76</v>
      </c>
      <c r="E84" s="16">
        <v>194418</v>
      </c>
      <c r="F84" s="17">
        <v>355700</v>
      </c>
      <c r="G84" s="24">
        <v>71480</v>
      </c>
      <c r="H84" s="15">
        <v>22.28</v>
      </c>
      <c r="I84" s="15">
        <v>-3.3</v>
      </c>
      <c r="J84" s="15">
        <v>34.450000000000003</v>
      </c>
      <c r="K84" s="18">
        <v>31600</v>
      </c>
      <c r="L84" s="15">
        <v>590</v>
      </c>
      <c r="M84" s="15">
        <v>-170.85</v>
      </c>
      <c r="N84" s="15">
        <v>26.66</v>
      </c>
      <c r="O84" s="24">
        <v>20</v>
      </c>
      <c r="P84" s="17">
        <v>17680</v>
      </c>
      <c r="Q84" s="16">
        <v>266</v>
      </c>
      <c r="R84" s="19" t="s">
        <v>76</v>
      </c>
      <c r="S84" s="20" t="s">
        <v>39</v>
      </c>
      <c r="T84">
        <v>31006.15</v>
      </c>
    </row>
    <row r="85" spans="1:20" x14ac:dyDescent="0.25">
      <c r="A85" t="str">
        <f>(COUNTIF($K$2:K85,K85))&amp;K85</f>
        <v>531700</v>
      </c>
      <c r="B85" s="34" t="s">
        <v>79</v>
      </c>
      <c r="C85" s="13" t="s">
        <v>39</v>
      </c>
      <c r="D85" s="14" t="s">
        <v>76</v>
      </c>
      <c r="E85" s="16">
        <v>127925</v>
      </c>
      <c r="F85" s="17">
        <v>371880</v>
      </c>
      <c r="G85" s="24">
        <v>13920</v>
      </c>
      <c r="H85" s="15">
        <v>22.71</v>
      </c>
      <c r="I85" s="15">
        <v>-4.6500000000000004</v>
      </c>
      <c r="J85" s="15">
        <v>23.5</v>
      </c>
      <c r="K85" s="18">
        <v>31700</v>
      </c>
      <c r="L85" s="15">
        <v>670</v>
      </c>
      <c r="M85" s="15">
        <v>-173.7</v>
      </c>
      <c r="N85" s="15">
        <v>29.09</v>
      </c>
      <c r="O85" s="24">
        <v>-1100</v>
      </c>
      <c r="P85" s="17">
        <v>10240</v>
      </c>
      <c r="Q85" s="16">
        <v>298</v>
      </c>
      <c r="R85" s="19" t="s">
        <v>77</v>
      </c>
      <c r="S85" s="20" t="s">
        <v>37</v>
      </c>
      <c r="T85">
        <v>31006.15</v>
      </c>
    </row>
    <row r="86" spans="1:20" x14ac:dyDescent="0.25">
      <c r="A86" t="str">
        <f>(COUNTIF($K$2:K86,K86))&amp;K86</f>
        <v>5PCR</v>
      </c>
      <c r="B86" s="34" t="s">
        <v>79</v>
      </c>
      <c r="C86" s="41">
        <v>0.86581178101530654</v>
      </c>
      <c r="E86" s="33"/>
      <c r="F86" s="39">
        <v>6290120</v>
      </c>
      <c r="G86" s="40"/>
      <c r="H86" s="38"/>
      <c r="I86" s="38"/>
      <c r="J86" s="38"/>
      <c r="K86" s="56" t="s">
        <v>57</v>
      </c>
      <c r="L86" s="38"/>
      <c r="M86" s="38"/>
      <c r="N86" s="38"/>
      <c r="P86" s="40">
        <v>5446060</v>
      </c>
      <c r="Q86" s="33"/>
      <c r="R86" s="38"/>
      <c r="S86" s="38"/>
    </row>
    <row r="87" spans="1:20" x14ac:dyDescent="0.25">
      <c r="A87" t="str">
        <f>(COUNTIF($K$2:K87,K87))&amp;K87</f>
        <v>630200</v>
      </c>
      <c r="B87" s="34" t="s">
        <v>79</v>
      </c>
      <c r="C87" s="13" t="s">
        <v>74</v>
      </c>
      <c r="D87" s="14" t="s">
        <v>76</v>
      </c>
      <c r="E87" s="16">
        <v>165</v>
      </c>
      <c r="F87" s="17">
        <v>1440</v>
      </c>
      <c r="G87" s="24">
        <v>1020</v>
      </c>
      <c r="H87" s="15" t="s">
        <v>14</v>
      </c>
      <c r="I87" s="15">
        <v>129.05000000000001</v>
      </c>
      <c r="J87" s="15">
        <v>850</v>
      </c>
      <c r="K87" s="18">
        <v>30200</v>
      </c>
      <c r="L87" s="15">
        <v>18.350000000000001</v>
      </c>
      <c r="M87" s="15">
        <v>-21.8</v>
      </c>
      <c r="N87" s="15">
        <v>25.27</v>
      </c>
      <c r="O87" s="24">
        <v>49560</v>
      </c>
      <c r="P87" s="17">
        <v>263620</v>
      </c>
      <c r="Q87" s="16">
        <v>146607</v>
      </c>
      <c r="R87" s="19" t="s">
        <v>76</v>
      </c>
      <c r="S87" s="20" t="s">
        <v>39</v>
      </c>
      <c r="T87">
        <v>31006.15</v>
      </c>
    </row>
    <row r="88" spans="1:20" x14ac:dyDescent="0.25">
      <c r="A88" t="str">
        <f>(COUNTIF($K$2:K88,K88))&amp;K88</f>
        <v>630300</v>
      </c>
      <c r="B88" s="34" t="s">
        <v>79</v>
      </c>
      <c r="C88" s="13" t="s">
        <v>40</v>
      </c>
      <c r="D88" s="14" t="s">
        <v>76</v>
      </c>
      <c r="E88" s="16">
        <v>586</v>
      </c>
      <c r="F88" s="17">
        <v>4960</v>
      </c>
      <c r="G88" s="24">
        <v>2800</v>
      </c>
      <c r="H88" s="15" t="s">
        <v>14</v>
      </c>
      <c r="I88" s="15">
        <v>170.35</v>
      </c>
      <c r="J88" s="15">
        <v>800</v>
      </c>
      <c r="K88" s="18">
        <v>30300</v>
      </c>
      <c r="L88" s="15">
        <v>24.3</v>
      </c>
      <c r="M88" s="15">
        <v>-28.35</v>
      </c>
      <c r="N88" s="15">
        <v>24.8</v>
      </c>
      <c r="O88" s="24">
        <v>92360</v>
      </c>
      <c r="P88" s="17">
        <v>238660</v>
      </c>
      <c r="Q88" s="16">
        <v>187968</v>
      </c>
      <c r="R88" s="19" t="s">
        <v>76</v>
      </c>
      <c r="S88" s="20" t="s">
        <v>39</v>
      </c>
      <c r="T88">
        <v>31006.15</v>
      </c>
    </row>
    <row r="89" spans="1:20" x14ac:dyDescent="0.25">
      <c r="A89" t="str">
        <f>(COUNTIF($K$2:K89,K89))&amp;K89</f>
        <v>630400</v>
      </c>
      <c r="B89" s="34" t="s">
        <v>79</v>
      </c>
      <c r="C89" s="13" t="s">
        <v>40</v>
      </c>
      <c r="D89" s="14" t="s">
        <v>76</v>
      </c>
      <c r="E89" s="16">
        <v>872</v>
      </c>
      <c r="F89" s="17">
        <v>2100</v>
      </c>
      <c r="G89" s="24">
        <v>700</v>
      </c>
      <c r="H89" s="15">
        <v>18.75</v>
      </c>
      <c r="I89" s="15">
        <v>112.25</v>
      </c>
      <c r="J89" s="15">
        <v>665.6</v>
      </c>
      <c r="K89" s="18">
        <v>30400</v>
      </c>
      <c r="L89" s="15">
        <v>33.200000000000003</v>
      </c>
      <c r="M89" s="15">
        <v>-36.549999999999997</v>
      </c>
      <c r="N89" s="15">
        <v>24.54</v>
      </c>
      <c r="O89" s="24">
        <v>152660</v>
      </c>
      <c r="P89" s="17">
        <v>283980</v>
      </c>
      <c r="Q89" s="16">
        <v>274354</v>
      </c>
      <c r="R89" s="19" t="s">
        <v>76</v>
      </c>
      <c r="S89" s="20" t="s">
        <v>39</v>
      </c>
      <c r="T89">
        <v>31006.15</v>
      </c>
    </row>
    <row r="90" spans="1:20" x14ac:dyDescent="0.25">
      <c r="A90" t="str">
        <f>(COUNTIF($K$2:K90,K90))&amp;K90</f>
        <v>630500</v>
      </c>
      <c r="B90" s="34" t="s">
        <v>79</v>
      </c>
      <c r="C90" s="13" t="s">
        <v>40</v>
      </c>
      <c r="D90" s="14" t="s">
        <v>76</v>
      </c>
      <c r="E90" s="16">
        <v>12309</v>
      </c>
      <c r="F90" s="17">
        <v>55860</v>
      </c>
      <c r="G90" s="24">
        <v>7840</v>
      </c>
      <c r="H90" s="15">
        <v>18.89</v>
      </c>
      <c r="I90" s="15">
        <v>106.1</v>
      </c>
      <c r="J90" s="15">
        <v>579.65</v>
      </c>
      <c r="K90" s="18">
        <v>30500</v>
      </c>
      <c r="L90" s="15">
        <v>46.3</v>
      </c>
      <c r="M90" s="15">
        <v>-45.95</v>
      </c>
      <c r="N90" s="15">
        <v>24.42</v>
      </c>
      <c r="O90" s="24">
        <v>385500</v>
      </c>
      <c r="P90" s="17">
        <v>923840</v>
      </c>
      <c r="Q90" s="16">
        <v>590579</v>
      </c>
      <c r="R90" s="19" t="s">
        <v>76</v>
      </c>
      <c r="S90" s="20" t="s">
        <v>39</v>
      </c>
      <c r="T90">
        <v>31006.15</v>
      </c>
    </row>
    <row r="91" spans="1:20" x14ac:dyDescent="0.25">
      <c r="A91" t="str">
        <f>(COUNTIF($K$2:K91,K91))&amp;K91</f>
        <v>630600</v>
      </c>
      <c r="B91" s="34" t="s">
        <v>79</v>
      </c>
      <c r="C91" s="13" t="s">
        <v>40</v>
      </c>
      <c r="D91" s="14" t="s">
        <v>76</v>
      </c>
      <c r="E91" s="16">
        <v>10009</v>
      </c>
      <c r="F91" s="17">
        <v>20260</v>
      </c>
      <c r="G91" s="24">
        <v>3880</v>
      </c>
      <c r="H91" s="15">
        <v>19.420000000000002</v>
      </c>
      <c r="I91" s="15">
        <v>74</v>
      </c>
      <c r="J91" s="15">
        <v>477.55</v>
      </c>
      <c r="K91" s="18">
        <v>30600</v>
      </c>
      <c r="L91" s="15">
        <v>62.35</v>
      </c>
      <c r="M91" s="15">
        <v>-55.9</v>
      </c>
      <c r="N91" s="15">
        <v>24.28</v>
      </c>
      <c r="O91" s="24">
        <v>229120</v>
      </c>
      <c r="P91" s="17">
        <v>402940</v>
      </c>
      <c r="Q91" s="16">
        <v>342658</v>
      </c>
      <c r="R91" s="19" t="s">
        <v>76</v>
      </c>
      <c r="S91" s="20" t="s">
        <v>39</v>
      </c>
      <c r="T91">
        <v>31006.15</v>
      </c>
    </row>
    <row r="92" spans="1:20" x14ac:dyDescent="0.25">
      <c r="A92" t="str">
        <f>(COUNTIF($K$2:K92,K92))&amp;K92</f>
        <v>630700</v>
      </c>
      <c r="B92" s="34" t="s">
        <v>79</v>
      </c>
      <c r="C92" s="13" t="s">
        <v>40</v>
      </c>
      <c r="D92" s="14" t="s">
        <v>76</v>
      </c>
      <c r="E92" s="16">
        <v>45226</v>
      </c>
      <c r="F92" s="17">
        <v>54020</v>
      </c>
      <c r="G92" s="24">
        <v>25820</v>
      </c>
      <c r="H92" s="15">
        <v>19.79</v>
      </c>
      <c r="I92" s="15">
        <v>73.05</v>
      </c>
      <c r="J92" s="15">
        <v>405.5</v>
      </c>
      <c r="K92" s="18">
        <v>30700</v>
      </c>
      <c r="L92" s="15">
        <v>84.15</v>
      </c>
      <c r="M92" s="15">
        <v>-68.05</v>
      </c>
      <c r="N92" s="15">
        <v>24.03</v>
      </c>
      <c r="O92" s="24">
        <v>323400</v>
      </c>
      <c r="P92" s="17">
        <v>495880</v>
      </c>
      <c r="Q92" s="16">
        <v>403742</v>
      </c>
      <c r="R92" s="19" t="s">
        <v>76</v>
      </c>
      <c r="S92" s="20" t="s">
        <v>39</v>
      </c>
      <c r="T92">
        <v>31006.15</v>
      </c>
    </row>
    <row r="93" spans="1:20" x14ac:dyDescent="0.25">
      <c r="A93" t="str">
        <f>(COUNTIF($K$2:K93,K93))&amp;K93</f>
        <v>630800</v>
      </c>
      <c r="B93" s="34" t="s">
        <v>79</v>
      </c>
      <c r="C93" s="13" t="s">
        <v>40</v>
      </c>
      <c r="D93" s="14" t="s">
        <v>76</v>
      </c>
      <c r="E93" s="16">
        <v>147499</v>
      </c>
      <c r="F93" s="17">
        <v>220860</v>
      </c>
      <c r="G93" s="24">
        <v>78240</v>
      </c>
      <c r="H93" s="15">
        <v>20.46</v>
      </c>
      <c r="I93" s="15">
        <v>52.7</v>
      </c>
      <c r="J93" s="15">
        <v>326.35000000000002</v>
      </c>
      <c r="K93" s="18">
        <v>30800</v>
      </c>
      <c r="L93" s="15">
        <v>111.05</v>
      </c>
      <c r="M93" s="15">
        <v>-80.099999999999994</v>
      </c>
      <c r="N93" s="15">
        <v>23.85</v>
      </c>
      <c r="O93" s="24">
        <v>350180</v>
      </c>
      <c r="P93" s="17">
        <v>607820</v>
      </c>
      <c r="Q93" s="16">
        <v>409414</v>
      </c>
      <c r="R93" s="19" t="s">
        <v>76</v>
      </c>
      <c r="S93" s="20" t="s">
        <v>39</v>
      </c>
      <c r="T93">
        <v>31006.15</v>
      </c>
    </row>
    <row r="94" spans="1:20" x14ac:dyDescent="0.25">
      <c r="A94" t="str">
        <f>(COUNTIF($K$2:K94,K94))&amp;K94</f>
        <v>630900</v>
      </c>
      <c r="B94" s="34" t="s">
        <v>79</v>
      </c>
      <c r="C94" s="13" t="s">
        <v>40</v>
      </c>
      <c r="D94" s="14" t="s">
        <v>76</v>
      </c>
      <c r="E94" s="16">
        <v>260657</v>
      </c>
      <c r="F94" s="17">
        <v>398320</v>
      </c>
      <c r="G94" s="24">
        <v>178120</v>
      </c>
      <c r="H94" s="15">
        <v>20.61</v>
      </c>
      <c r="I94" s="15">
        <v>38.15</v>
      </c>
      <c r="J94" s="15">
        <v>259</v>
      </c>
      <c r="K94" s="18">
        <v>30900</v>
      </c>
      <c r="L94" s="15">
        <v>145.75</v>
      </c>
      <c r="M94" s="15">
        <v>-90.75</v>
      </c>
      <c r="N94" s="15">
        <v>24.05</v>
      </c>
      <c r="O94" s="24">
        <v>321820</v>
      </c>
      <c r="P94" s="17">
        <v>530540</v>
      </c>
      <c r="Q94" s="16">
        <v>353453</v>
      </c>
      <c r="R94" s="19" t="s">
        <v>76</v>
      </c>
      <c r="S94" s="20" t="s">
        <v>39</v>
      </c>
      <c r="T94">
        <v>31006.15</v>
      </c>
    </row>
    <row r="95" spans="1:20" ht="15.75" x14ac:dyDescent="0.25">
      <c r="A95" t="str">
        <f>(COUNTIF($K$2:K95,K95))&amp;K95</f>
        <v>631000</v>
      </c>
      <c r="B95" s="34" t="s">
        <v>79</v>
      </c>
      <c r="C95" s="13" t="s">
        <v>40</v>
      </c>
      <c r="D95" s="14" t="s">
        <v>76</v>
      </c>
      <c r="E95" s="16">
        <v>558728</v>
      </c>
      <c r="F95" s="17">
        <v>1067280</v>
      </c>
      <c r="G95" s="24">
        <v>289020</v>
      </c>
      <c r="H95" s="15">
        <v>20.97</v>
      </c>
      <c r="I95" s="15">
        <v>26.15</v>
      </c>
      <c r="J95" s="15">
        <v>203.95</v>
      </c>
      <c r="K95" s="21">
        <v>31000</v>
      </c>
      <c r="L95" s="15">
        <v>189.95</v>
      </c>
      <c r="M95" s="15">
        <v>-102</v>
      </c>
      <c r="N95" s="15">
        <v>24.06</v>
      </c>
      <c r="O95" s="24">
        <v>340160</v>
      </c>
      <c r="P95" s="17">
        <v>791380</v>
      </c>
      <c r="Q95" s="16">
        <v>336439</v>
      </c>
      <c r="R95" s="19" t="s">
        <v>76</v>
      </c>
      <c r="S95" s="20" t="s">
        <v>39</v>
      </c>
      <c r="T95">
        <v>31006.15</v>
      </c>
    </row>
    <row r="96" spans="1:20" x14ac:dyDescent="0.25">
      <c r="A96" t="str">
        <f>(COUNTIF($K$2:K96,K96))&amp;K96</f>
        <v>631100</v>
      </c>
      <c r="B96" s="34" t="s">
        <v>79</v>
      </c>
      <c r="C96" s="13" t="s">
        <v>40</v>
      </c>
      <c r="D96" s="14" t="s">
        <v>76</v>
      </c>
      <c r="E96" s="16">
        <v>351024</v>
      </c>
      <c r="F96" s="17">
        <v>473200</v>
      </c>
      <c r="G96" s="24">
        <v>103280</v>
      </c>
      <c r="H96" s="15">
        <v>21.21</v>
      </c>
      <c r="I96" s="15">
        <v>17</v>
      </c>
      <c r="J96" s="15">
        <v>157.25</v>
      </c>
      <c r="K96" s="18">
        <v>31100</v>
      </c>
      <c r="L96" s="15">
        <v>241</v>
      </c>
      <c r="M96" s="15">
        <v>-112.45</v>
      </c>
      <c r="N96" s="15">
        <v>24.48</v>
      </c>
      <c r="O96" s="24">
        <v>42080</v>
      </c>
      <c r="P96" s="17">
        <v>146340</v>
      </c>
      <c r="Q96" s="16">
        <v>77738</v>
      </c>
      <c r="R96" s="19" t="s">
        <v>76</v>
      </c>
      <c r="S96" s="20" t="s">
        <v>39</v>
      </c>
      <c r="T96">
        <v>31006.15</v>
      </c>
    </row>
    <row r="97" spans="1:20" x14ac:dyDescent="0.25">
      <c r="A97" t="str">
        <f>(COUNTIF($K$2:K97,K97))&amp;K97</f>
        <v>631200</v>
      </c>
      <c r="B97" s="34" t="s">
        <v>79</v>
      </c>
      <c r="C97" s="13" t="s">
        <v>40</v>
      </c>
      <c r="D97" s="14" t="s">
        <v>76</v>
      </c>
      <c r="E97" s="16">
        <v>535452</v>
      </c>
      <c r="F97" s="17">
        <v>698480</v>
      </c>
      <c r="G97" s="24">
        <v>139080</v>
      </c>
      <c r="H97" s="15">
        <v>21.39</v>
      </c>
      <c r="I97" s="15">
        <v>8.75</v>
      </c>
      <c r="J97" s="15">
        <v>119.6</v>
      </c>
      <c r="K97" s="18">
        <v>31200</v>
      </c>
      <c r="L97" s="15">
        <v>303.5</v>
      </c>
      <c r="M97" s="15">
        <v>-121.75</v>
      </c>
      <c r="N97" s="15">
        <v>24.69</v>
      </c>
      <c r="O97" s="24">
        <v>12320</v>
      </c>
      <c r="P97" s="17">
        <v>117420</v>
      </c>
      <c r="Q97" s="16">
        <v>41067</v>
      </c>
      <c r="R97" s="19" t="s">
        <v>76</v>
      </c>
      <c r="S97" s="20" t="s">
        <v>39</v>
      </c>
      <c r="T97">
        <v>31006.15</v>
      </c>
    </row>
    <row r="98" spans="1:20" x14ac:dyDescent="0.25">
      <c r="A98" t="str">
        <f>(COUNTIF($K$2:K98,K98))&amp;K98</f>
        <v>631300</v>
      </c>
      <c r="B98" s="34" t="s">
        <v>79</v>
      </c>
      <c r="C98" s="13" t="s">
        <v>40</v>
      </c>
      <c r="D98" s="14" t="s">
        <v>76</v>
      </c>
      <c r="E98" s="16">
        <v>376104</v>
      </c>
      <c r="F98" s="17">
        <v>599920</v>
      </c>
      <c r="G98" s="24">
        <v>152240</v>
      </c>
      <c r="H98" s="15">
        <v>21.55</v>
      </c>
      <c r="I98" s="15">
        <v>2.5</v>
      </c>
      <c r="J98" s="15">
        <v>88.05</v>
      </c>
      <c r="K98" s="18">
        <v>31300</v>
      </c>
      <c r="L98" s="15">
        <v>362.55</v>
      </c>
      <c r="M98" s="15">
        <v>-146.15</v>
      </c>
      <c r="N98" s="15">
        <v>25.78</v>
      </c>
      <c r="O98" s="24">
        <v>-15120</v>
      </c>
      <c r="P98" s="17">
        <v>88060</v>
      </c>
      <c r="Q98" s="16">
        <v>10903</v>
      </c>
      <c r="R98" s="19" t="s">
        <v>77</v>
      </c>
      <c r="S98" s="20" t="s">
        <v>37</v>
      </c>
      <c r="T98">
        <v>31006.15</v>
      </c>
    </row>
    <row r="99" spans="1:20" x14ac:dyDescent="0.25">
      <c r="A99" t="str">
        <f>(COUNTIF($K$2:K99,K99))&amp;K99</f>
        <v>631400</v>
      </c>
      <c r="B99" s="34" t="s">
        <v>79</v>
      </c>
      <c r="C99" s="13" t="s">
        <v>39</v>
      </c>
      <c r="D99" s="14" t="s">
        <v>76</v>
      </c>
      <c r="E99" s="16">
        <v>337300</v>
      </c>
      <c r="F99" s="17">
        <v>547560</v>
      </c>
      <c r="G99" s="24">
        <v>154400</v>
      </c>
      <c r="H99" s="15">
        <v>21.66</v>
      </c>
      <c r="I99" s="15">
        <v>-1.4</v>
      </c>
      <c r="J99" s="15">
        <v>64.45</v>
      </c>
      <c r="K99" s="18">
        <v>31400</v>
      </c>
      <c r="L99" s="15">
        <v>440</v>
      </c>
      <c r="M99" s="15">
        <v>-141.94999999999999</v>
      </c>
      <c r="N99" s="15">
        <v>25.51</v>
      </c>
      <c r="O99" s="24">
        <v>4440</v>
      </c>
      <c r="P99" s="17">
        <v>54920</v>
      </c>
      <c r="Q99" s="16">
        <v>3830</v>
      </c>
      <c r="R99" s="19" t="s">
        <v>76</v>
      </c>
      <c r="S99" s="20" t="s">
        <v>39</v>
      </c>
      <c r="T99">
        <v>31006.15</v>
      </c>
    </row>
    <row r="100" spans="1:20" x14ac:dyDescent="0.25">
      <c r="A100" t="str">
        <f>(COUNTIF($K$2:K100,K100))&amp;K100</f>
        <v>631500</v>
      </c>
      <c r="B100" s="34" t="s">
        <v>79</v>
      </c>
      <c r="C100" s="13" t="s">
        <v>39</v>
      </c>
      <c r="D100" s="14" t="s">
        <v>76</v>
      </c>
      <c r="E100" s="16">
        <v>495211</v>
      </c>
      <c r="F100" s="17">
        <v>1418280</v>
      </c>
      <c r="G100" s="24">
        <v>223920</v>
      </c>
      <c r="H100" s="15">
        <v>22.04</v>
      </c>
      <c r="I100" s="15">
        <v>-2.4500000000000002</v>
      </c>
      <c r="J100" s="15">
        <v>47.5</v>
      </c>
      <c r="K100" s="18">
        <v>31500</v>
      </c>
      <c r="L100" s="15">
        <v>531.65</v>
      </c>
      <c r="M100" s="15">
        <v>-135.65</v>
      </c>
      <c r="N100" s="15">
        <v>28.05</v>
      </c>
      <c r="O100" s="24">
        <v>4640</v>
      </c>
      <c r="P100" s="17">
        <v>472740</v>
      </c>
      <c r="Q100" s="16">
        <v>6171</v>
      </c>
      <c r="R100" s="19" t="s">
        <v>76</v>
      </c>
      <c r="S100" s="20" t="s">
        <v>39</v>
      </c>
      <c r="T100">
        <v>31006.15</v>
      </c>
    </row>
    <row r="101" spans="1:20" x14ac:dyDescent="0.25">
      <c r="A101" t="str">
        <f>(COUNTIF($K$2:K101,K101))&amp;K101</f>
        <v>631600</v>
      </c>
      <c r="B101" s="34" t="s">
        <v>79</v>
      </c>
      <c r="C101" s="13" t="s">
        <v>39</v>
      </c>
      <c r="D101" s="14" t="s">
        <v>76</v>
      </c>
      <c r="E101" s="16">
        <v>194418</v>
      </c>
      <c r="F101" s="17">
        <v>355700</v>
      </c>
      <c r="G101" s="24">
        <v>71480</v>
      </c>
      <c r="H101" s="15">
        <v>22.28</v>
      </c>
      <c r="I101" s="15">
        <v>-3.3</v>
      </c>
      <c r="J101" s="15">
        <v>34.450000000000003</v>
      </c>
      <c r="K101" s="18">
        <v>31600</v>
      </c>
      <c r="L101" s="15">
        <v>590</v>
      </c>
      <c r="M101" s="15">
        <v>-170.85</v>
      </c>
      <c r="N101" s="15">
        <v>26.66</v>
      </c>
      <c r="O101" s="24">
        <v>20</v>
      </c>
      <c r="P101" s="17">
        <v>17680</v>
      </c>
      <c r="Q101" s="16">
        <v>266</v>
      </c>
      <c r="R101" s="19" t="s">
        <v>76</v>
      </c>
      <c r="S101" s="20" t="s">
        <v>39</v>
      </c>
      <c r="T101">
        <v>31006.15</v>
      </c>
    </row>
    <row r="102" spans="1:20" x14ac:dyDescent="0.25">
      <c r="A102" t="str">
        <f>(COUNTIF($K$2:K102,K102))&amp;K102</f>
        <v>631700</v>
      </c>
      <c r="B102" s="34" t="s">
        <v>79</v>
      </c>
      <c r="C102" s="13" t="s">
        <v>39</v>
      </c>
      <c r="D102" s="14" t="s">
        <v>76</v>
      </c>
      <c r="E102" s="16">
        <v>127925</v>
      </c>
      <c r="F102" s="17">
        <v>371880</v>
      </c>
      <c r="G102" s="24">
        <v>13920</v>
      </c>
      <c r="H102" s="15">
        <v>22.71</v>
      </c>
      <c r="I102" s="15">
        <v>-4.6500000000000004</v>
      </c>
      <c r="J102" s="15">
        <v>23.5</v>
      </c>
      <c r="K102" s="18">
        <v>31700</v>
      </c>
      <c r="L102" s="15">
        <v>670</v>
      </c>
      <c r="M102" s="15">
        <v>-173.7</v>
      </c>
      <c r="N102" s="15">
        <v>29.09</v>
      </c>
      <c r="O102" s="24">
        <v>-1100</v>
      </c>
      <c r="P102" s="17">
        <v>10240</v>
      </c>
      <c r="Q102" s="16">
        <v>298</v>
      </c>
      <c r="R102" s="19" t="s">
        <v>77</v>
      </c>
      <c r="S102" s="20" t="s">
        <v>37</v>
      </c>
      <c r="T102">
        <v>31006.15</v>
      </c>
    </row>
    <row r="103" spans="1:20" x14ac:dyDescent="0.25">
      <c r="A103" t="str">
        <f>(COUNTIF($K$2:K103,K103))&amp;K103</f>
        <v>6PCR</v>
      </c>
      <c r="B103" s="34" t="s">
        <v>79</v>
      </c>
      <c r="C103" s="41">
        <v>0.86581178101530654</v>
      </c>
      <c r="E103" s="33"/>
      <c r="F103" s="39">
        <v>6290120</v>
      </c>
      <c r="G103" s="40"/>
      <c r="H103" s="38"/>
      <c r="I103" s="38"/>
      <c r="J103" s="38"/>
      <c r="K103" s="56" t="s">
        <v>57</v>
      </c>
      <c r="L103" s="38"/>
      <c r="M103" s="38"/>
      <c r="N103" s="38"/>
      <c r="P103" s="40">
        <v>5446060</v>
      </c>
      <c r="Q103" s="33"/>
      <c r="R103" s="38"/>
      <c r="S103" s="38"/>
    </row>
    <row r="104" spans="1:20" x14ac:dyDescent="0.25">
      <c r="A104" t="str">
        <f>(COUNTIF($K$2:K104,K104))&amp;K104</f>
        <v>730200</v>
      </c>
      <c r="B104" s="34" t="s">
        <v>80</v>
      </c>
      <c r="C104" s="13" t="s">
        <v>74</v>
      </c>
      <c r="D104" s="14" t="s">
        <v>76</v>
      </c>
      <c r="E104" s="16">
        <v>165</v>
      </c>
      <c r="F104" s="17">
        <v>1440</v>
      </c>
      <c r="G104" s="24">
        <v>1020</v>
      </c>
      <c r="H104" s="15">
        <v>27.55</v>
      </c>
      <c r="I104" s="15">
        <v>129.05000000000001</v>
      </c>
      <c r="J104" s="15">
        <v>850</v>
      </c>
      <c r="K104" s="18">
        <v>30200</v>
      </c>
      <c r="L104" s="15">
        <v>18.8</v>
      </c>
      <c r="M104" s="15">
        <v>-21.35</v>
      </c>
      <c r="N104" s="15">
        <v>24.97</v>
      </c>
      <c r="O104" s="24">
        <v>33380</v>
      </c>
      <c r="P104" s="17">
        <v>247440</v>
      </c>
      <c r="Q104" s="16">
        <v>148171</v>
      </c>
      <c r="R104" s="19" t="s">
        <v>76</v>
      </c>
      <c r="S104" s="20" t="s">
        <v>39</v>
      </c>
      <c r="T104">
        <v>30995.15</v>
      </c>
    </row>
    <row r="105" spans="1:20" x14ac:dyDescent="0.25">
      <c r="A105" t="str">
        <f>(COUNTIF($K$2:K105,K105))&amp;K105</f>
        <v>730300</v>
      </c>
      <c r="B105" s="34" t="s">
        <v>80</v>
      </c>
      <c r="C105" s="13" t="s">
        <v>40</v>
      </c>
      <c r="D105" s="14" t="s">
        <v>76</v>
      </c>
      <c r="E105" s="16">
        <v>588</v>
      </c>
      <c r="F105" s="17">
        <v>4960</v>
      </c>
      <c r="G105" s="24">
        <v>2800</v>
      </c>
      <c r="H105" s="15">
        <v>34.840000000000003</v>
      </c>
      <c r="I105" s="15">
        <v>109.5</v>
      </c>
      <c r="J105" s="15">
        <v>739.15</v>
      </c>
      <c r="K105" s="18">
        <v>30300</v>
      </c>
      <c r="L105" s="15">
        <v>25.45</v>
      </c>
      <c r="M105" s="15">
        <v>-27.2</v>
      </c>
      <c r="N105" s="15">
        <v>24.25</v>
      </c>
      <c r="O105" s="24">
        <v>99200</v>
      </c>
      <c r="P105" s="17">
        <v>245500</v>
      </c>
      <c r="Q105" s="16">
        <v>190598</v>
      </c>
      <c r="R105" s="19" t="s">
        <v>76</v>
      </c>
      <c r="S105" s="20" t="s">
        <v>39</v>
      </c>
      <c r="T105">
        <v>30995.15</v>
      </c>
    </row>
    <row r="106" spans="1:20" x14ac:dyDescent="0.25">
      <c r="A106" t="str">
        <f>(COUNTIF($K$2:K106,K106))&amp;K106</f>
        <v>730400</v>
      </c>
      <c r="B106" s="34" t="s">
        <v>80</v>
      </c>
      <c r="C106" s="13" t="s">
        <v>40</v>
      </c>
      <c r="D106" s="14" t="s">
        <v>76</v>
      </c>
      <c r="E106" s="16">
        <v>875</v>
      </c>
      <c r="F106" s="17">
        <v>2100</v>
      </c>
      <c r="G106" s="24">
        <v>700</v>
      </c>
      <c r="H106" s="15">
        <v>25.7</v>
      </c>
      <c r="I106" s="15">
        <v>95.45</v>
      </c>
      <c r="J106" s="15">
        <v>648.79999999999995</v>
      </c>
      <c r="K106" s="18">
        <v>30400</v>
      </c>
      <c r="L106" s="15">
        <v>35.25</v>
      </c>
      <c r="M106" s="15">
        <v>-34.5</v>
      </c>
      <c r="N106" s="15">
        <v>23.74</v>
      </c>
      <c r="O106" s="24">
        <v>161060</v>
      </c>
      <c r="P106" s="17">
        <v>292380</v>
      </c>
      <c r="Q106" s="16">
        <v>278564</v>
      </c>
      <c r="R106" s="19" t="s">
        <v>76</v>
      </c>
      <c r="S106" s="20" t="s">
        <v>39</v>
      </c>
      <c r="T106">
        <v>30995.15</v>
      </c>
    </row>
    <row r="107" spans="1:20" x14ac:dyDescent="0.25">
      <c r="A107" t="str">
        <f>(COUNTIF($K$2:K107,K107))&amp;K107</f>
        <v>730500</v>
      </c>
      <c r="B107" s="34" t="s">
        <v>80</v>
      </c>
      <c r="C107" s="13" t="s">
        <v>40</v>
      </c>
      <c r="D107" s="14" t="s">
        <v>76</v>
      </c>
      <c r="E107" s="16">
        <v>12461</v>
      </c>
      <c r="F107" s="17">
        <v>55600</v>
      </c>
      <c r="G107" s="24">
        <v>7580</v>
      </c>
      <c r="H107" s="15">
        <v>25.27</v>
      </c>
      <c r="I107" s="15">
        <v>91.85</v>
      </c>
      <c r="J107" s="15">
        <v>565.4</v>
      </c>
      <c r="K107" s="18">
        <v>30500</v>
      </c>
      <c r="L107" s="15">
        <v>48</v>
      </c>
      <c r="M107" s="15">
        <v>-44.25</v>
      </c>
      <c r="N107" s="15">
        <v>23.47</v>
      </c>
      <c r="O107" s="24">
        <v>383100</v>
      </c>
      <c r="P107" s="17">
        <v>921440</v>
      </c>
      <c r="Q107" s="16">
        <v>595848</v>
      </c>
      <c r="R107" s="19" t="s">
        <v>76</v>
      </c>
      <c r="S107" s="20" t="s">
        <v>39</v>
      </c>
      <c r="T107">
        <v>30995.15</v>
      </c>
    </row>
    <row r="108" spans="1:20" x14ac:dyDescent="0.25">
      <c r="A108" t="str">
        <f>(COUNTIF($K$2:K108,K108))&amp;K108</f>
        <v>730600</v>
      </c>
      <c r="B108" s="34" t="s">
        <v>80</v>
      </c>
      <c r="C108" s="13" t="s">
        <v>40</v>
      </c>
      <c r="D108" s="14" t="s">
        <v>76</v>
      </c>
      <c r="E108" s="16">
        <v>10138</v>
      </c>
      <c r="F108" s="17">
        <v>20080</v>
      </c>
      <c r="G108" s="24">
        <v>3700</v>
      </c>
      <c r="H108" s="15">
        <v>21.81</v>
      </c>
      <c r="I108" s="15">
        <v>77.349999999999994</v>
      </c>
      <c r="J108" s="15">
        <v>480.9</v>
      </c>
      <c r="K108" s="18">
        <v>30600</v>
      </c>
      <c r="L108" s="15">
        <v>64.25</v>
      </c>
      <c r="M108" s="15">
        <v>-54</v>
      </c>
      <c r="N108" s="15">
        <v>23.01</v>
      </c>
      <c r="O108" s="24">
        <v>232560</v>
      </c>
      <c r="P108" s="17">
        <v>406380</v>
      </c>
      <c r="Q108" s="16">
        <v>345403</v>
      </c>
      <c r="R108" s="19" t="s">
        <v>76</v>
      </c>
      <c r="S108" s="20" t="s">
        <v>39</v>
      </c>
      <c r="T108">
        <v>30995.15</v>
      </c>
    </row>
    <row r="109" spans="1:20" x14ac:dyDescent="0.25">
      <c r="A109" t="str">
        <f>(COUNTIF($K$2:K109,K109))&amp;K109</f>
        <v>730700</v>
      </c>
      <c r="B109" s="34" t="s">
        <v>80</v>
      </c>
      <c r="C109" s="13" t="s">
        <v>40</v>
      </c>
      <c r="D109" s="14" t="s">
        <v>76</v>
      </c>
      <c r="E109" s="16">
        <v>45600</v>
      </c>
      <c r="F109" s="17">
        <v>56060</v>
      </c>
      <c r="G109" s="24">
        <v>27860</v>
      </c>
      <c r="H109" s="15">
        <v>22.48</v>
      </c>
      <c r="I109" s="15">
        <v>68.5</v>
      </c>
      <c r="J109" s="15">
        <v>400.95</v>
      </c>
      <c r="K109" s="18">
        <v>30700</v>
      </c>
      <c r="L109" s="15">
        <v>84.8</v>
      </c>
      <c r="M109" s="15">
        <v>-67.400000000000006</v>
      </c>
      <c r="N109" s="15">
        <v>22.7</v>
      </c>
      <c r="O109" s="24">
        <v>319120</v>
      </c>
      <c r="P109" s="17">
        <v>491600</v>
      </c>
      <c r="Q109" s="16">
        <v>406619</v>
      </c>
      <c r="R109" s="19" t="s">
        <v>76</v>
      </c>
      <c r="S109" s="20" t="s">
        <v>39</v>
      </c>
      <c r="T109">
        <v>30995.15</v>
      </c>
    </row>
    <row r="110" spans="1:20" x14ac:dyDescent="0.25">
      <c r="A110" t="str">
        <f>(COUNTIF($K$2:K110,K110))&amp;K110</f>
        <v>730800</v>
      </c>
      <c r="B110" s="34" t="s">
        <v>80</v>
      </c>
      <c r="C110" s="13" t="s">
        <v>40</v>
      </c>
      <c r="D110" s="14" t="s">
        <v>76</v>
      </c>
      <c r="E110" s="16">
        <v>148220</v>
      </c>
      <c r="F110" s="17">
        <v>221620</v>
      </c>
      <c r="G110" s="24">
        <v>79000</v>
      </c>
      <c r="H110" s="15">
        <v>21.36</v>
      </c>
      <c r="I110" s="15">
        <v>53.3</v>
      </c>
      <c r="J110" s="15">
        <v>326.95</v>
      </c>
      <c r="K110" s="18">
        <v>30800</v>
      </c>
      <c r="L110" s="15">
        <v>112</v>
      </c>
      <c r="M110" s="15">
        <v>-79.150000000000006</v>
      </c>
      <c r="N110" s="15">
        <v>22.3</v>
      </c>
      <c r="O110" s="24">
        <v>352420</v>
      </c>
      <c r="P110" s="17">
        <v>610060</v>
      </c>
      <c r="Q110" s="16">
        <v>413399</v>
      </c>
      <c r="R110" s="19" t="s">
        <v>76</v>
      </c>
      <c r="S110" s="20" t="s">
        <v>39</v>
      </c>
      <c r="T110">
        <v>30995.15</v>
      </c>
    </row>
    <row r="111" spans="1:20" x14ac:dyDescent="0.25">
      <c r="A111" t="str">
        <f>(COUNTIF($K$2:K111,K111))&amp;K111</f>
        <v>730900</v>
      </c>
      <c r="B111" s="34" t="s">
        <v>80</v>
      </c>
      <c r="C111" s="13" t="s">
        <v>40</v>
      </c>
      <c r="D111" s="14" t="s">
        <v>76</v>
      </c>
      <c r="E111" s="16">
        <v>262053</v>
      </c>
      <c r="F111" s="17">
        <v>395700</v>
      </c>
      <c r="G111" s="24">
        <v>175500</v>
      </c>
      <c r="H111" s="15">
        <v>20.92</v>
      </c>
      <c r="I111" s="15">
        <v>42.15</v>
      </c>
      <c r="J111" s="15">
        <v>263</v>
      </c>
      <c r="K111" s="18">
        <v>30900</v>
      </c>
      <c r="L111" s="15">
        <v>145.65</v>
      </c>
      <c r="M111" s="15">
        <v>-90.85</v>
      </c>
      <c r="N111" s="15">
        <v>22.03</v>
      </c>
      <c r="O111" s="24">
        <v>330160</v>
      </c>
      <c r="P111" s="17">
        <v>538880</v>
      </c>
      <c r="Q111" s="16">
        <v>357019</v>
      </c>
      <c r="R111" s="19" t="s">
        <v>76</v>
      </c>
      <c r="S111" s="20" t="s">
        <v>39</v>
      </c>
      <c r="T111">
        <v>30995.15</v>
      </c>
    </row>
    <row r="112" spans="1:20" ht="15.75" x14ac:dyDescent="0.25">
      <c r="A112" t="str">
        <f>(COUNTIF($K$2:K112,K112))&amp;K112</f>
        <v>731000</v>
      </c>
      <c r="B112" s="34" t="s">
        <v>80</v>
      </c>
      <c r="C112" s="13" t="s">
        <v>40</v>
      </c>
      <c r="D112" s="14" t="s">
        <v>76</v>
      </c>
      <c r="E112" s="16">
        <v>563653</v>
      </c>
      <c r="F112" s="17">
        <v>1059480</v>
      </c>
      <c r="G112" s="24">
        <v>281220</v>
      </c>
      <c r="H112" s="15">
        <v>20.99</v>
      </c>
      <c r="I112" s="15">
        <v>29.15</v>
      </c>
      <c r="J112" s="15">
        <v>206.95</v>
      </c>
      <c r="K112" s="21">
        <v>31000</v>
      </c>
      <c r="L112" s="15">
        <v>190.1</v>
      </c>
      <c r="M112" s="15">
        <v>-101.85</v>
      </c>
      <c r="N112" s="15">
        <v>21.99</v>
      </c>
      <c r="O112" s="24">
        <v>340780</v>
      </c>
      <c r="P112" s="17">
        <v>792000</v>
      </c>
      <c r="Q112" s="16">
        <v>341258</v>
      </c>
      <c r="R112" s="19" t="s">
        <v>76</v>
      </c>
      <c r="S112" s="20" t="s">
        <v>39</v>
      </c>
      <c r="T112">
        <v>30995.15</v>
      </c>
    </row>
    <row r="113" spans="1:20" x14ac:dyDescent="0.25">
      <c r="A113" t="str">
        <f>(COUNTIF($K$2:K113,K113))&amp;K113</f>
        <v>731100</v>
      </c>
      <c r="B113" s="34" t="s">
        <v>80</v>
      </c>
      <c r="C113" s="13" t="s">
        <v>40</v>
      </c>
      <c r="D113" s="14" t="s">
        <v>76</v>
      </c>
      <c r="E113" s="16">
        <v>354129</v>
      </c>
      <c r="F113" s="17">
        <v>470560</v>
      </c>
      <c r="G113" s="24">
        <v>100640</v>
      </c>
      <c r="H113" s="15">
        <v>21.08</v>
      </c>
      <c r="I113" s="15">
        <v>20.75</v>
      </c>
      <c r="J113" s="15">
        <v>161</v>
      </c>
      <c r="K113" s="18">
        <v>31100</v>
      </c>
      <c r="L113" s="15">
        <v>245.25</v>
      </c>
      <c r="M113" s="15">
        <v>-108.2</v>
      </c>
      <c r="N113" s="15">
        <v>21.84</v>
      </c>
      <c r="O113" s="24">
        <v>41540</v>
      </c>
      <c r="P113" s="17">
        <v>145800</v>
      </c>
      <c r="Q113" s="16">
        <v>78494</v>
      </c>
      <c r="R113" s="19" t="s">
        <v>76</v>
      </c>
      <c r="S113" s="20" t="s">
        <v>39</v>
      </c>
      <c r="T113">
        <v>30995.15</v>
      </c>
    </row>
    <row r="114" spans="1:20" x14ac:dyDescent="0.25">
      <c r="A114" t="str">
        <f>(COUNTIF($K$2:K114,K114))&amp;K114</f>
        <v>731200</v>
      </c>
      <c r="B114" s="34" t="s">
        <v>80</v>
      </c>
      <c r="C114" s="13" t="s">
        <v>40</v>
      </c>
      <c r="D114" s="14" t="s">
        <v>76</v>
      </c>
      <c r="E114" s="16">
        <v>540118</v>
      </c>
      <c r="F114" s="17">
        <v>695960</v>
      </c>
      <c r="G114" s="24">
        <v>136560</v>
      </c>
      <c r="H114" s="15">
        <v>21.28</v>
      </c>
      <c r="I114" s="15">
        <v>11.5</v>
      </c>
      <c r="J114" s="15">
        <v>122.35</v>
      </c>
      <c r="K114" s="18">
        <v>31200</v>
      </c>
      <c r="L114" s="15">
        <v>304.55</v>
      </c>
      <c r="M114" s="15">
        <v>-120.7</v>
      </c>
      <c r="N114" s="15">
        <v>22.11</v>
      </c>
      <c r="O114" s="24">
        <v>13060</v>
      </c>
      <c r="P114" s="17">
        <v>118160</v>
      </c>
      <c r="Q114" s="16">
        <v>41879</v>
      </c>
      <c r="R114" s="19" t="s">
        <v>76</v>
      </c>
      <c r="S114" s="20" t="s">
        <v>39</v>
      </c>
      <c r="T114">
        <v>30995.15</v>
      </c>
    </row>
    <row r="115" spans="1:20" x14ac:dyDescent="0.25">
      <c r="A115" t="str">
        <f>(COUNTIF($K$2:K115,K115))&amp;K115</f>
        <v>731300</v>
      </c>
      <c r="B115" s="34" t="s">
        <v>80</v>
      </c>
      <c r="C115" s="13" t="s">
        <v>40</v>
      </c>
      <c r="D115" s="14" t="s">
        <v>76</v>
      </c>
      <c r="E115" s="16">
        <v>380707</v>
      </c>
      <c r="F115" s="17">
        <v>602680</v>
      </c>
      <c r="G115" s="24">
        <v>155000</v>
      </c>
      <c r="H115" s="15">
        <v>21.33</v>
      </c>
      <c r="I115" s="15">
        <v>5.35</v>
      </c>
      <c r="J115" s="15">
        <v>90.9</v>
      </c>
      <c r="K115" s="18">
        <v>31300</v>
      </c>
      <c r="L115" s="15">
        <v>374.7</v>
      </c>
      <c r="M115" s="15">
        <v>-134</v>
      </c>
      <c r="N115" s="15">
        <v>21.04</v>
      </c>
      <c r="O115" s="24">
        <v>-14320</v>
      </c>
      <c r="P115" s="17">
        <v>88860</v>
      </c>
      <c r="Q115" s="16">
        <v>11035</v>
      </c>
      <c r="R115" s="19" t="s">
        <v>77</v>
      </c>
      <c r="S115" s="20" t="s">
        <v>37</v>
      </c>
      <c r="T115">
        <v>30995.15</v>
      </c>
    </row>
    <row r="116" spans="1:20" x14ac:dyDescent="0.25">
      <c r="A116" t="str">
        <f>(COUNTIF($K$2:K116,K116))&amp;K116</f>
        <v>731400</v>
      </c>
      <c r="B116" s="34" t="s">
        <v>80</v>
      </c>
      <c r="C116" s="13" t="s">
        <v>40</v>
      </c>
      <c r="D116" s="14" t="s">
        <v>76</v>
      </c>
      <c r="E116" s="16">
        <v>339393</v>
      </c>
      <c r="F116" s="17">
        <v>548780</v>
      </c>
      <c r="G116" s="24">
        <v>155620</v>
      </c>
      <c r="H116" s="15">
        <v>21.54</v>
      </c>
      <c r="I116" s="15">
        <v>0.15</v>
      </c>
      <c r="J116" s="15">
        <v>66</v>
      </c>
      <c r="K116" s="18">
        <v>31400</v>
      </c>
      <c r="L116" s="15">
        <v>447.55</v>
      </c>
      <c r="M116" s="15">
        <v>-134.4</v>
      </c>
      <c r="N116" s="15">
        <v>21.38</v>
      </c>
      <c r="O116" s="24">
        <v>4280</v>
      </c>
      <c r="P116" s="17">
        <v>54760</v>
      </c>
      <c r="Q116" s="16">
        <v>3843</v>
      </c>
      <c r="R116" s="19" t="s">
        <v>76</v>
      </c>
      <c r="S116" s="20" t="s">
        <v>39</v>
      </c>
      <c r="T116">
        <v>30995.15</v>
      </c>
    </row>
    <row r="117" spans="1:20" x14ac:dyDescent="0.25">
      <c r="A117" t="str">
        <f>(COUNTIF($K$2:K117,K117))&amp;K117</f>
        <v>731500</v>
      </c>
      <c r="B117" s="34" t="s">
        <v>80</v>
      </c>
      <c r="C117" s="13" t="s">
        <v>39</v>
      </c>
      <c r="D117" s="14" t="s">
        <v>76</v>
      </c>
      <c r="E117" s="16">
        <v>499337</v>
      </c>
      <c r="F117" s="17">
        <v>1427360</v>
      </c>
      <c r="G117" s="24">
        <v>233000</v>
      </c>
      <c r="H117" s="15">
        <v>21.96</v>
      </c>
      <c r="I117" s="15">
        <v>-1.85</v>
      </c>
      <c r="J117" s="15">
        <v>48.1</v>
      </c>
      <c r="K117" s="18">
        <v>31500</v>
      </c>
      <c r="L117" s="15">
        <v>533.35</v>
      </c>
      <c r="M117" s="15">
        <v>-133.94999999999999</v>
      </c>
      <c r="N117" s="15">
        <v>23.2</v>
      </c>
      <c r="O117" s="24">
        <v>6720</v>
      </c>
      <c r="P117" s="17">
        <v>474820</v>
      </c>
      <c r="Q117" s="16">
        <v>6306</v>
      </c>
      <c r="R117" s="19" t="s">
        <v>76</v>
      </c>
      <c r="S117" s="20" t="s">
        <v>39</v>
      </c>
      <c r="T117">
        <v>30995.15</v>
      </c>
    </row>
    <row r="118" spans="1:20" x14ac:dyDescent="0.25">
      <c r="A118" t="str">
        <f>(COUNTIF($K$2:K118,K118))&amp;K118</f>
        <v>731600</v>
      </c>
      <c r="B118" s="34" t="s">
        <v>80</v>
      </c>
      <c r="C118" s="13" t="s">
        <v>39</v>
      </c>
      <c r="D118" s="14" t="s">
        <v>76</v>
      </c>
      <c r="E118" s="16">
        <v>196740</v>
      </c>
      <c r="F118" s="17">
        <v>361060</v>
      </c>
      <c r="G118" s="24">
        <v>76840</v>
      </c>
      <c r="H118" s="15">
        <v>22.32</v>
      </c>
      <c r="I118" s="15">
        <v>-3.75</v>
      </c>
      <c r="J118" s="15">
        <v>34</v>
      </c>
      <c r="K118" s="18">
        <v>31600</v>
      </c>
      <c r="L118" s="15">
        <v>615</v>
      </c>
      <c r="M118" s="15">
        <v>-145.85</v>
      </c>
      <c r="N118" s="15">
        <v>17.29</v>
      </c>
      <c r="O118" s="24" t="s">
        <v>14</v>
      </c>
      <c r="P118" s="17">
        <v>17660</v>
      </c>
      <c r="Q118" s="16">
        <v>267</v>
      </c>
      <c r="R118" s="19" t="s">
        <v>76</v>
      </c>
      <c r="S118" s="20" t="s">
        <v>39</v>
      </c>
      <c r="T118">
        <v>30995.15</v>
      </c>
    </row>
    <row r="119" spans="1:20" x14ac:dyDescent="0.25">
      <c r="A119" t="str">
        <f>(COUNTIF($K$2:K119,K119))&amp;K119</f>
        <v>731700</v>
      </c>
      <c r="B119" s="34" t="s">
        <v>80</v>
      </c>
      <c r="C119" s="13" t="s">
        <v>39</v>
      </c>
      <c r="D119" s="14" t="s">
        <v>76</v>
      </c>
      <c r="E119" s="16">
        <v>129550</v>
      </c>
      <c r="F119" s="17">
        <v>370420</v>
      </c>
      <c r="G119" s="24">
        <v>12460</v>
      </c>
      <c r="H119" s="15">
        <v>22.38</v>
      </c>
      <c r="I119" s="15">
        <v>-4.0999999999999996</v>
      </c>
      <c r="J119" s="15">
        <v>24.05</v>
      </c>
      <c r="K119" s="18">
        <v>31700</v>
      </c>
      <c r="L119" s="15">
        <v>706</v>
      </c>
      <c r="M119" s="15">
        <v>-137.69999999999999</v>
      </c>
      <c r="N119" s="15" t="s">
        <v>14</v>
      </c>
      <c r="O119" s="24">
        <v>-1060</v>
      </c>
      <c r="P119" s="17">
        <v>10280</v>
      </c>
      <c r="Q119" s="16">
        <v>305</v>
      </c>
      <c r="R119" s="19" t="s">
        <v>77</v>
      </c>
      <c r="S119" s="20" t="s">
        <v>37</v>
      </c>
      <c r="T119">
        <v>30995.15</v>
      </c>
    </row>
    <row r="120" spans="1:20" x14ac:dyDescent="0.25">
      <c r="A120" t="str">
        <f>(COUNTIF($K$2:K120,K120))&amp;K120</f>
        <v>7PCR</v>
      </c>
      <c r="B120" s="34" t="s">
        <v>80</v>
      </c>
      <c r="C120" s="41">
        <v>0.86687978442482039</v>
      </c>
      <c r="E120" s="33"/>
      <c r="F120" s="39">
        <v>6293860</v>
      </c>
      <c r="G120" s="40"/>
      <c r="H120" s="38"/>
      <c r="I120" s="38"/>
      <c r="J120" s="38"/>
      <c r="K120" s="56" t="s">
        <v>57</v>
      </c>
      <c r="L120" s="38"/>
      <c r="M120" s="38"/>
      <c r="N120" s="38"/>
      <c r="P120" s="40">
        <v>5456020</v>
      </c>
      <c r="Q120" s="33"/>
      <c r="R120" s="38"/>
      <c r="S120" s="38"/>
    </row>
    <row r="121" spans="1:20" x14ac:dyDescent="0.25">
      <c r="A121" t="str">
        <f>(COUNTIF($K$2:K121,K121))&amp;K121</f>
        <v>830200</v>
      </c>
      <c r="B121" s="34" t="s">
        <v>81</v>
      </c>
      <c r="C121" s="13" t="s">
        <v>74</v>
      </c>
      <c r="D121" s="14" t="s">
        <v>76</v>
      </c>
      <c r="E121" s="16">
        <v>165</v>
      </c>
      <c r="F121" s="17">
        <v>1440</v>
      </c>
      <c r="G121" s="24">
        <v>1020</v>
      </c>
      <c r="H121" s="15">
        <v>27.55</v>
      </c>
      <c r="I121" s="15">
        <v>129.05000000000001</v>
      </c>
      <c r="J121" s="15">
        <v>850</v>
      </c>
      <c r="K121" s="18">
        <v>30200</v>
      </c>
      <c r="L121" s="15">
        <v>18.75</v>
      </c>
      <c r="M121" s="15">
        <v>-21.4</v>
      </c>
      <c r="N121" s="15">
        <v>24.97</v>
      </c>
      <c r="O121" s="24">
        <v>36500</v>
      </c>
      <c r="P121" s="17">
        <v>250560</v>
      </c>
      <c r="Q121" s="16">
        <v>148775</v>
      </c>
      <c r="R121" s="19" t="s">
        <v>76</v>
      </c>
      <c r="S121" s="20" t="s">
        <v>39</v>
      </c>
      <c r="T121">
        <v>31010.400000000001</v>
      </c>
    </row>
    <row r="122" spans="1:20" x14ac:dyDescent="0.25">
      <c r="A122" t="str">
        <f>(COUNTIF($K$2:K122,K122))&amp;K122</f>
        <v>830300</v>
      </c>
      <c r="B122" s="34" t="s">
        <v>81</v>
      </c>
      <c r="C122" s="13" t="s">
        <v>40</v>
      </c>
      <c r="D122" s="14" t="s">
        <v>76</v>
      </c>
      <c r="E122" s="16">
        <v>588</v>
      </c>
      <c r="F122" s="17">
        <v>4960</v>
      </c>
      <c r="G122" s="24">
        <v>2800</v>
      </c>
      <c r="H122" s="15">
        <v>34.840000000000003</v>
      </c>
      <c r="I122" s="15">
        <v>109.5</v>
      </c>
      <c r="J122" s="15">
        <v>739.15</v>
      </c>
      <c r="K122" s="18">
        <v>30300</v>
      </c>
      <c r="L122" s="15">
        <v>25.35</v>
      </c>
      <c r="M122" s="15">
        <v>-27.3</v>
      </c>
      <c r="N122" s="15">
        <v>24.25</v>
      </c>
      <c r="O122" s="24">
        <v>98720</v>
      </c>
      <c r="P122" s="17">
        <v>245020</v>
      </c>
      <c r="Q122" s="16">
        <v>191385</v>
      </c>
      <c r="R122" s="19" t="s">
        <v>76</v>
      </c>
      <c r="S122" s="20" t="s">
        <v>39</v>
      </c>
      <c r="T122">
        <v>31010.400000000001</v>
      </c>
    </row>
    <row r="123" spans="1:20" x14ac:dyDescent="0.25">
      <c r="A123" t="str">
        <f>(COUNTIF($K$2:K123,K123))&amp;K123</f>
        <v>830400</v>
      </c>
      <c r="B123" s="34" t="s">
        <v>81</v>
      </c>
      <c r="C123" s="13" t="s">
        <v>40</v>
      </c>
      <c r="D123" s="14" t="s">
        <v>76</v>
      </c>
      <c r="E123" s="16">
        <v>876</v>
      </c>
      <c r="F123" s="17">
        <v>2100</v>
      </c>
      <c r="G123" s="24">
        <v>700</v>
      </c>
      <c r="H123" s="15">
        <v>25.7</v>
      </c>
      <c r="I123" s="15">
        <v>107.6</v>
      </c>
      <c r="J123" s="15">
        <v>660.95</v>
      </c>
      <c r="K123" s="18">
        <v>30400</v>
      </c>
      <c r="L123" s="15">
        <v>34.5</v>
      </c>
      <c r="M123" s="15">
        <v>-35.25</v>
      </c>
      <c r="N123" s="15">
        <v>23.74</v>
      </c>
      <c r="O123" s="24">
        <v>158600</v>
      </c>
      <c r="P123" s="17">
        <v>289920</v>
      </c>
      <c r="Q123" s="16">
        <v>280025</v>
      </c>
      <c r="R123" s="19" t="s">
        <v>76</v>
      </c>
      <c r="S123" s="20" t="s">
        <v>39</v>
      </c>
      <c r="T123">
        <v>31010.400000000001</v>
      </c>
    </row>
    <row r="124" spans="1:20" x14ac:dyDescent="0.25">
      <c r="A124" t="str">
        <f>(COUNTIF($K$2:K124,K124))&amp;K124</f>
        <v>830500</v>
      </c>
      <c r="B124" s="34" t="s">
        <v>81</v>
      </c>
      <c r="C124" s="13" t="s">
        <v>40</v>
      </c>
      <c r="D124" s="14" t="s">
        <v>76</v>
      </c>
      <c r="E124" s="16">
        <v>12521</v>
      </c>
      <c r="F124" s="17">
        <v>56000</v>
      </c>
      <c r="G124" s="24">
        <v>7980</v>
      </c>
      <c r="H124" s="15">
        <v>25.27</v>
      </c>
      <c r="I124" s="15">
        <v>94.4</v>
      </c>
      <c r="J124" s="15">
        <v>567.95000000000005</v>
      </c>
      <c r="K124" s="18">
        <v>30500</v>
      </c>
      <c r="L124" s="15">
        <v>46.9</v>
      </c>
      <c r="M124" s="15">
        <v>-45.35</v>
      </c>
      <c r="N124" s="15">
        <v>23.47</v>
      </c>
      <c r="O124" s="24">
        <v>391620</v>
      </c>
      <c r="P124" s="17">
        <v>929960</v>
      </c>
      <c r="Q124" s="16">
        <v>598903</v>
      </c>
      <c r="R124" s="19" t="s">
        <v>76</v>
      </c>
      <c r="S124" s="20" t="s">
        <v>39</v>
      </c>
      <c r="T124">
        <v>31010.400000000001</v>
      </c>
    </row>
    <row r="125" spans="1:20" x14ac:dyDescent="0.25">
      <c r="A125" t="str">
        <f>(COUNTIF($K$2:K125,K125))&amp;K125</f>
        <v>830600</v>
      </c>
      <c r="B125" s="34" t="s">
        <v>81</v>
      </c>
      <c r="C125" s="13" t="s">
        <v>40</v>
      </c>
      <c r="D125" s="14" t="s">
        <v>76</v>
      </c>
      <c r="E125" s="16">
        <v>10190</v>
      </c>
      <c r="F125" s="17">
        <v>19160</v>
      </c>
      <c r="G125" s="24">
        <v>2780</v>
      </c>
      <c r="H125" s="15">
        <v>21.81</v>
      </c>
      <c r="I125" s="15">
        <v>84.45</v>
      </c>
      <c r="J125" s="15">
        <v>488</v>
      </c>
      <c r="K125" s="18">
        <v>30600</v>
      </c>
      <c r="L125" s="15">
        <v>62.7</v>
      </c>
      <c r="M125" s="15">
        <v>-55.55</v>
      </c>
      <c r="N125" s="15">
        <v>23.01</v>
      </c>
      <c r="O125" s="24">
        <v>236880</v>
      </c>
      <c r="P125" s="17">
        <v>410700</v>
      </c>
      <c r="Q125" s="16">
        <v>347668</v>
      </c>
      <c r="R125" s="19" t="s">
        <v>76</v>
      </c>
      <c r="S125" s="20" t="s">
        <v>39</v>
      </c>
      <c r="T125">
        <v>31010.400000000001</v>
      </c>
    </row>
    <row r="126" spans="1:20" x14ac:dyDescent="0.25">
      <c r="A126" t="str">
        <f>(COUNTIF($K$2:K126,K126))&amp;K126</f>
        <v>830700</v>
      </c>
      <c r="B126" s="34" t="s">
        <v>81</v>
      </c>
      <c r="C126" s="13" t="s">
        <v>40</v>
      </c>
      <c r="D126" s="14" t="s">
        <v>76</v>
      </c>
      <c r="E126" s="16">
        <v>45774</v>
      </c>
      <c r="F126" s="17">
        <v>54600</v>
      </c>
      <c r="G126" s="24">
        <v>26400</v>
      </c>
      <c r="H126" s="15">
        <v>22.48</v>
      </c>
      <c r="I126" s="15">
        <v>74.900000000000006</v>
      </c>
      <c r="J126" s="15">
        <v>407.35</v>
      </c>
      <c r="K126" s="18">
        <v>30700</v>
      </c>
      <c r="L126" s="15">
        <v>83.4</v>
      </c>
      <c r="M126" s="15">
        <v>-68.8</v>
      </c>
      <c r="N126" s="15">
        <v>22.7</v>
      </c>
      <c r="O126" s="24">
        <v>321380</v>
      </c>
      <c r="P126" s="17">
        <v>493860</v>
      </c>
      <c r="Q126" s="16">
        <v>408654</v>
      </c>
      <c r="R126" s="19" t="s">
        <v>76</v>
      </c>
      <c r="S126" s="20" t="s">
        <v>39</v>
      </c>
      <c r="T126">
        <v>31010.400000000001</v>
      </c>
    </row>
    <row r="127" spans="1:20" x14ac:dyDescent="0.25">
      <c r="A127" t="str">
        <f>(COUNTIF($K$2:K127,K127))&amp;K127</f>
        <v>830800</v>
      </c>
      <c r="B127" s="34" t="s">
        <v>81</v>
      </c>
      <c r="C127" s="13" t="s">
        <v>40</v>
      </c>
      <c r="D127" s="14" t="s">
        <v>76</v>
      </c>
      <c r="E127" s="16">
        <v>148681</v>
      </c>
      <c r="F127" s="17">
        <v>214720</v>
      </c>
      <c r="G127" s="24">
        <v>72100</v>
      </c>
      <c r="H127" s="15">
        <v>21.36</v>
      </c>
      <c r="I127" s="15">
        <v>61.05</v>
      </c>
      <c r="J127" s="15">
        <v>334.7</v>
      </c>
      <c r="K127" s="18">
        <v>30800</v>
      </c>
      <c r="L127" s="15">
        <v>110</v>
      </c>
      <c r="M127" s="15">
        <v>-81.150000000000006</v>
      </c>
      <c r="N127" s="15">
        <v>22.3</v>
      </c>
      <c r="O127" s="24">
        <v>321080</v>
      </c>
      <c r="P127" s="17">
        <v>578720</v>
      </c>
      <c r="Q127" s="16">
        <v>417299</v>
      </c>
      <c r="R127" s="19" t="s">
        <v>76</v>
      </c>
      <c r="S127" s="20" t="s">
        <v>39</v>
      </c>
      <c r="T127">
        <v>31010.400000000001</v>
      </c>
    </row>
    <row r="128" spans="1:20" x14ac:dyDescent="0.25">
      <c r="A128" t="str">
        <f>(COUNTIF($K$2:K128,K128))&amp;K128</f>
        <v>830900</v>
      </c>
      <c r="B128" s="34" t="s">
        <v>81</v>
      </c>
      <c r="C128" s="13" t="s">
        <v>40</v>
      </c>
      <c r="D128" s="14" t="s">
        <v>76</v>
      </c>
      <c r="E128" s="16">
        <v>263095</v>
      </c>
      <c r="F128" s="17">
        <v>390980</v>
      </c>
      <c r="G128" s="24">
        <v>170780</v>
      </c>
      <c r="H128" s="15">
        <v>20.92</v>
      </c>
      <c r="I128" s="15">
        <v>49.05</v>
      </c>
      <c r="J128" s="15">
        <v>269.89999999999998</v>
      </c>
      <c r="K128" s="18">
        <v>30900</v>
      </c>
      <c r="L128" s="15">
        <v>143.55000000000001</v>
      </c>
      <c r="M128" s="15">
        <v>-92.95</v>
      </c>
      <c r="N128" s="15">
        <v>22.03</v>
      </c>
      <c r="O128" s="24">
        <v>329240</v>
      </c>
      <c r="P128" s="17">
        <v>537960</v>
      </c>
      <c r="Q128" s="16">
        <v>358706</v>
      </c>
      <c r="R128" s="19" t="s">
        <v>76</v>
      </c>
      <c r="S128" s="20" t="s">
        <v>39</v>
      </c>
      <c r="T128">
        <v>31010.400000000001</v>
      </c>
    </row>
    <row r="129" spans="1:20" ht="15.75" x14ac:dyDescent="0.25">
      <c r="A129" t="str">
        <f>(COUNTIF($K$2:K129,K129))&amp;K129</f>
        <v>831000</v>
      </c>
      <c r="B129" s="34" t="s">
        <v>81</v>
      </c>
      <c r="C129" s="13" t="s">
        <v>40</v>
      </c>
      <c r="D129" s="14" t="s">
        <v>76</v>
      </c>
      <c r="E129" s="16">
        <v>567331</v>
      </c>
      <c r="F129" s="17">
        <v>1049520</v>
      </c>
      <c r="G129" s="24">
        <v>271260</v>
      </c>
      <c r="H129" s="15">
        <v>20.99</v>
      </c>
      <c r="I129" s="15">
        <v>33.450000000000003</v>
      </c>
      <c r="J129" s="15">
        <v>211.25</v>
      </c>
      <c r="K129" s="21">
        <v>31000</v>
      </c>
      <c r="L129" s="15">
        <v>186.15</v>
      </c>
      <c r="M129" s="15">
        <v>-105.8</v>
      </c>
      <c r="N129" s="15">
        <v>21.99</v>
      </c>
      <c r="O129" s="24">
        <v>337840</v>
      </c>
      <c r="P129" s="17">
        <v>789060</v>
      </c>
      <c r="Q129" s="16">
        <v>343475</v>
      </c>
      <c r="R129" s="19" t="s">
        <v>76</v>
      </c>
      <c r="S129" s="20" t="s">
        <v>39</v>
      </c>
      <c r="T129">
        <v>31010.400000000001</v>
      </c>
    </row>
    <row r="130" spans="1:20" x14ac:dyDescent="0.25">
      <c r="A130" t="str">
        <f>(COUNTIF($K$2:K130,K130))&amp;K130</f>
        <v>831100</v>
      </c>
      <c r="B130" s="34" t="s">
        <v>81</v>
      </c>
      <c r="C130" s="13" t="s">
        <v>40</v>
      </c>
      <c r="D130" s="14" t="s">
        <v>76</v>
      </c>
      <c r="E130" s="16">
        <v>355814</v>
      </c>
      <c r="F130" s="17">
        <v>471400</v>
      </c>
      <c r="G130" s="24">
        <v>101480</v>
      </c>
      <c r="H130" s="15">
        <v>21.08</v>
      </c>
      <c r="I130" s="15">
        <v>23.2</v>
      </c>
      <c r="J130" s="15">
        <v>163.44999999999999</v>
      </c>
      <c r="K130" s="18">
        <v>31100</v>
      </c>
      <c r="L130" s="15">
        <v>238.6</v>
      </c>
      <c r="M130" s="15">
        <v>-114.85</v>
      </c>
      <c r="N130" s="15">
        <v>21.84</v>
      </c>
      <c r="O130" s="24">
        <v>40180</v>
      </c>
      <c r="P130" s="17">
        <v>144440</v>
      </c>
      <c r="Q130" s="16">
        <v>79106</v>
      </c>
      <c r="R130" s="19" t="s">
        <v>76</v>
      </c>
      <c r="S130" s="20" t="s">
        <v>39</v>
      </c>
      <c r="T130">
        <v>31010.400000000001</v>
      </c>
    </row>
    <row r="131" spans="1:20" x14ac:dyDescent="0.25">
      <c r="A131" t="str">
        <f>(COUNTIF($K$2:K131,K131))&amp;K131</f>
        <v>831200</v>
      </c>
      <c r="B131" s="34" t="s">
        <v>81</v>
      </c>
      <c r="C131" s="13" t="s">
        <v>40</v>
      </c>
      <c r="D131" s="14" t="s">
        <v>76</v>
      </c>
      <c r="E131" s="16">
        <v>543192</v>
      </c>
      <c r="F131" s="17">
        <v>694400</v>
      </c>
      <c r="G131" s="24">
        <v>135000</v>
      </c>
      <c r="H131" s="15">
        <v>21.28</v>
      </c>
      <c r="I131" s="15">
        <v>14.15</v>
      </c>
      <c r="J131" s="15">
        <v>125</v>
      </c>
      <c r="K131" s="18">
        <v>31200</v>
      </c>
      <c r="L131" s="15">
        <v>300.85000000000002</v>
      </c>
      <c r="M131" s="15">
        <v>-124.4</v>
      </c>
      <c r="N131" s="15">
        <v>22.11</v>
      </c>
      <c r="O131" s="24">
        <v>16920</v>
      </c>
      <c r="P131" s="17">
        <v>122020</v>
      </c>
      <c r="Q131" s="16">
        <v>42234</v>
      </c>
      <c r="R131" s="19" t="s">
        <v>76</v>
      </c>
      <c r="S131" s="20" t="s">
        <v>39</v>
      </c>
      <c r="T131">
        <v>31010.400000000001</v>
      </c>
    </row>
    <row r="132" spans="1:20" x14ac:dyDescent="0.25">
      <c r="A132" t="str">
        <f>(COUNTIF($K$2:K132,K132))&amp;K132</f>
        <v>831300</v>
      </c>
      <c r="B132" s="34" t="s">
        <v>81</v>
      </c>
      <c r="C132" s="13" t="s">
        <v>40</v>
      </c>
      <c r="D132" s="14" t="s">
        <v>76</v>
      </c>
      <c r="E132" s="16">
        <v>383883</v>
      </c>
      <c r="F132" s="17">
        <v>604040</v>
      </c>
      <c r="G132" s="24">
        <v>156360</v>
      </c>
      <c r="H132" s="15">
        <v>21.33</v>
      </c>
      <c r="I132" s="15">
        <v>7.45</v>
      </c>
      <c r="J132" s="15">
        <v>93</v>
      </c>
      <c r="K132" s="18">
        <v>31300</v>
      </c>
      <c r="L132" s="15">
        <v>367.6</v>
      </c>
      <c r="M132" s="15">
        <v>-141.1</v>
      </c>
      <c r="N132" s="15">
        <v>21.04</v>
      </c>
      <c r="O132" s="24">
        <v>-14420</v>
      </c>
      <c r="P132" s="17">
        <v>88760</v>
      </c>
      <c r="Q132" s="16">
        <v>11094</v>
      </c>
      <c r="R132" s="19" t="s">
        <v>77</v>
      </c>
      <c r="S132" s="20" t="s">
        <v>37</v>
      </c>
      <c r="T132">
        <v>31010.400000000001</v>
      </c>
    </row>
    <row r="133" spans="1:20" x14ac:dyDescent="0.25">
      <c r="A133" t="str">
        <f>(COUNTIF($K$2:K133,K133))&amp;K133</f>
        <v>831400</v>
      </c>
      <c r="B133" s="34" t="s">
        <v>81</v>
      </c>
      <c r="C133" s="13" t="s">
        <v>40</v>
      </c>
      <c r="D133" s="14" t="s">
        <v>76</v>
      </c>
      <c r="E133" s="16">
        <v>341470</v>
      </c>
      <c r="F133" s="17">
        <v>541480</v>
      </c>
      <c r="G133" s="24">
        <v>148320</v>
      </c>
      <c r="H133" s="15">
        <v>21.54</v>
      </c>
      <c r="I133" s="15">
        <v>2.15</v>
      </c>
      <c r="J133" s="15">
        <v>68</v>
      </c>
      <c r="K133" s="18">
        <v>31400</v>
      </c>
      <c r="L133" s="15">
        <v>439.2</v>
      </c>
      <c r="M133" s="15">
        <v>-142.75</v>
      </c>
      <c r="N133" s="15">
        <v>21.38</v>
      </c>
      <c r="O133" s="24">
        <v>4280</v>
      </c>
      <c r="P133" s="17">
        <v>54760</v>
      </c>
      <c r="Q133" s="16">
        <v>3846</v>
      </c>
      <c r="R133" s="19" t="s">
        <v>76</v>
      </c>
      <c r="S133" s="20" t="s">
        <v>39</v>
      </c>
      <c r="T133">
        <v>31010.400000000001</v>
      </c>
    </row>
    <row r="134" spans="1:20" x14ac:dyDescent="0.25">
      <c r="A134" t="str">
        <f>(COUNTIF($K$2:K134,K134))&amp;K134</f>
        <v>831500</v>
      </c>
      <c r="B134" s="34" t="s">
        <v>81</v>
      </c>
      <c r="C134" s="13" t="s">
        <v>39</v>
      </c>
      <c r="D134" s="14" t="s">
        <v>76</v>
      </c>
      <c r="E134" s="16">
        <v>502213</v>
      </c>
      <c r="F134" s="17">
        <v>1432080</v>
      </c>
      <c r="G134" s="24">
        <v>237720</v>
      </c>
      <c r="H134" s="15">
        <v>21.96</v>
      </c>
      <c r="I134" s="15">
        <v>-0.5</v>
      </c>
      <c r="J134" s="15">
        <v>49.45</v>
      </c>
      <c r="K134" s="18">
        <v>31500</v>
      </c>
      <c r="L134" s="15">
        <v>525.70000000000005</v>
      </c>
      <c r="M134" s="15">
        <v>-141.6</v>
      </c>
      <c r="N134" s="15">
        <v>23.2</v>
      </c>
      <c r="O134" s="24">
        <v>6620</v>
      </c>
      <c r="P134" s="17">
        <v>474720</v>
      </c>
      <c r="Q134" s="16">
        <v>6321</v>
      </c>
      <c r="R134" s="19" t="s">
        <v>76</v>
      </c>
      <c r="S134" s="20" t="s">
        <v>39</v>
      </c>
      <c r="T134">
        <v>31010.400000000001</v>
      </c>
    </row>
    <row r="135" spans="1:20" x14ac:dyDescent="0.25">
      <c r="A135" t="str">
        <f>(COUNTIF($K$2:K135,K135))&amp;K135</f>
        <v>831600</v>
      </c>
      <c r="B135" s="34" t="s">
        <v>81</v>
      </c>
      <c r="C135" s="13" t="s">
        <v>39</v>
      </c>
      <c r="D135" s="14" t="s">
        <v>76</v>
      </c>
      <c r="E135" s="16">
        <v>197805</v>
      </c>
      <c r="F135" s="17">
        <v>354200</v>
      </c>
      <c r="G135" s="24">
        <v>69980</v>
      </c>
      <c r="H135" s="15">
        <v>22.32</v>
      </c>
      <c r="I135" s="15">
        <v>-3.05</v>
      </c>
      <c r="J135" s="15">
        <v>34.700000000000003</v>
      </c>
      <c r="K135" s="18">
        <v>31600</v>
      </c>
      <c r="L135" s="15">
        <v>615</v>
      </c>
      <c r="M135" s="15">
        <v>-145.85</v>
      </c>
      <c r="N135" s="15">
        <v>17.29</v>
      </c>
      <c r="O135" s="24" t="s">
        <v>14</v>
      </c>
      <c r="P135" s="17">
        <v>17660</v>
      </c>
      <c r="Q135" s="16">
        <v>267</v>
      </c>
      <c r="R135" s="19" t="s">
        <v>76</v>
      </c>
      <c r="S135" s="20" t="s">
        <v>39</v>
      </c>
      <c r="T135">
        <v>31010.400000000001</v>
      </c>
    </row>
    <row r="136" spans="1:20" x14ac:dyDescent="0.25">
      <c r="A136" t="str">
        <f>(COUNTIF($K$2:K136,K136))&amp;K136</f>
        <v>831700</v>
      </c>
      <c r="B136" s="34" t="s">
        <v>81</v>
      </c>
      <c r="C136" s="13" t="s">
        <v>39</v>
      </c>
      <c r="D136" s="14" t="s">
        <v>76</v>
      </c>
      <c r="E136" s="16">
        <v>131031</v>
      </c>
      <c r="F136" s="17">
        <v>385080</v>
      </c>
      <c r="G136" s="24">
        <v>27120</v>
      </c>
      <c r="H136" s="15">
        <v>22.38</v>
      </c>
      <c r="I136" s="15">
        <v>-3.4</v>
      </c>
      <c r="J136" s="15">
        <v>24.75</v>
      </c>
      <c r="K136" s="18">
        <v>31700</v>
      </c>
      <c r="L136" s="15">
        <v>700</v>
      </c>
      <c r="M136" s="15">
        <v>-143.69999999999999</v>
      </c>
      <c r="N136" s="15" t="s">
        <v>14</v>
      </c>
      <c r="O136" s="24">
        <v>-1120</v>
      </c>
      <c r="P136" s="17">
        <v>10220</v>
      </c>
      <c r="Q136" s="16">
        <v>311</v>
      </c>
      <c r="R136" s="19" t="s">
        <v>77</v>
      </c>
      <c r="S136" s="20" t="s">
        <v>37</v>
      </c>
      <c r="T136">
        <v>31010.400000000001</v>
      </c>
    </row>
    <row r="137" spans="1:20" x14ac:dyDescent="0.25">
      <c r="A137" t="str">
        <f>(COUNTIF($K$2:K137,K137))&amp;K137</f>
        <v>8PCR</v>
      </c>
      <c r="B137" s="34" t="s">
        <v>81</v>
      </c>
      <c r="C137" s="41">
        <v>0.86650754601539792</v>
      </c>
      <c r="E137" s="33"/>
      <c r="F137" s="39">
        <v>6276160</v>
      </c>
      <c r="G137" s="40"/>
      <c r="H137" s="38"/>
      <c r="I137" s="38"/>
      <c r="J137" s="38"/>
      <c r="K137" s="56" t="s">
        <v>57</v>
      </c>
      <c r="L137" s="38"/>
      <c r="M137" s="38"/>
      <c r="N137" s="38"/>
      <c r="P137" s="40">
        <v>5438340</v>
      </c>
      <c r="Q137" s="33"/>
      <c r="R137" s="38"/>
      <c r="S137" s="38"/>
    </row>
    <row r="138" spans="1:20" x14ac:dyDescent="0.25">
      <c r="A138" t="str">
        <f>(COUNTIF($K$2:K138,K138))&amp;K138</f>
        <v>930200</v>
      </c>
      <c r="B138" s="34" t="s">
        <v>81</v>
      </c>
      <c r="C138" s="13" t="s">
        <v>74</v>
      </c>
      <c r="D138" s="14" t="s">
        <v>76</v>
      </c>
      <c r="E138" s="16">
        <v>165</v>
      </c>
      <c r="F138" s="17">
        <v>1440</v>
      </c>
      <c r="G138" s="24">
        <v>1020</v>
      </c>
      <c r="H138" s="15">
        <v>27.55</v>
      </c>
      <c r="I138" s="15">
        <v>129.05000000000001</v>
      </c>
      <c r="J138" s="15">
        <v>850</v>
      </c>
      <c r="K138" s="18">
        <v>30200</v>
      </c>
      <c r="L138" s="15">
        <v>18.75</v>
      </c>
      <c r="M138" s="15">
        <v>-21.4</v>
      </c>
      <c r="N138" s="15">
        <v>24.97</v>
      </c>
      <c r="O138" s="24">
        <v>36500</v>
      </c>
      <c r="P138" s="17">
        <v>250560</v>
      </c>
      <c r="Q138" s="16">
        <v>148775</v>
      </c>
      <c r="R138" s="19" t="s">
        <v>76</v>
      </c>
      <c r="S138" s="20" t="s">
        <v>39</v>
      </c>
      <c r="T138">
        <v>31010.400000000001</v>
      </c>
    </row>
    <row r="139" spans="1:20" x14ac:dyDescent="0.25">
      <c r="A139" t="str">
        <f>(COUNTIF($K$2:K139,K139))&amp;K139</f>
        <v>930300</v>
      </c>
      <c r="B139" s="34" t="s">
        <v>81</v>
      </c>
      <c r="C139" s="13" t="s">
        <v>40</v>
      </c>
      <c r="D139" s="14" t="s">
        <v>76</v>
      </c>
      <c r="E139" s="16">
        <v>588</v>
      </c>
      <c r="F139" s="17">
        <v>4960</v>
      </c>
      <c r="G139" s="24">
        <v>2800</v>
      </c>
      <c r="H139" s="15">
        <v>34.840000000000003</v>
      </c>
      <c r="I139" s="15">
        <v>109.5</v>
      </c>
      <c r="J139" s="15">
        <v>739.15</v>
      </c>
      <c r="K139" s="18">
        <v>30300</v>
      </c>
      <c r="L139" s="15">
        <v>25.35</v>
      </c>
      <c r="M139" s="15">
        <v>-27.3</v>
      </c>
      <c r="N139" s="15">
        <v>24.25</v>
      </c>
      <c r="O139" s="24">
        <v>98720</v>
      </c>
      <c r="P139" s="17">
        <v>245020</v>
      </c>
      <c r="Q139" s="16">
        <v>191385</v>
      </c>
      <c r="R139" s="19" t="s">
        <v>76</v>
      </c>
      <c r="S139" s="20" t="s">
        <v>39</v>
      </c>
      <c r="T139">
        <v>31010.400000000001</v>
      </c>
    </row>
    <row r="140" spans="1:20" x14ac:dyDescent="0.25">
      <c r="A140" t="str">
        <f>(COUNTIF($K$2:K140,K140))&amp;K140</f>
        <v>930400</v>
      </c>
      <c r="B140" s="34" t="s">
        <v>81</v>
      </c>
      <c r="C140" s="13" t="s">
        <v>40</v>
      </c>
      <c r="D140" s="14" t="s">
        <v>76</v>
      </c>
      <c r="E140" s="16">
        <v>876</v>
      </c>
      <c r="F140" s="17">
        <v>2100</v>
      </c>
      <c r="G140" s="24">
        <v>700</v>
      </c>
      <c r="H140" s="15">
        <v>25.7</v>
      </c>
      <c r="I140" s="15">
        <v>107.6</v>
      </c>
      <c r="J140" s="15">
        <v>660.95</v>
      </c>
      <c r="K140" s="18">
        <v>30400</v>
      </c>
      <c r="L140" s="15">
        <v>34.5</v>
      </c>
      <c r="M140" s="15">
        <v>-35.25</v>
      </c>
      <c r="N140" s="15">
        <v>23.74</v>
      </c>
      <c r="O140" s="24">
        <v>158600</v>
      </c>
      <c r="P140" s="17">
        <v>289920</v>
      </c>
      <c r="Q140" s="16">
        <v>280025</v>
      </c>
      <c r="R140" s="19" t="s">
        <v>76</v>
      </c>
      <c r="S140" s="20" t="s">
        <v>39</v>
      </c>
      <c r="T140">
        <v>31010.400000000001</v>
      </c>
    </row>
    <row r="141" spans="1:20" x14ac:dyDescent="0.25">
      <c r="A141" t="str">
        <f>(COUNTIF($K$2:K141,K141))&amp;K141</f>
        <v>930500</v>
      </c>
      <c r="B141" s="34" t="s">
        <v>81</v>
      </c>
      <c r="C141" s="13" t="s">
        <v>40</v>
      </c>
      <c r="D141" s="14" t="s">
        <v>76</v>
      </c>
      <c r="E141" s="16">
        <v>12521</v>
      </c>
      <c r="F141" s="17">
        <v>56000</v>
      </c>
      <c r="G141" s="24">
        <v>7980</v>
      </c>
      <c r="H141" s="15">
        <v>25.27</v>
      </c>
      <c r="I141" s="15">
        <v>94.4</v>
      </c>
      <c r="J141" s="15">
        <v>567.95000000000005</v>
      </c>
      <c r="K141" s="18">
        <v>30500</v>
      </c>
      <c r="L141" s="15">
        <v>46.9</v>
      </c>
      <c r="M141" s="15">
        <v>-45.35</v>
      </c>
      <c r="N141" s="15">
        <v>23.47</v>
      </c>
      <c r="O141" s="24">
        <v>391620</v>
      </c>
      <c r="P141" s="17">
        <v>929960</v>
      </c>
      <c r="Q141" s="16">
        <v>598903</v>
      </c>
      <c r="R141" s="19" t="s">
        <v>76</v>
      </c>
      <c r="S141" s="20" t="s">
        <v>39</v>
      </c>
      <c r="T141">
        <v>31010.400000000001</v>
      </c>
    </row>
    <row r="142" spans="1:20" x14ac:dyDescent="0.25">
      <c r="A142" t="str">
        <f>(COUNTIF($K$2:K142,K142))&amp;K142</f>
        <v>930600</v>
      </c>
      <c r="B142" s="34" t="s">
        <v>81</v>
      </c>
      <c r="C142" s="13" t="s">
        <v>40</v>
      </c>
      <c r="D142" s="14" t="s">
        <v>76</v>
      </c>
      <c r="E142" s="16">
        <v>10190</v>
      </c>
      <c r="F142" s="17">
        <v>19160</v>
      </c>
      <c r="G142" s="24">
        <v>2780</v>
      </c>
      <c r="H142" s="15">
        <v>21.81</v>
      </c>
      <c r="I142" s="15">
        <v>84.45</v>
      </c>
      <c r="J142" s="15">
        <v>488</v>
      </c>
      <c r="K142" s="18">
        <v>30600</v>
      </c>
      <c r="L142" s="15">
        <v>62.7</v>
      </c>
      <c r="M142" s="15">
        <v>-55.55</v>
      </c>
      <c r="N142" s="15">
        <v>23.01</v>
      </c>
      <c r="O142" s="24">
        <v>236880</v>
      </c>
      <c r="P142" s="17">
        <v>410700</v>
      </c>
      <c r="Q142" s="16">
        <v>347668</v>
      </c>
      <c r="R142" s="19" t="s">
        <v>76</v>
      </c>
      <c r="S142" s="20" t="s">
        <v>39</v>
      </c>
      <c r="T142">
        <v>31010.400000000001</v>
      </c>
    </row>
    <row r="143" spans="1:20" x14ac:dyDescent="0.25">
      <c r="A143" t="str">
        <f>(COUNTIF($K$2:K143,K143))&amp;K143</f>
        <v>930700</v>
      </c>
      <c r="B143" s="34" t="s">
        <v>81</v>
      </c>
      <c r="C143" s="13" t="s">
        <v>40</v>
      </c>
      <c r="D143" s="14" t="s">
        <v>76</v>
      </c>
      <c r="E143" s="16">
        <v>45774</v>
      </c>
      <c r="F143" s="17">
        <v>54600</v>
      </c>
      <c r="G143" s="24">
        <v>26400</v>
      </c>
      <c r="H143" s="15">
        <v>22.48</v>
      </c>
      <c r="I143" s="15">
        <v>74.900000000000006</v>
      </c>
      <c r="J143" s="15">
        <v>407.35</v>
      </c>
      <c r="K143" s="18">
        <v>30700</v>
      </c>
      <c r="L143" s="15">
        <v>83.4</v>
      </c>
      <c r="M143" s="15">
        <v>-68.8</v>
      </c>
      <c r="N143" s="15">
        <v>22.7</v>
      </c>
      <c r="O143" s="24">
        <v>321380</v>
      </c>
      <c r="P143" s="17">
        <v>493860</v>
      </c>
      <c r="Q143" s="16">
        <v>408654</v>
      </c>
      <c r="R143" s="19" t="s">
        <v>76</v>
      </c>
      <c r="S143" s="20" t="s">
        <v>39</v>
      </c>
      <c r="T143">
        <v>31010.400000000001</v>
      </c>
    </row>
    <row r="144" spans="1:20" x14ac:dyDescent="0.25">
      <c r="A144" t="str">
        <f>(COUNTIF($K$2:K144,K144))&amp;K144</f>
        <v>930800</v>
      </c>
      <c r="B144" s="34" t="s">
        <v>81</v>
      </c>
      <c r="C144" s="13" t="s">
        <v>40</v>
      </c>
      <c r="D144" s="14" t="s">
        <v>76</v>
      </c>
      <c r="E144" s="16">
        <v>148681</v>
      </c>
      <c r="F144" s="17">
        <v>214720</v>
      </c>
      <c r="G144" s="24">
        <v>72100</v>
      </c>
      <c r="H144" s="15">
        <v>21.36</v>
      </c>
      <c r="I144" s="15">
        <v>61.05</v>
      </c>
      <c r="J144" s="15">
        <v>334.7</v>
      </c>
      <c r="K144" s="18">
        <v>30800</v>
      </c>
      <c r="L144" s="15">
        <v>110</v>
      </c>
      <c r="M144" s="15">
        <v>-81.150000000000006</v>
      </c>
      <c r="N144" s="15">
        <v>22.3</v>
      </c>
      <c r="O144" s="24">
        <v>321080</v>
      </c>
      <c r="P144" s="17">
        <v>578720</v>
      </c>
      <c r="Q144" s="16">
        <v>417299</v>
      </c>
      <c r="R144" s="19" t="s">
        <v>76</v>
      </c>
      <c r="S144" s="20" t="s">
        <v>39</v>
      </c>
      <c r="T144">
        <v>31010.400000000001</v>
      </c>
    </row>
    <row r="145" spans="1:20" x14ac:dyDescent="0.25">
      <c r="A145" t="str">
        <f>(COUNTIF($K$2:K145,K145))&amp;K145</f>
        <v>930900</v>
      </c>
      <c r="B145" s="34" t="s">
        <v>81</v>
      </c>
      <c r="C145" s="13" t="s">
        <v>40</v>
      </c>
      <c r="D145" s="14" t="s">
        <v>76</v>
      </c>
      <c r="E145" s="16">
        <v>263095</v>
      </c>
      <c r="F145" s="17">
        <v>390980</v>
      </c>
      <c r="G145" s="24">
        <v>170780</v>
      </c>
      <c r="H145" s="15">
        <v>20.92</v>
      </c>
      <c r="I145" s="15">
        <v>49.05</v>
      </c>
      <c r="J145" s="15">
        <v>269.89999999999998</v>
      </c>
      <c r="K145" s="18">
        <v>30900</v>
      </c>
      <c r="L145" s="15">
        <v>143.55000000000001</v>
      </c>
      <c r="M145" s="15">
        <v>-92.95</v>
      </c>
      <c r="N145" s="15">
        <v>22.03</v>
      </c>
      <c r="O145" s="24">
        <v>329240</v>
      </c>
      <c r="P145" s="17">
        <v>537960</v>
      </c>
      <c r="Q145" s="16">
        <v>358706</v>
      </c>
      <c r="R145" s="19" t="s">
        <v>76</v>
      </c>
      <c r="S145" s="20" t="s">
        <v>39</v>
      </c>
      <c r="T145">
        <v>31010.400000000001</v>
      </c>
    </row>
    <row r="146" spans="1:20" ht="15.75" x14ac:dyDescent="0.25">
      <c r="A146" t="str">
        <f>(COUNTIF($K$2:K146,K146))&amp;K146</f>
        <v>931000</v>
      </c>
      <c r="B146" s="34" t="s">
        <v>81</v>
      </c>
      <c r="C146" s="13" t="s">
        <v>40</v>
      </c>
      <c r="D146" s="14" t="s">
        <v>76</v>
      </c>
      <c r="E146" s="16">
        <v>567331</v>
      </c>
      <c r="F146" s="17">
        <v>1049520</v>
      </c>
      <c r="G146" s="24">
        <v>271260</v>
      </c>
      <c r="H146" s="15">
        <v>20.99</v>
      </c>
      <c r="I146" s="15">
        <v>33.450000000000003</v>
      </c>
      <c r="J146" s="15">
        <v>211.25</v>
      </c>
      <c r="K146" s="21">
        <v>31000</v>
      </c>
      <c r="L146" s="15">
        <v>186.15</v>
      </c>
      <c r="M146" s="15">
        <v>-105.8</v>
      </c>
      <c r="N146" s="15">
        <v>21.99</v>
      </c>
      <c r="O146" s="24">
        <v>337840</v>
      </c>
      <c r="P146" s="17">
        <v>789060</v>
      </c>
      <c r="Q146" s="16">
        <v>343475</v>
      </c>
      <c r="R146" s="19" t="s">
        <v>76</v>
      </c>
      <c r="S146" s="20" t="s">
        <v>39</v>
      </c>
      <c r="T146">
        <v>31010.400000000001</v>
      </c>
    </row>
    <row r="147" spans="1:20" x14ac:dyDescent="0.25">
      <c r="A147" t="str">
        <f>(COUNTIF($K$2:K147,K147))&amp;K147</f>
        <v>931100</v>
      </c>
      <c r="B147" s="34" t="s">
        <v>81</v>
      </c>
      <c r="C147" s="13" t="s">
        <v>40</v>
      </c>
      <c r="D147" s="14" t="s">
        <v>76</v>
      </c>
      <c r="E147" s="16">
        <v>355814</v>
      </c>
      <c r="F147" s="17">
        <v>471400</v>
      </c>
      <c r="G147" s="24">
        <v>101480</v>
      </c>
      <c r="H147" s="15">
        <v>21.08</v>
      </c>
      <c r="I147" s="15">
        <v>23.2</v>
      </c>
      <c r="J147" s="15">
        <v>163.44999999999999</v>
      </c>
      <c r="K147" s="18">
        <v>31100</v>
      </c>
      <c r="L147" s="15">
        <v>238.6</v>
      </c>
      <c r="M147" s="15">
        <v>-114.85</v>
      </c>
      <c r="N147" s="15">
        <v>21.84</v>
      </c>
      <c r="O147" s="24">
        <v>40180</v>
      </c>
      <c r="P147" s="17">
        <v>144440</v>
      </c>
      <c r="Q147" s="16">
        <v>79106</v>
      </c>
      <c r="R147" s="19" t="s">
        <v>76</v>
      </c>
      <c r="S147" s="20" t="s">
        <v>39</v>
      </c>
      <c r="T147">
        <v>31010.400000000001</v>
      </c>
    </row>
    <row r="148" spans="1:20" x14ac:dyDescent="0.25">
      <c r="A148" t="str">
        <f>(COUNTIF($K$2:K148,K148))&amp;K148</f>
        <v>931200</v>
      </c>
      <c r="B148" s="34" t="s">
        <v>81</v>
      </c>
      <c r="C148" s="13" t="s">
        <v>40</v>
      </c>
      <c r="D148" s="14" t="s">
        <v>76</v>
      </c>
      <c r="E148" s="16">
        <v>543192</v>
      </c>
      <c r="F148" s="17">
        <v>694400</v>
      </c>
      <c r="G148" s="24">
        <v>135000</v>
      </c>
      <c r="H148" s="15">
        <v>21.28</v>
      </c>
      <c r="I148" s="15">
        <v>14.15</v>
      </c>
      <c r="J148" s="15">
        <v>125</v>
      </c>
      <c r="K148" s="18">
        <v>31200</v>
      </c>
      <c r="L148" s="15">
        <v>300.85000000000002</v>
      </c>
      <c r="M148" s="15">
        <v>-124.4</v>
      </c>
      <c r="N148" s="15">
        <v>22.11</v>
      </c>
      <c r="O148" s="24">
        <v>16920</v>
      </c>
      <c r="P148" s="17">
        <v>122020</v>
      </c>
      <c r="Q148" s="16">
        <v>42234</v>
      </c>
      <c r="R148" s="19" t="s">
        <v>76</v>
      </c>
      <c r="S148" s="20" t="s">
        <v>39</v>
      </c>
      <c r="T148">
        <v>31010.400000000001</v>
      </c>
    </row>
    <row r="149" spans="1:20" x14ac:dyDescent="0.25">
      <c r="A149" t="str">
        <f>(COUNTIF($K$2:K149,K149))&amp;K149</f>
        <v>931300</v>
      </c>
      <c r="B149" s="34" t="s">
        <v>81</v>
      </c>
      <c r="C149" s="13" t="s">
        <v>40</v>
      </c>
      <c r="D149" s="14" t="s">
        <v>76</v>
      </c>
      <c r="E149" s="16">
        <v>383883</v>
      </c>
      <c r="F149" s="17">
        <v>604040</v>
      </c>
      <c r="G149" s="24">
        <v>156360</v>
      </c>
      <c r="H149" s="15">
        <v>21.33</v>
      </c>
      <c r="I149" s="15">
        <v>7.45</v>
      </c>
      <c r="J149" s="15">
        <v>93</v>
      </c>
      <c r="K149" s="18">
        <v>31300</v>
      </c>
      <c r="L149" s="15">
        <v>367.6</v>
      </c>
      <c r="M149" s="15">
        <v>-141.1</v>
      </c>
      <c r="N149" s="15">
        <v>21.04</v>
      </c>
      <c r="O149" s="24">
        <v>-14420</v>
      </c>
      <c r="P149" s="17">
        <v>88760</v>
      </c>
      <c r="Q149" s="16">
        <v>11094</v>
      </c>
      <c r="R149" s="19" t="s">
        <v>77</v>
      </c>
      <c r="S149" s="20" t="s">
        <v>37</v>
      </c>
      <c r="T149">
        <v>31010.400000000001</v>
      </c>
    </row>
    <row r="150" spans="1:20" x14ac:dyDescent="0.25">
      <c r="A150" t="str">
        <f>(COUNTIF($K$2:K150,K150))&amp;K150</f>
        <v>931400</v>
      </c>
      <c r="B150" s="34" t="s">
        <v>81</v>
      </c>
      <c r="C150" s="13" t="s">
        <v>40</v>
      </c>
      <c r="D150" s="14" t="s">
        <v>76</v>
      </c>
      <c r="E150" s="16">
        <v>341470</v>
      </c>
      <c r="F150" s="17">
        <v>541480</v>
      </c>
      <c r="G150" s="24">
        <v>148320</v>
      </c>
      <c r="H150" s="15">
        <v>21.54</v>
      </c>
      <c r="I150" s="15">
        <v>2.15</v>
      </c>
      <c r="J150" s="15">
        <v>68</v>
      </c>
      <c r="K150" s="18">
        <v>31400</v>
      </c>
      <c r="L150" s="15">
        <v>439.2</v>
      </c>
      <c r="M150" s="15">
        <v>-142.75</v>
      </c>
      <c r="N150" s="15">
        <v>21.38</v>
      </c>
      <c r="O150" s="24">
        <v>4280</v>
      </c>
      <c r="P150" s="17">
        <v>54760</v>
      </c>
      <c r="Q150" s="16">
        <v>3846</v>
      </c>
      <c r="R150" s="19" t="s">
        <v>76</v>
      </c>
      <c r="S150" s="20" t="s">
        <v>39</v>
      </c>
      <c r="T150">
        <v>31010.400000000001</v>
      </c>
    </row>
    <row r="151" spans="1:20" x14ac:dyDescent="0.25">
      <c r="A151" t="str">
        <f>(COUNTIF($K$2:K151,K151))&amp;K151</f>
        <v>931500</v>
      </c>
      <c r="B151" s="34" t="s">
        <v>81</v>
      </c>
      <c r="C151" s="13" t="s">
        <v>39</v>
      </c>
      <c r="D151" s="14" t="s">
        <v>76</v>
      </c>
      <c r="E151" s="16">
        <v>502213</v>
      </c>
      <c r="F151" s="17">
        <v>1432080</v>
      </c>
      <c r="G151" s="24">
        <v>237720</v>
      </c>
      <c r="H151" s="15">
        <v>21.96</v>
      </c>
      <c r="I151" s="15">
        <v>-0.5</v>
      </c>
      <c r="J151" s="15">
        <v>49.45</v>
      </c>
      <c r="K151" s="18">
        <v>31500</v>
      </c>
      <c r="L151" s="15">
        <v>525.70000000000005</v>
      </c>
      <c r="M151" s="15">
        <v>-141.6</v>
      </c>
      <c r="N151" s="15">
        <v>23.2</v>
      </c>
      <c r="O151" s="24">
        <v>6620</v>
      </c>
      <c r="P151" s="17">
        <v>474720</v>
      </c>
      <c r="Q151" s="16">
        <v>6321</v>
      </c>
      <c r="R151" s="19" t="s">
        <v>76</v>
      </c>
      <c r="S151" s="20" t="s">
        <v>39</v>
      </c>
      <c r="T151">
        <v>31010.400000000001</v>
      </c>
    </row>
    <row r="152" spans="1:20" x14ac:dyDescent="0.25">
      <c r="A152" t="str">
        <f>(COUNTIF($K$2:K152,K152))&amp;K152</f>
        <v>931600</v>
      </c>
      <c r="B152" s="34" t="s">
        <v>81</v>
      </c>
      <c r="C152" s="13" t="s">
        <v>39</v>
      </c>
      <c r="D152" s="14" t="s">
        <v>76</v>
      </c>
      <c r="E152" s="16">
        <v>197805</v>
      </c>
      <c r="F152" s="17">
        <v>354200</v>
      </c>
      <c r="G152" s="24">
        <v>69980</v>
      </c>
      <c r="H152" s="15">
        <v>22.32</v>
      </c>
      <c r="I152" s="15">
        <v>-3.05</v>
      </c>
      <c r="J152" s="15">
        <v>34.700000000000003</v>
      </c>
      <c r="K152" s="18">
        <v>31600</v>
      </c>
      <c r="L152" s="15">
        <v>615</v>
      </c>
      <c r="M152" s="15">
        <v>-145.85</v>
      </c>
      <c r="N152" s="15">
        <v>17.29</v>
      </c>
      <c r="O152" s="24" t="s">
        <v>14</v>
      </c>
      <c r="P152" s="17">
        <v>17660</v>
      </c>
      <c r="Q152" s="16">
        <v>267</v>
      </c>
      <c r="R152" s="19" t="s">
        <v>76</v>
      </c>
      <c r="S152" s="20" t="s">
        <v>39</v>
      </c>
      <c r="T152">
        <v>31010.400000000001</v>
      </c>
    </row>
    <row r="153" spans="1:20" x14ac:dyDescent="0.25">
      <c r="A153" t="str">
        <f>(COUNTIF($K$2:K153,K153))&amp;K153</f>
        <v>931700</v>
      </c>
      <c r="B153" s="34" t="s">
        <v>81</v>
      </c>
      <c r="C153" s="13" t="s">
        <v>39</v>
      </c>
      <c r="D153" s="14" t="s">
        <v>76</v>
      </c>
      <c r="E153" s="16">
        <v>131031</v>
      </c>
      <c r="F153" s="17">
        <v>385080</v>
      </c>
      <c r="G153" s="24">
        <v>27120</v>
      </c>
      <c r="H153" s="15">
        <v>22.38</v>
      </c>
      <c r="I153" s="15">
        <v>-3.4</v>
      </c>
      <c r="J153" s="15">
        <v>24.75</v>
      </c>
      <c r="K153" s="18">
        <v>31700</v>
      </c>
      <c r="L153" s="15">
        <v>700</v>
      </c>
      <c r="M153" s="15">
        <v>-143.69999999999999</v>
      </c>
      <c r="N153" s="15" t="s">
        <v>14</v>
      </c>
      <c r="O153" s="24">
        <v>-1120</v>
      </c>
      <c r="P153" s="17">
        <v>10220</v>
      </c>
      <c r="Q153" s="16">
        <v>311</v>
      </c>
      <c r="R153" s="19" t="s">
        <v>77</v>
      </c>
      <c r="S153" s="20" t="s">
        <v>37</v>
      </c>
      <c r="T153">
        <v>31010.400000000001</v>
      </c>
    </row>
    <row r="154" spans="1:20" x14ac:dyDescent="0.25">
      <c r="A154" t="str">
        <f>(COUNTIF($K$2:K154,K154))&amp;K154</f>
        <v>9PCR</v>
      </c>
      <c r="B154" s="34" t="s">
        <v>81</v>
      </c>
      <c r="C154" s="41">
        <v>0.86650754601539792</v>
      </c>
      <c r="E154" s="33"/>
      <c r="F154" s="39">
        <v>6276160</v>
      </c>
      <c r="G154" s="40"/>
      <c r="H154" s="38"/>
      <c r="I154" s="38"/>
      <c r="J154" s="38"/>
      <c r="K154" s="56" t="s">
        <v>57</v>
      </c>
      <c r="L154" s="38"/>
      <c r="M154" s="38"/>
      <c r="N154" s="38"/>
      <c r="P154" s="40">
        <v>5438340</v>
      </c>
      <c r="Q154" s="33"/>
      <c r="R154" s="38"/>
      <c r="S154" s="38"/>
    </row>
    <row r="155" spans="1:20" x14ac:dyDescent="0.25">
      <c r="A155" t="str">
        <f>(COUNTIF($K$2:K155,K155))&amp;K155</f>
        <v>1030200</v>
      </c>
      <c r="B155" s="34" t="s">
        <v>82</v>
      </c>
      <c r="C155" s="13" t="s">
        <v>74</v>
      </c>
      <c r="D155" s="14" t="s">
        <v>76</v>
      </c>
      <c r="E155" s="16">
        <v>165</v>
      </c>
      <c r="F155" s="17">
        <v>1440</v>
      </c>
      <c r="G155" s="24">
        <v>1020</v>
      </c>
      <c r="H155" s="15">
        <v>27.55</v>
      </c>
      <c r="I155" s="15">
        <v>129.05000000000001</v>
      </c>
      <c r="J155" s="15">
        <v>850</v>
      </c>
      <c r="K155" s="18">
        <v>30200</v>
      </c>
      <c r="L155" s="15">
        <v>17.899999999999999</v>
      </c>
      <c r="M155" s="15">
        <v>-22.25</v>
      </c>
      <c r="N155" s="15">
        <v>24.97</v>
      </c>
      <c r="O155" s="24">
        <v>39000</v>
      </c>
      <c r="P155" s="17">
        <v>253060</v>
      </c>
      <c r="Q155" s="16">
        <v>149860</v>
      </c>
      <c r="R155" s="19" t="s">
        <v>76</v>
      </c>
      <c r="S155" s="20" t="s">
        <v>39</v>
      </c>
      <c r="T155">
        <v>31019.45</v>
      </c>
    </row>
    <row r="156" spans="1:20" x14ac:dyDescent="0.25">
      <c r="A156" t="str">
        <f>(COUNTIF($K$2:K156,K156))&amp;K156</f>
        <v>1030300</v>
      </c>
      <c r="B156" s="34" t="s">
        <v>82</v>
      </c>
      <c r="C156" s="13" t="s">
        <v>40</v>
      </c>
      <c r="D156" s="14" t="s">
        <v>76</v>
      </c>
      <c r="E156" s="16">
        <v>589</v>
      </c>
      <c r="F156" s="17">
        <v>4960</v>
      </c>
      <c r="G156" s="24">
        <v>2800</v>
      </c>
      <c r="H156" s="15">
        <v>34.840000000000003</v>
      </c>
      <c r="I156" s="15">
        <v>130.35</v>
      </c>
      <c r="J156" s="15">
        <v>760</v>
      </c>
      <c r="K156" s="18">
        <v>30300</v>
      </c>
      <c r="L156" s="15">
        <v>23.7</v>
      </c>
      <c r="M156" s="15">
        <v>-28.95</v>
      </c>
      <c r="N156" s="15">
        <v>24.25</v>
      </c>
      <c r="O156" s="24">
        <v>95500</v>
      </c>
      <c r="P156" s="17">
        <v>241800</v>
      </c>
      <c r="Q156" s="16">
        <v>192325</v>
      </c>
      <c r="R156" s="19" t="s">
        <v>76</v>
      </c>
      <c r="S156" s="20" t="s">
        <v>39</v>
      </c>
      <c r="T156">
        <v>31019.45</v>
      </c>
    </row>
    <row r="157" spans="1:20" x14ac:dyDescent="0.25">
      <c r="A157" t="str">
        <f>(COUNTIF($K$2:K157,K157))&amp;K157</f>
        <v>1030400</v>
      </c>
      <c r="B157" s="34" t="s">
        <v>82</v>
      </c>
      <c r="C157" s="13" t="s">
        <v>40</v>
      </c>
      <c r="D157" s="14" t="s">
        <v>76</v>
      </c>
      <c r="E157" s="16">
        <v>881</v>
      </c>
      <c r="F157" s="17">
        <v>2060</v>
      </c>
      <c r="G157" s="24">
        <v>660</v>
      </c>
      <c r="H157" s="15">
        <v>25.7</v>
      </c>
      <c r="I157" s="15">
        <v>135.44999999999999</v>
      </c>
      <c r="J157" s="15">
        <v>688.8</v>
      </c>
      <c r="K157" s="18">
        <v>30400</v>
      </c>
      <c r="L157" s="15">
        <v>32.200000000000003</v>
      </c>
      <c r="M157" s="15">
        <v>-37.549999999999997</v>
      </c>
      <c r="N157" s="15">
        <v>23.74</v>
      </c>
      <c r="O157" s="24">
        <v>161940</v>
      </c>
      <c r="P157" s="17">
        <v>293260</v>
      </c>
      <c r="Q157" s="16">
        <v>281727</v>
      </c>
      <c r="R157" s="19" t="s">
        <v>76</v>
      </c>
      <c r="S157" s="20" t="s">
        <v>39</v>
      </c>
      <c r="T157">
        <v>31019.45</v>
      </c>
    </row>
    <row r="158" spans="1:20" x14ac:dyDescent="0.25">
      <c r="A158" t="str">
        <f>(COUNTIF($K$2:K158,K158))&amp;K158</f>
        <v>1030500</v>
      </c>
      <c r="B158" s="34" t="s">
        <v>82</v>
      </c>
      <c r="C158" s="13" t="s">
        <v>40</v>
      </c>
      <c r="D158" s="14" t="s">
        <v>76</v>
      </c>
      <c r="E158" s="16">
        <v>12566</v>
      </c>
      <c r="F158" s="17">
        <v>55820</v>
      </c>
      <c r="G158" s="24">
        <v>7800</v>
      </c>
      <c r="H158" s="15">
        <v>25.27</v>
      </c>
      <c r="I158" s="15">
        <v>112.1</v>
      </c>
      <c r="J158" s="15">
        <v>585.65</v>
      </c>
      <c r="K158" s="18">
        <v>30500</v>
      </c>
      <c r="L158" s="15">
        <v>43.55</v>
      </c>
      <c r="M158" s="15">
        <v>-48.7</v>
      </c>
      <c r="N158" s="15">
        <v>23.47</v>
      </c>
      <c r="O158" s="24">
        <v>395960</v>
      </c>
      <c r="P158" s="17">
        <v>934300</v>
      </c>
      <c r="Q158" s="16">
        <v>601742</v>
      </c>
      <c r="R158" s="19" t="s">
        <v>76</v>
      </c>
      <c r="S158" s="20" t="s">
        <v>39</v>
      </c>
      <c r="T158">
        <v>31019.45</v>
      </c>
    </row>
    <row r="159" spans="1:20" x14ac:dyDescent="0.25">
      <c r="A159" t="str">
        <f>(COUNTIF($K$2:K159,K159))&amp;K159</f>
        <v>1030600</v>
      </c>
      <c r="B159" s="34" t="s">
        <v>82</v>
      </c>
      <c r="C159" s="13" t="s">
        <v>40</v>
      </c>
      <c r="D159" s="14" t="s">
        <v>76</v>
      </c>
      <c r="E159" s="16">
        <v>10243</v>
      </c>
      <c r="F159" s="17">
        <v>19500</v>
      </c>
      <c r="G159" s="24">
        <v>3120</v>
      </c>
      <c r="H159" s="15">
        <v>21.81</v>
      </c>
      <c r="I159" s="15">
        <v>104.35</v>
      </c>
      <c r="J159" s="15">
        <v>507.9</v>
      </c>
      <c r="K159" s="18">
        <v>30600</v>
      </c>
      <c r="L159" s="15">
        <v>58.35</v>
      </c>
      <c r="M159" s="15">
        <v>-59.9</v>
      </c>
      <c r="N159" s="15">
        <v>23.01</v>
      </c>
      <c r="O159" s="24">
        <v>236400</v>
      </c>
      <c r="P159" s="17">
        <v>410220</v>
      </c>
      <c r="Q159" s="16">
        <v>349812</v>
      </c>
      <c r="R159" s="19" t="s">
        <v>76</v>
      </c>
      <c r="S159" s="20" t="s">
        <v>39</v>
      </c>
      <c r="T159">
        <v>31019.45</v>
      </c>
    </row>
    <row r="160" spans="1:20" x14ac:dyDescent="0.25">
      <c r="A160" t="str">
        <f>(COUNTIF($K$2:K160,K160))&amp;K160</f>
        <v>1030700</v>
      </c>
      <c r="B160" s="34" t="s">
        <v>82</v>
      </c>
      <c r="C160" s="13" t="s">
        <v>40</v>
      </c>
      <c r="D160" s="14" t="s">
        <v>76</v>
      </c>
      <c r="E160" s="16">
        <v>45918</v>
      </c>
      <c r="F160" s="17">
        <v>54400</v>
      </c>
      <c r="G160" s="24">
        <v>26200</v>
      </c>
      <c r="H160" s="15">
        <v>22.48</v>
      </c>
      <c r="I160" s="15">
        <v>90.45</v>
      </c>
      <c r="J160" s="15">
        <v>422.9</v>
      </c>
      <c r="K160" s="18">
        <v>30700</v>
      </c>
      <c r="L160" s="15">
        <v>77.55</v>
      </c>
      <c r="M160" s="15">
        <v>-74.650000000000006</v>
      </c>
      <c r="N160" s="15">
        <v>22.7</v>
      </c>
      <c r="O160" s="24">
        <v>324420</v>
      </c>
      <c r="P160" s="17">
        <v>496900</v>
      </c>
      <c r="Q160" s="16">
        <v>411227</v>
      </c>
      <c r="R160" s="19" t="s">
        <v>76</v>
      </c>
      <c r="S160" s="20" t="s">
        <v>39</v>
      </c>
      <c r="T160">
        <v>31019.45</v>
      </c>
    </row>
    <row r="161" spans="1:20" x14ac:dyDescent="0.25">
      <c r="A161" t="str">
        <f>(COUNTIF($K$2:K161,K161))&amp;K161</f>
        <v>1030800</v>
      </c>
      <c r="B161" s="34" t="s">
        <v>82</v>
      </c>
      <c r="C161" s="13" t="s">
        <v>40</v>
      </c>
      <c r="D161" s="14" t="s">
        <v>76</v>
      </c>
      <c r="E161" s="16">
        <v>149468</v>
      </c>
      <c r="F161" s="17">
        <v>213800</v>
      </c>
      <c r="G161" s="24">
        <v>71180</v>
      </c>
      <c r="H161" s="15">
        <v>21.36</v>
      </c>
      <c r="I161" s="15">
        <v>73.099999999999994</v>
      </c>
      <c r="J161" s="15">
        <v>346.75</v>
      </c>
      <c r="K161" s="18">
        <v>30800</v>
      </c>
      <c r="L161" s="15">
        <v>102.95</v>
      </c>
      <c r="M161" s="15">
        <v>-88.2</v>
      </c>
      <c r="N161" s="15">
        <v>22.3</v>
      </c>
      <c r="O161" s="24">
        <v>320520</v>
      </c>
      <c r="P161" s="17">
        <v>578160</v>
      </c>
      <c r="Q161" s="16">
        <v>420425</v>
      </c>
      <c r="R161" s="19" t="s">
        <v>76</v>
      </c>
      <c r="S161" s="20" t="s">
        <v>39</v>
      </c>
      <c r="T161">
        <v>31019.45</v>
      </c>
    </row>
    <row r="162" spans="1:20" x14ac:dyDescent="0.25">
      <c r="A162" t="str">
        <f>(COUNTIF($K$2:K162,K162))&amp;K162</f>
        <v>1030900</v>
      </c>
      <c r="B162" s="34" t="s">
        <v>82</v>
      </c>
      <c r="C162" s="13" t="s">
        <v>40</v>
      </c>
      <c r="D162" s="14" t="s">
        <v>76</v>
      </c>
      <c r="E162" s="16">
        <v>264339</v>
      </c>
      <c r="F162" s="17">
        <v>391200</v>
      </c>
      <c r="G162" s="24">
        <v>171000</v>
      </c>
      <c r="H162" s="15">
        <v>20.92</v>
      </c>
      <c r="I162" s="15">
        <v>59.15</v>
      </c>
      <c r="J162" s="15">
        <v>280</v>
      </c>
      <c r="K162" s="18">
        <v>30900</v>
      </c>
      <c r="L162" s="15">
        <v>135.19999999999999</v>
      </c>
      <c r="M162" s="15">
        <v>-101.3</v>
      </c>
      <c r="N162" s="15">
        <v>22.03</v>
      </c>
      <c r="O162" s="24">
        <v>327600</v>
      </c>
      <c r="P162" s="17">
        <v>536320</v>
      </c>
      <c r="Q162" s="16">
        <v>360984</v>
      </c>
      <c r="R162" s="19" t="s">
        <v>76</v>
      </c>
      <c r="S162" s="20" t="s">
        <v>39</v>
      </c>
      <c r="T162">
        <v>31019.45</v>
      </c>
    </row>
    <row r="163" spans="1:20" ht="15.75" x14ac:dyDescent="0.25">
      <c r="A163" t="str">
        <f>(COUNTIF($K$2:K163,K163))&amp;K163</f>
        <v>1031000</v>
      </c>
      <c r="B163" s="34" t="s">
        <v>82</v>
      </c>
      <c r="C163" s="13" t="s">
        <v>40</v>
      </c>
      <c r="D163" s="14" t="s">
        <v>76</v>
      </c>
      <c r="E163" s="16">
        <v>572296</v>
      </c>
      <c r="F163" s="17">
        <v>1048240</v>
      </c>
      <c r="G163" s="24">
        <v>269980</v>
      </c>
      <c r="H163" s="15">
        <v>20.99</v>
      </c>
      <c r="I163" s="15">
        <v>42.2</v>
      </c>
      <c r="J163" s="15">
        <v>220</v>
      </c>
      <c r="K163" s="21">
        <v>31000</v>
      </c>
      <c r="L163" s="15">
        <v>177.05</v>
      </c>
      <c r="M163" s="15">
        <v>-114.9</v>
      </c>
      <c r="N163" s="15">
        <v>21.99</v>
      </c>
      <c r="O163" s="24">
        <v>349420</v>
      </c>
      <c r="P163" s="17">
        <v>800640</v>
      </c>
      <c r="Q163" s="16">
        <v>346910</v>
      </c>
      <c r="R163" s="19" t="s">
        <v>76</v>
      </c>
      <c r="S163" s="20" t="s">
        <v>39</v>
      </c>
      <c r="T163">
        <v>31019.45</v>
      </c>
    </row>
    <row r="164" spans="1:20" x14ac:dyDescent="0.25">
      <c r="A164" t="str">
        <f>(COUNTIF($K$2:K164,K164))&amp;K164</f>
        <v>1031100</v>
      </c>
      <c r="B164" s="34" t="s">
        <v>82</v>
      </c>
      <c r="C164" s="13" t="s">
        <v>40</v>
      </c>
      <c r="D164" s="14" t="s">
        <v>76</v>
      </c>
      <c r="E164" s="16">
        <v>358003</v>
      </c>
      <c r="F164" s="17">
        <v>467960</v>
      </c>
      <c r="G164" s="24">
        <v>98040</v>
      </c>
      <c r="H164" s="15">
        <v>21.08</v>
      </c>
      <c r="I164" s="15">
        <v>30.6</v>
      </c>
      <c r="J164" s="15">
        <v>170.85</v>
      </c>
      <c r="K164" s="18">
        <v>31100</v>
      </c>
      <c r="L164" s="15">
        <v>226.15</v>
      </c>
      <c r="M164" s="15">
        <v>-127.3</v>
      </c>
      <c r="N164" s="15">
        <v>21.84</v>
      </c>
      <c r="O164" s="24">
        <v>43220</v>
      </c>
      <c r="P164" s="17">
        <v>147480</v>
      </c>
      <c r="Q164" s="16">
        <v>79780</v>
      </c>
      <c r="R164" s="19" t="s">
        <v>76</v>
      </c>
      <c r="S164" s="20" t="s">
        <v>39</v>
      </c>
      <c r="T164">
        <v>31019.45</v>
      </c>
    </row>
    <row r="165" spans="1:20" x14ac:dyDescent="0.25">
      <c r="A165" t="str">
        <f>(COUNTIF($K$2:K165,K165))&amp;K165</f>
        <v>1031200</v>
      </c>
      <c r="B165" s="34" t="s">
        <v>82</v>
      </c>
      <c r="C165" s="13" t="s">
        <v>40</v>
      </c>
      <c r="D165" s="14" t="s">
        <v>76</v>
      </c>
      <c r="E165" s="16">
        <v>547672</v>
      </c>
      <c r="F165" s="17">
        <v>698300</v>
      </c>
      <c r="G165" s="24">
        <v>138900</v>
      </c>
      <c r="H165" s="15">
        <v>21.28</v>
      </c>
      <c r="I165" s="15">
        <v>18.850000000000001</v>
      </c>
      <c r="J165" s="15">
        <v>129.69999999999999</v>
      </c>
      <c r="K165" s="18">
        <v>31200</v>
      </c>
      <c r="L165" s="15">
        <v>286.10000000000002</v>
      </c>
      <c r="M165" s="15">
        <v>-139.15</v>
      </c>
      <c r="N165" s="15">
        <v>22.11</v>
      </c>
      <c r="O165" s="24">
        <v>12220</v>
      </c>
      <c r="P165" s="17">
        <v>117320</v>
      </c>
      <c r="Q165" s="16">
        <v>43208</v>
      </c>
      <c r="R165" s="19" t="s">
        <v>76</v>
      </c>
      <c r="S165" s="20" t="s">
        <v>39</v>
      </c>
      <c r="T165">
        <v>31019.45</v>
      </c>
    </row>
    <row r="166" spans="1:20" x14ac:dyDescent="0.25">
      <c r="A166" t="str">
        <f>(COUNTIF($K$2:K166,K166))&amp;K166</f>
        <v>1031300</v>
      </c>
      <c r="B166" s="34" t="s">
        <v>82</v>
      </c>
      <c r="C166" s="13" t="s">
        <v>40</v>
      </c>
      <c r="D166" s="14" t="s">
        <v>76</v>
      </c>
      <c r="E166" s="16">
        <v>387892</v>
      </c>
      <c r="F166" s="17">
        <v>612100</v>
      </c>
      <c r="G166" s="24">
        <v>164420</v>
      </c>
      <c r="H166" s="15">
        <v>21.33</v>
      </c>
      <c r="I166" s="15">
        <v>11.4</v>
      </c>
      <c r="J166" s="15">
        <v>96.95</v>
      </c>
      <c r="K166" s="18">
        <v>31300</v>
      </c>
      <c r="L166" s="15">
        <v>354.65</v>
      </c>
      <c r="M166" s="15">
        <v>-154.05000000000001</v>
      </c>
      <c r="N166" s="15">
        <v>21.04</v>
      </c>
      <c r="O166" s="24">
        <v>-14660</v>
      </c>
      <c r="P166" s="17">
        <v>88520</v>
      </c>
      <c r="Q166" s="16">
        <v>11193</v>
      </c>
      <c r="R166" s="19" t="s">
        <v>77</v>
      </c>
      <c r="S166" s="20" t="s">
        <v>37</v>
      </c>
      <c r="T166">
        <v>31019.45</v>
      </c>
    </row>
    <row r="167" spans="1:20" x14ac:dyDescent="0.25">
      <c r="A167" t="str">
        <f>(COUNTIF($K$2:K167,K167))&amp;K167</f>
        <v>1031400</v>
      </c>
      <c r="B167" s="34" t="s">
        <v>82</v>
      </c>
      <c r="C167" s="13" t="s">
        <v>40</v>
      </c>
      <c r="D167" s="14" t="s">
        <v>76</v>
      </c>
      <c r="E167" s="16">
        <v>343521</v>
      </c>
      <c r="F167" s="17">
        <v>537820</v>
      </c>
      <c r="G167" s="24">
        <v>144660</v>
      </c>
      <c r="H167" s="15">
        <v>21.54</v>
      </c>
      <c r="I167" s="15">
        <v>5</v>
      </c>
      <c r="J167" s="15">
        <v>70.849999999999994</v>
      </c>
      <c r="K167" s="18">
        <v>31400</v>
      </c>
      <c r="L167" s="15">
        <v>427.55</v>
      </c>
      <c r="M167" s="15">
        <v>-154.4</v>
      </c>
      <c r="N167" s="15">
        <v>21.38</v>
      </c>
      <c r="O167" s="24">
        <v>3920</v>
      </c>
      <c r="P167" s="17">
        <v>54400</v>
      </c>
      <c r="Q167" s="16">
        <v>3869</v>
      </c>
      <c r="R167" s="19" t="s">
        <v>76</v>
      </c>
      <c r="S167" s="20" t="s">
        <v>39</v>
      </c>
      <c r="T167">
        <v>31019.45</v>
      </c>
    </row>
    <row r="168" spans="1:20" x14ac:dyDescent="0.25">
      <c r="A168" t="str">
        <f>(COUNTIF($K$2:K168,K168))&amp;K168</f>
        <v>1031500</v>
      </c>
      <c r="B168" s="34" t="s">
        <v>82</v>
      </c>
      <c r="C168" s="13" t="s">
        <v>40</v>
      </c>
      <c r="D168" s="14" t="s">
        <v>76</v>
      </c>
      <c r="E168" s="16">
        <v>506886</v>
      </c>
      <c r="F168" s="17">
        <v>1426260</v>
      </c>
      <c r="G168" s="24">
        <v>231900</v>
      </c>
      <c r="H168" s="15">
        <v>21.96</v>
      </c>
      <c r="I168" s="15">
        <v>1.5</v>
      </c>
      <c r="J168" s="15">
        <v>51.45</v>
      </c>
      <c r="K168" s="18">
        <v>31500</v>
      </c>
      <c r="L168" s="15">
        <v>504</v>
      </c>
      <c r="M168" s="15">
        <v>-163.30000000000001</v>
      </c>
      <c r="N168" s="15">
        <v>23.2</v>
      </c>
      <c r="O168" s="24">
        <v>4600</v>
      </c>
      <c r="P168" s="17">
        <v>472700</v>
      </c>
      <c r="Q168" s="16">
        <v>6436</v>
      </c>
      <c r="R168" s="19" t="s">
        <v>76</v>
      </c>
      <c r="S168" s="20" t="s">
        <v>39</v>
      </c>
      <c r="T168">
        <v>31019.45</v>
      </c>
    </row>
    <row r="169" spans="1:20" x14ac:dyDescent="0.25">
      <c r="A169" t="str">
        <f>(COUNTIF($K$2:K169,K169))&amp;K169</f>
        <v>1031600</v>
      </c>
      <c r="B169" s="34" t="s">
        <v>82</v>
      </c>
      <c r="C169" s="13" t="s">
        <v>39</v>
      </c>
      <c r="D169" s="14" t="s">
        <v>76</v>
      </c>
      <c r="E169" s="16">
        <v>199415</v>
      </c>
      <c r="F169" s="17">
        <v>356460</v>
      </c>
      <c r="G169" s="24">
        <v>72240</v>
      </c>
      <c r="H169" s="15">
        <v>22.32</v>
      </c>
      <c r="I169" s="15">
        <v>-1.45</v>
      </c>
      <c r="J169" s="15">
        <v>36.299999999999997</v>
      </c>
      <c r="K169" s="18">
        <v>31600</v>
      </c>
      <c r="L169" s="15">
        <v>589.54999999999995</v>
      </c>
      <c r="M169" s="15">
        <v>-171.3</v>
      </c>
      <c r="N169" s="15">
        <v>17.29</v>
      </c>
      <c r="O169" s="24" t="s">
        <v>14</v>
      </c>
      <c r="P169" s="17">
        <v>17660</v>
      </c>
      <c r="Q169" s="16">
        <v>270</v>
      </c>
      <c r="R169" s="19" t="s">
        <v>76</v>
      </c>
      <c r="S169" s="20" t="s">
        <v>39</v>
      </c>
      <c r="T169">
        <v>31019.45</v>
      </c>
    </row>
    <row r="170" spans="1:20" x14ac:dyDescent="0.25">
      <c r="A170" t="str">
        <f>(COUNTIF($K$2:K170,K170))&amp;K170</f>
        <v>1031700</v>
      </c>
      <c r="B170" s="34" t="s">
        <v>82</v>
      </c>
      <c r="C170" s="13" t="s">
        <v>39</v>
      </c>
      <c r="D170" s="14" t="s">
        <v>76</v>
      </c>
      <c r="E170" s="16">
        <v>131731</v>
      </c>
      <c r="F170" s="17">
        <v>389520</v>
      </c>
      <c r="G170" s="24">
        <v>31560</v>
      </c>
      <c r="H170" s="15">
        <v>22.38</v>
      </c>
      <c r="I170" s="15">
        <v>-2.7</v>
      </c>
      <c r="J170" s="15">
        <v>25.45</v>
      </c>
      <c r="K170" s="18">
        <v>31700</v>
      </c>
      <c r="L170" s="15">
        <v>689.7</v>
      </c>
      <c r="M170" s="15">
        <v>-154</v>
      </c>
      <c r="N170" s="15" t="s">
        <v>14</v>
      </c>
      <c r="O170" s="24">
        <v>-1120</v>
      </c>
      <c r="P170" s="17">
        <v>10220</v>
      </c>
      <c r="Q170" s="16">
        <v>315</v>
      </c>
      <c r="R170" s="19" t="s">
        <v>77</v>
      </c>
      <c r="S170" s="20" t="s">
        <v>37</v>
      </c>
      <c r="T170">
        <v>31019.45</v>
      </c>
    </row>
    <row r="171" spans="1:20" x14ac:dyDescent="0.25">
      <c r="A171" t="str">
        <f>(COUNTIF($K$2:K171,K171))&amp;K171</f>
        <v>10PCR</v>
      </c>
      <c r="B171" s="34" t="s">
        <v>82</v>
      </c>
      <c r="C171" s="41">
        <v>0.86832785548676394</v>
      </c>
      <c r="E171" s="33"/>
      <c r="F171" s="39">
        <v>6279840</v>
      </c>
      <c r="G171" s="40"/>
      <c r="H171" s="38"/>
      <c r="I171" s="38"/>
      <c r="J171" s="38"/>
      <c r="K171" s="56" t="s">
        <v>57</v>
      </c>
      <c r="L171" s="38"/>
      <c r="M171" s="38"/>
      <c r="N171" s="38"/>
      <c r="P171" s="40">
        <v>5452960</v>
      </c>
      <c r="Q171" s="33"/>
      <c r="R171" s="38"/>
      <c r="S171" s="38"/>
    </row>
    <row r="172" spans="1:20" x14ac:dyDescent="0.25">
      <c r="A172" t="str">
        <f>(COUNTIF($K$2:K172,K172))&amp;K172</f>
        <v>1130200</v>
      </c>
      <c r="B172" s="34" t="s">
        <v>83</v>
      </c>
      <c r="C172" s="13" t="s">
        <v>74</v>
      </c>
      <c r="D172" s="14" t="s">
        <v>76</v>
      </c>
      <c r="E172" s="16">
        <v>168</v>
      </c>
      <c r="F172" s="17">
        <v>1440</v>
      </c>
      <c r="G172" s="24">
        <v>1020</v>
      </c>
      <c r="H172" s="15">
        <v>29.83</v>
      </c>
      <c r="I172" s="15">
        <v>100.2</v>
      </c>
      <c r="J172" s="15">
        <v>821.15</v>
      </c>
      <c r="K172" s="18">
        <v>30200</v>
      </c>
      <c r="L172" s="15">
        <v>20.6</v>
      </c>
      <c r="M172" s="15">
        <v>-19.55</v>
      </c>
      <c r="N172" s="15">
        <v>24.94</v>
      </c>
      <c r="O172" s="24">
        <v>36560</v>
      </c>
      <c r="P172" s="17">
        <v>250620</v>
      </c>
      <c r="Q172" s="16">
        <v>151695</v>
      </c>
      <c r="R172" s="19" t="s">
        <v>76</v>
      </c>
      <c r="S172" s="20" t="s">
        <v>39</v>
      </c>
      <c r="T172">
        <v>30966.1</v>
      </c>
    </row>
    <row r="173" spans="1:20" x14ac:dyDescent="0.25">
      <c r="A173" t="str">
        <f>(COUNTIF($K$2:K173,K173))&amp;K173</f>
        <v>1130300</v>
      </c>
      <c r="B173" s="34" t="s">
        <v>83</v>
      </c>
      <c r="C173" s="13" t="s">
        <v>40</v>
      </c>
      <c r="D173" s="14" t="s">
        <v>76</v>
      </c>
      <c r="E173" s="16">
        <v>592</v>
      </c>
      <c r="F173" s="17">
        <v>4900</v>
      </c>
      <c r="G173" s="24">
        <v>2740</v>
      </c>
      <c r="H173" s="15">
        <v>29.19</v>
      </c>
      <c r="I173" s="15">
        <v>92.4</v>
      </c>
      <c r="J173" s="15">
        <v>722.05</v>
      </c>
      <c r="K173" s="18">
        <v>30300</v>
      </c>
      <c r="L173" s="15">
        <v>27.7</v>
      </c>
      <c r="M173" s="15">
        <v>-24.95</v>
      </c>
      <c r="N173" s="15">
        <v>24.23</v>
      </c>
      <c r="O173" s="24">
        <v>94220</v>
      </c>
      <c r="P173" s="17">
        <v>240520</v>
      </c>
      <c r="Q173" s="16">
        <v>194478</v>
      </c>
      <c r="R173" s="19" t="s">
        <v>76</v>
      </c>
      <c r="S173" s="20" t="s">
        <v>39</v>
      </c>
      <c r="T173">
        <v>30966.1</v>
      </c>
    </row>
    <row r="174" spans="1:20" x14ac:dyDescent="0.25">
      <c r="A174" t="str">
        <f>(COUNTIF($K$2:K174,K174))&amp;K174</f>
        <v>1130400</v>
      </c>
      <c r="B174" s="34" t="s">
        <v>83</v>
      </c>
      <c r="C174" s="13" t="s">
        <v>40</v>
      </c>
      <c r="D174" s="14" t="s">
        <v>76</v>
      </c>
      <c r="E174" s="16">
        <v>882</v>
      </c>
      <c r="F174" s="17">
        <v>2060</v>
      </c>
      <c r="G174" s="24">
        <v>660</v>
      </c>
      <c r="H174" s="15">
        <v>31.26</v>
      </c>
      <c r="I174" s="15">
        <v>71.45</v>
      </c>
      <c r="J174" s="15">
        <v>624.79999999999995</v>
      </c>
      <c r="K174" s="18">
        <v>30400</v>
      </c>
      <c r="L174" s="15">
        <v>38.1</v>
      </c>
      <c r="M174" s="15">
        <v>-31.65</v>
      </c>
      <c r="N174" s="15">
        <v>23.73</v>
      </c>
      <c r="O174" s="24">
        <v>158880</v>
      </c>
      <c r="P174" s="17">
        <v>290200</v>
      </c>
      <c r="Q174" s="16">
        <v>286205</v>
      </c>
      <c r="R174" s="19" t="s">
        <v>76</v>
      </c>
      <c r="S174" s="20" t="s">
        <v>39</v>
      </c>
      <c r="T174">
        <v>30966.1</v>
      </c>
    </row>
    <row r="175" spans="1:20" x14ac:dyDescent="0.25">
      <c r="A175" t="str">
        <f>(COUNTIF($K$2:K175,K175))&amp;K175</f>
        <v>1130500</v>
      </c>
      <c r="B175" s="34" t="s">
        <v>83</v>
      </c>
      <c r="C175" s="13" t="s">
        <v>40</v>
      </c>
      <c r="D175" s="14" t="s">
        <v>76</v>
      </c>
      <c r="E175" s="16">
        <v>12863</v>
      </c>
      <c r="F175" s="17">
        <v>56380</v>
      </c>
      <c r="G175" s="24">
        <v>8360</v>
      </c>
      <c r="H175" s="15">
        <v>24.24</v>
      </c>
      <c r="I175" s="15">
        <v>69</v>
      </c>
      <c r="J175" s="15">
        <v>542.54999999999995</v>
      </c>
      <c r="K175" s="18">
        <v>30500</v>
      </c>
      <c r="L175" s="15">
        <v>51.4</v>
      </c>
      <c r="M175" s="15">
        <v>-40.85</v>
      </c>
      <c r="N175" s="15">
        <v>23.21</v>
      </c>
      <c r="O175" s="24">
        <v>393680</v>
      </c>
      <c r="P175" s="17">
        <v>932020</v>
      </c>
      <c r="Q175" s="16">
        <v>610624</v>
      </c>
      <c r="R175" s="19" t="s">
        <v>76</v>
      </c>
      <c r="S175" s="20" t="s">
        <v>39</v>
      </c>
      <c r="T175">
        <v>30966.1</v>
      </c>
    </row>
    <row r="176" spans="1:20" x14ac:dyDescent="0.25">
      <c r="A176" t="str">
        <f>(COUNTIF($K$2:K176,K176))&amp;K176</f>
        <v>1130600</v>
      </c>
      <c r="B176" s="34" t="s">
        <v>83</v>
      </c>
      <c r="C176" s="13" t="s">
        <v>40</v>
      </c>
      <c r="D176" s="14" t="s">
        <v>76</v>
      </c>
      <c r="E176" s="16">
        <v>10384</v>
      </c>
      <c r="F176" s="17">
        <v>19380</v>
      </c>
      <c r="G176" s="24">
        <v>3000</v>
      </c>
      <c r="H176" s="15">
        <v>24.32</v>
      </c>
      <c r="I176" s="15">
        <v>61.55</v>
      </c>
      <c r="J176" s="15">
        <v>465.1</v>
      </c>
      <c r="K176" s="18">
        <v>30600</v>
      </c>
      <c r="L176" s="15">
        <v>69.099999999999994</v>
      </c>
      <c r="M176" s="15">
        <v>-49.15</v>
      </c>
      <c r="N176" s="15">
        <v>22.73</v>
      </c>
      <c r="O176" s="24">
        <v>235100</v>
      </c>
      <c r="P176" s="17">
        <v>408920</v>
      </c>
      <c r="Q176" s="16">
        <v>354823</v>
      </c>
      <c r="R176" s="19" t="s">
        <v>76</v>
      </c>
      <c r="S176" s="20" t="s">
        <v>39</v>
      </c>
      <c r="T176">
        <v>30966.1</v>
      </c>
    </row>
    <row r="177" spans="1:20" x14ac:dyDescent="0.25">
      <c r="A177" t="str">
        <f>(COUNTIF($K$2:K177,K177))&amp;K177</f>
        <v>1130700</v>
      </c>
      <c r="B177" s="34" t="s">
        <v>83</v>
      </c>
      <c r="C177" s="13" t="s">
        <v>40</v>
      </c>
      <c r="D177" s="14" t="s">
        <v>76</v>
      </c>
      <c r="E177" s="16">
        <v>46424</v>
      </c>
      <c r="F177" s="17">
        <v>53540</v>
      </c>
      <c r="G177" s="24">
        <v>25340</v>
      </c>
      <c r="H177" s="15">
        <v>23.48</v>
      </c>
      <c r="I177" s="15">
        <v>52.85</v>
      </c>
      <c r="J177" s="15">
        <v>385.3</v>
      </c>
      <c r="K177" s="18">
        <v>30700</v>
      </c>
      <c r="L177" s="15">
        <v>91.2</v>
      </c>
      <c r="M177" s="15">
        <v>-61</v>
      </c>
      <c r="N177" s="15">
        <v>22.33</v>
      </c>
      <c r="O177" s="24">
        <v>321660</v>
      </c>
      <c r="P177" s="17">
        <v>494140</v>
      </c>
      <c r="Q177" s="16">
        <v>416913</v>
      </c>
      <c r="R177" s="19" t="s">
        <v>76</v>
      </c>
      <c r="S177" s="20" t="s">
        <v>39</v>
      </c>
      <c r="T177">
        <v>30966.1</v>
      </c>
    </row>
    <row r="178" spans="1:20" x14ac:dyDescent="0.25">
      <c r="A178" t="str">
        <f>(COUNTIF($K$2:K178,K178))&amp;K178</f>
        <v>1130800</v>
      </c>
      <c r="B178" s="34" t="s">
        <v>83</v>
      </c>
      <c r="C178" s="13" t="s">
        <v>40</v>
      </c>
      <c r="D178" s="14" t="s">
        <v>76</v>
      </c>
      <c r="E178" s="16">
        <v>151231</v>
      </c>
      <c r="F178" s="17">
        <v>215580</v>
      </c>
      <c r="G178" s="24">
        <v>72960</v>
      </c>
      <c r="H178" s="15">
        <v>22.99</v>
      </c>
      <c r="I178" s="15">
        <v>41.6</v>
      </c>
      <c r="J178" s="15">
        <v>315.25</v>
      </c>
      <c r="K178" s="18">
        <v>30800</v>
      </c>
      <c r="L178" s="15">
        <v>121.3</v>
      </c>
      <c r="M178" s="15">
        <v>-69.849999999999994</v>
      </c>
      <c r="N178" s="15">
        <v>21.91</v>
      </c>
      <c r="O178" s="24">
        <v>323220</v>
      </c>
      <c r="P178" s="17">
        <v>580860</v>
      </c>
      <c r="Q178" s="16">
        <v>427570</v>
      </c>
      <c r="R178" s="19" t="s">
        <v>76</v>
      </c>
      <c r="S178" s="20" t="s">
        <v>39</v>
      </c>
      <c r="T178">
        <v>30966.1</v>
      </c>
    </row>
    <row r="179" spans="1:20" x14ac:dyDescent="0.25">
      <c r="A179" t="str">
        <f>(COUNTIF($K$2:K179,K179))&amp;K179</f>
        <v>1130900</v>
      </c>
      <c r="B179" s="34" t="s">
        <v>83</v>
      </c>
      <c r="C179" s="13" t="s">
        <v>40</v>
      </c>
      <c r="D179" s="14" t="s">
        <v>76</v>
      </c>
      <c r="E179" s="16">
        <v>267466</v>
      </c>
      <c r="F179" s="17">
        <v>391440</v>
      </c>
      <c r="G179" s="24">
        <v>171240</v>
      </c>
      <c r="H179" s="15">
        <v>22.23</v>
      </c>
      <c r="I179" s="15">
        <v>30.65</v>
      </c>
      <c r="J179" s="15">
        <v>251.5</v>
      </c>
      <c r="K179" s="18">
        <v>30900</v>
      </c>
      <c r="L179" s="15">
        <v>156.85</v>
      </c>
      <c r="M179" s="15">
        <v>-79.650000000000006</v>
      </c>
      <c r="N179" s="15">
        <v>21.47</v>
      </c>
      <c r="O179" s="24">
        <v>326000</v>
      </c>
      <c r="P179" s="17">
        <v>534720</v>
      </c>
      <c r="Q179" s="16">
        <v>366828</v>
      </c>
      <c r="R179" s="19" t="s">
        <v>76</v>
      </c>
      <c r="S179" s="20" t="s">
        <v>39</v>
      </c>
      <c r="T179">
        <v>30966.1</v>
      </c>
    </row>
    <row r="180" spans="1:20" ht="15.75" x14ac:dyDescent="0.25">
      <c r="A180" t="str">
        <f>(COUNTIF($K$2:K180,K180))&amp;K180</f>
        <v>1131000</v>
      </c>
      <c r="B180" s="34" t="s">
        <v>83</v>
      </c>
      <c r="C180" s="13" t="s">
        <v>40</v>
      </c>
      <c r="D180" s="14" t="s">
        <v>76</v>
      </c>
      <c r="E180" s="16">
        <v>582414</v>
      </c>
      <c r="F180" s="17">
        <v>1050780</v>
      </c>
      <c r="G180" s="24">
        <v>272520</v>
      </c>
      <c r="H180" s="15">
        <v>21.97</v>
      </c>
      <c r="I180" s="15">
        <v>19.25</v>
      </c>
      <c r="J180" s="15">
        <v>197.05</v>
      </c>
      <c r="K180" s="21">
        <v>31000</v>
      </c>
      <c r="L180" s="15">
        <v>201.1</v>
      </c>
      <c r="M180" s="15">
        <v>-90.85</v>
      </c>
      <c r="N180" s="15">
        <v>21.34</v>
      </c>
      <c r="O180" s="24">
        <v>348480</v>
      </c>
      <c r="P180" s="17">
        <v>799700</v>
      </c>
      <c r="Q180" s="16">
        <v>356355</v>
      </c>
      <c r="R180" s="19" t="s">
        <v>76</v>
      </c>
      <c r="S180" s="20" t="s">
        <v>39</v>
      </c>
      <c r="T180">
        <v>30966.1</v>
      </c>
    </row>
    <row r="181" spans="1:20" x14ac:dyDescent="0.25">
      <c r="A181" t="str">
        <f>(COUNTIF($K$2:K181,K181))&amp;K181</f>
        <v>1131100</v>
      </c>
      <c r="B181" s="34" t="s">
        <v>83</v>
      </c>
      <c r="C181" s="13" t="s">
        <v>40</v>
      </c>
      <c r="D181" s="14" t="s">
        <v>76</v>
      </c>
      <c r="E181" s="16">
        <v>363487</v>
      </c>
      <c r="F181" s="17">
        <v>468840</v>
      </c>
      <c r="G181" s="24">
        <v>98920</v>
      </c>
      <c r="H181" s="15">
        <v>21.92</v>
      </c>
      <c r="I181" s="15">
        <v>11.45</v>
      </c>
      <c r="J181" s="15">
        <v>151.69999999999999</v>
      </c>
      <c r="K181" s="18">
        <v>31100</v>
      </c>
      <c r="L181" s="15">
        <v>257</v>
      </c>
      <c r="M181" s="15">
        <v>-96.45</v>
      </c>
      <c r="N181" s="15">
        <v>21.09</v>
      </c>
      <c r="O181" s="24">
        <v>44460</v>
      </c>
      <c r="P181" s="17">
        <v>148720</v>
      </c>
      <c r="Q181" s="16">
        <v>81587</v>
      </c>
      <c r="R181" s="19" t="s">
        <v>76</v>
      </c>
      <c r="S181" s="20" t="s">
        <v>39</v>
      </c>
      <c r="T181">
        <v>30966.1</v>
      </c>
    </row>
    <row r="182" spans="1:20" x14ac:dyDescent="0.25">
      <c r="A182" t="str">
        <f>(COUNTIF($K$2:K182,K182))&amp;K182</f>
        <v>1131200</v>
      </c>
      <c r="B182" s="34" t="s">
        <v>83</v>
      </c>
      <c r="C182" s="13" t="s">
        <v>40</v>
      </c>
      <c r="D182" s="14" t="s">
        <v>76</v>
      </c>
      <c r="E182" s="16">
        <v>558113</v>
      </c>
      <c r="F182" s="17">
        <v>708260</v>
      </c>
      <c r="G182" s="24">
        <v>148860</v>
      </c>
      <c r="H182" s="15">
        <v>21.97</v>
      </c>
      <c r="I182" s="15">
        <v>4.2</v>
      </c>
      <c r="J182" s="15">
        <v>115.05</v>
      </c>
      <c r="K182" s="18">
        <v>31200</v>
      </c>
      <c r="L182" s="15">
        <v>321.55</v>
      </c>
      <c r="M182" s="15">
        <v>-103.7</v>
      </c>
      <c r="N182" s="15">
        <v>21.31</v>
      </c>
      <c r="O182" s="24">
        <v>12420</v>
      </c>
      <c r="P182" s="17">
        <v>117520</v>
      </c>
      <c r="Q182" s="16">
        <v>44722</v>
      </c>
      <c r="R182" s="19" t="s">
        <v>76</v>
      </c>
      <c r="S182" s="20" t="s">
        <v>39</v>
      </c>
      <c r="T182">
        <v>30966.1</v>
      </c>
    </row>
    <row r="183" spans="1:20" x14ac:dyDescent="0.25">
      <c r="A183" t="str">
        <f>(COUNTIF($K$2:K183,K183))&amp;K183</f>
        <v>1131300</v>
      </c>
      <c r="B183" s="34" t="s">
        <v>83</v>
      </c>
      <c r="C183" s="13" t="s">
        <v>40</v>
      </c>
      <c r="D183" s="14" t="s">
        <v>76</v>
      </c>
      <c r="E183" s="16">
        <v>395991</v>
      </c>
      <c r="F183" s="17">
        <v>613520</v>
      </c>
      <c r="G183" s="24">
        <v>165840</v>
      </c>
      <c r="H183" s="15">
        <v>22.01</v>
      </c>
      <c r="I183" s="15">
        <v>0.75</v>
      </c>
      <c r="J183" s="15">
        <v>86.3</v>
      </c>
      <c r="K183" s="18">
        <v>31300</v>
      </c>
      <c r="L183" s="15">
        <v>392.05</v>
      </c>
      <c r="M183" s="15">
        <v>-116.65</v>
      </c>
      <c r="N183" s="15">
        <v>21.05</v>
      </c>
      <c r="O183" s="24">
        <v>-14640</v>
      </c>
      <c r="P183" s="17">
        <v>88540</v>
      </c>
      <c r="Q183" s="16">
        <v>11571</v>
      </c>
      <c r="R183" s="19" t="s">
        <v>77</v>
      </c>
      <c r="S183" s="20" t="s">
        <v>37</v>
      </c>
      <c r="T183">
        <v>30966.1</v>
      </c>
    </row>
    <row r="184" spans="1:20" x14ac:dyDescent="0.25">
      <c r="A184" t="str">
        <f>(COUNTIF($K$2:K184,K184))&amp;K184</f>
        <v>1131400</v>
      </c>
      <c r="B184" s="34" t="s">
        <v>83</v>
      </c>
      <c r="C184" s="13" t="s">
        <v>39</v>
      </c>
      <c r="D184" s="14" t="s">
        <v>76</v>
      </c>
      <c r="E184" s="16">
        <v>349332</v>
      </c>
      <c r="F184" s="17">
        <v>543520</v>
      </c>
      <c r="G184" s="24">
        <v>150360</v>
      </c>
      <c r="H184" s="15">
        <v>22.13</v>
      </c>
      <c r="I184" s="15">
        <v>-3.15</v>
      </c>
      <c r="J184" s="15">
        <v>62.7</v>
      </c>
      <c r="K184" s="18">
        <v>31400</v>
      </c>
      <c r="L184" s="15">
        <v>464.3</v>
      </c>
      <c r="M184" s="15">
        <v>-117.65</v>
      </c>
      <c r="N184" s="15">
        <v>20.55</v>
      </c>
      <c r="O184" s="24">
        <v>4280</v>
      </c>
      <c r="P184" s="17">
        <v>54760</v>
      </c>
      <c r="Q184" s="16">
        <v>3950</v>
      </c>
      <c r="R184" s="19" t="s">
        <v>76</v>
      </c>
      <c r="S184" s="20" t="s">
        <v>39</v>
      </c>
      <c r="T184">
        <v>30966.1</v>
      </c>
    </row>
    <row r="185" spans="1:20" x14ac:dyDescent="0.25">
      <c r="A185" t="str">
        <f>(COUNTIF($K$2:K185,K185))&amp;K185</f>
        <v>1131500</v>
      </c>
      <c r="B185" s="34" t="s">
        <v>83</v>
      </c>
      <c r="C185" s="13" t="s">
        <v>39</v>
      </c>
      <c r="D185" s="14" t="s">
        <v>76</v>
      </c>
      <c r="E185" s="16">
        <v>515803</v>
      </c>
      <c r="F185" s="17">
        <v>1430380</v>
      </c>
      <c r="G185" s="24">
        <v>236020</v>
      </c>
      <c r="H185" s="15">
        <v>22.41</v>
      </c>
      <c r="I185" s="15">
        <v>-4.95</v>
      </c>
      <c r="J185" s="15">
        <v>45</v>
      </c>
      <c r="K185" s="18">
        <v>31500</v>
      </c>
      <c r="L185" s="15">
        <v>548.45000000000005</v>
      </c>
      <c r="M185" s="15">
        <v>-118.85</v>
      </c>
      <c r="N185" s="15">
        <v>18.47</v>
      </c>
      <c r="O185" s="24">
        <v>4560</v>
      </c>
      <c r="P185" s="17">
        <v>472660</v>
      </c>
      <c r="Q185" s="16">
        <v>6491</v>
      </c>
      <c r="R185" s="19" t="s">
        <v>76</v>
      </c>
      <c r="S185" s="20" t="s">
        <v>39</v>
      </c>
      <c r="T185">
        <v>30966.1</v>
      </c>
    </row>
    <row r="186" spans="1:20" x14ac:dyDescent="0.25">
      <c r="A186" t="str">
        <f>(COUNTIF($K$2:K186,K186))&amp;K186</f>
        <v>1131600</v>
      </c>
      <c r="B186" s="34" t="s">
        <v>83</v>
      </c>
      <c r="C186" s="13" t="s">
        <v>39</v>
      </c>
      <c r="D186" s="14" t="s">
        <v>76</v>
      </c>
      <c r="E186" s="16">
        <v>203273</v>
      </c>
      <c r="F186" s="17">
        <v>356280</v>
      </c>
      <c r="G186" s="24">
        <v>72060</v>
      </c>
      <c r="H186" s="15">
        <v>22.58</v>
      </c>
      <c r="I186" s="15">
        <v>-6.05</v>
      </c>
      <c r="J186" s="15">
        <v>31.7</v>
      </c>
      <c r="K186" s="18">
        <v>31600</v>
      </c>
      <c r="L186" s="15">
        <v>642.95000000000005</v>
      </c>
      <c r="M186" s="15">
        <v>-117.9</v>
      </c>
      <c r="N186" s="15">
        <v>12.8</v>
      </c>
      <c r="O186" s="24" t="s">
        <v>14</v>
      </c>
      <c r="P186" s="17">
        <v>17660</v>
      </c>
      <c r="Q186" s="16">
        <v>273</v>
      </c>
      <c r="R186" s="19" t="s">
        <v>76</v>
      </c>
      <c r="S186" s="20" t="s">
        <v>39</v>
      </c>
      <c r="T186">
        <v>30966.1</v>
      </c>
    </row>
    <row r="187" spans="1:20" x14ac:dyDescent="0.25">
      <c r="A187" t="str">
        <f>(COUNTIF($K$2:K187,K187))&amp;K187</f>
        <v>1131700</v>
      </c>
      <c r="B187" s="34" t="s">
        <v>83</v>
      </c>
      <c r="C187" s="13" t="s">
        <v>39</v>
      </c>
      <c r="D187" s="14" t="s">
        <v>76</v>
      </c>
      <c r="E187" s="16">
        <v>134190</v>
      </c>
      <c r="F187" s="17">
        <v>392880</v>
      </c>
      <c r="G187" s="24">
        <v>34920</v>
      </c>
      <c r="H187" s="15">
        <v>22.61</v>
      </c>
      <c r="I187" s="15">
        <v>-6.15</v>
      </c>
      <c r="J187" s="15">
        <v>22</v>
      </c>
      <c r="K187" s="18">
        <v>31700</v>
      </c>
      <c r="L187" s="15">
        <v>736.95</v>
      </c>
      <c r="M187" s="15">
        <v>-106.75</v>
      </c>
      <c r="N187" s="15">
        <v>14.76</v>
      </c>
      <c r="O187" s="24">
        <v>-1240</v>
      </c>
      <c r="P187" s="17">
        <v>10100</v>
      </c>
      <c r="Q187" s="16">
        <v>316</v>
      </c>
      <c r="R187" s="19" t="s">
        <v>77</v>
      </c>
      <c r="S187" s="20" t="s">
        <v>37</v>
      </c>
      <c r="T187">
        <v>30966.1</v>
      </c>
    </row>
    <row r="188" spans="1:20" x14ac:dyDescent="0.25">
      <c r="A188" t="str">
        <f>(COUNTIF($K$2:K188,K188))&amp;K188</f>
        <v>11PCR</v>
      </c>
      <c r="B188" s="34" t="s">
        <v>83</v>
      </c>
      <c r="C188" s="41">
        <v>0.86249877163117872</v>
      </c>
      <c r="E188" s="33"/>
      <c r="F188" s="39">
        <v>6309180</v>
      </c>
      <c r="G188" s="40"/>
      <c r="H188" s="38"/>
      <c r="I188" s="38"/>
      <c r="J188" s="38"/>
      <c r="K188" s="56" t="s">
        <v>57</v>
      </c>
      <c r="L188" s="38"/>
      <c r="M188" s="38"/>
      <c r="N188" s="38"/>
      <c r="P188" s="40">
        <v>5441660</v>
      </c>
      <c r="Q188" s="33"/>
      <c r="R188" s="38"/>
      <c r="S188" s="38"/>
    </row>
    <row r="189" spans="1:20" x14ac:dyDescent="0.25">
      <c r="A189" t="str">
        <f>(COUNTIF($K$2:K189,K189))&amp;K189</f>
        <v>1230200</v>
      </c>
      <c r="B189" s="34" t="s">
        <v>83</v>
      </c>
      <c r="C189" s="13" t="s">
        <v>74</v>
      </c>
      <c r="D189" s="14" t="s">
        <v>76</v>
      </c>
      <c r="E189" s="16">
        <v>168</v>
      </c>
      <c r="F189" s="17">
        <v>1440</v>
      </c>
      <c r="G189" s="24">
        <v>1020</v>
      </c>
      <c r="H189" s="15">
        <v>29.83</v>
      </c>
      <c r="I189" s="15">
        <v>100.2</v>
      </c>
      <c r="J189" s="15">
        <v>821.15</v>
      </c>
      <c r="K189" s="18">
        <v>30200</v>
      </c>
      <c r="L189" s="15">
        <v>20.6</v>
      </c>
      <c r="M189" s="15">
        <v>-19.55</v>
      </c>
      <c r="N189" s="15">
        <v>24.94</v>
      </c>
      <c r="O189" s="24">
        <v>36560</v>
      </c>
      <c r="P189" s="17">
        <v>250620</v>
      </c>
      <c r="Q189" s="16">
        <v>151695</v>
      </c>
      <c r="R189" s="19" t="s">
        <v>76</v>
      </c>
      <c r="S189" s="20" t="s">
        <v>39</v>
      </c>
      <c r="T189">
        <v>30966.1</v>
      </c>
    </row>
    <row r="190" spans="1:20" x14ac:dyDescent="0.25">
      <c r="A190" t="str">
        <f>(COUNTIF($K$2:K190,K190))&amp;K190</f>
        <v>1230300</v>
      </c>
      <c r="B190" s="34" t="s">
        <v>83</v>
      </c>
      <c r="C190" s="13" t="s">
        <v>40</v>
      </c>
      <c r="D190" s="14" t="s">
        <v>76</v>
      </c>
      <c r="E190" s="16">
        <v>592</v>
      </c>
      <c r="F190" s="17">
        <v>4900</v>
      </c>
      <c r="G190" s="24">
        <v>2740</v>
      </c>
      <c r="H190" s="15">
        <v>29.19</v>
      </c>
      <c r="I190" s="15">
        <v>92.4</v>
      </c>
      <c r="J190" s="15">
        <v>722.05</v>
      </c>
      <c r="K190" s="18">
        <v>30300</v>
      </c>
      <c r="L190" s="15">
        <v>27.7</v>
      </c>
      <c r="M190" s="15">
        <v>-24.95</v>
      </c>
      <c r="N190" s="15">
        <v>24.23</v>
      </c>
      <c r="O190" s="24">
        <v>94220</v>
      </c>
      <c r="P190" s="17">
        <v>240520</v>
      </c>
      <c r="Q190" s="16">
        <v>194478</v>
      </c>
      <c r="R190" s="19" t="s">
        <v>76</v>
      </c>
      <c r="S190" s="20" t="s">
        <v>39</v>
      </c>
      <c r="T190">
        <v>30966.1</v>
      </c>
    </row>
    <row r="191" spans="1:20" x14ac:dyDescent="0.25">
      <c r="A191" t="str">
        <f>(COUNTIF($K$2:K191,K191))&amp;K191</f>
        <v>1230400</v>
      </c>
      <c r="B191" s="34" t="s">
        <v>83</v>
      </c>
      <c r="C191" s="13" t="s">
        <v>40</v>
      </c>
      <c r="D191" s="14" t="s">
        <v>76</v>
      </c>
      <c r="E191" s="16">
        <v>882</v>
      </c>
      <c r="F191" s="17">
        <v>2060</v>
      </c>
      <c r="G191" s="24">
        <v>660</v>
      </c>
      <c r="H191" s="15">
        <v>31.26</v>
      </c>
      <c r="I191" s="15">
        <v>71.45</v>
      </c>
      <c r="J191" s="15">
        <v>624.79999999999995</v>
      </c>
      <c r="K191" s="18">
        <v>30400</v>
      </c>
      <c r="L191" s="15">
        <v>38.1</v>
      </c>
      <c r="M191" s="15">
        <v>-31.65</v>
      </c>
      <c r="N191" s="15">
        <v>23.73</v>
      </c>
      <c r="O191" s="24">
        <v>158880</v>
      </c>
      <c r="P191" s="17">
        <v>290200</v>
      </c>
      <c r="Q191" s="16">
        <v>286205</v>
      </c>
      <c r="R191" s="19" t="s">
        <v>76</v>
      </c>
      <c r="S191" s="20" t="s">
        <v>39</v>
      </c>
      <c r="T191">
        <v>30966.1</v>
      </c>
    </row>
    <row r="192" spans="1:20" x14ac:dyDescent="0.25">
      <c r="A192" t="str">
        <f>(COUNTIF($K$2:K192,K192))&amp;K192</f>
        <v>1230500</v>
      </c>
      <c r="B192" s="34" t="s">
        <v>83</v>
      </c>
      <c r="C192" s="13" t="s">
        <v>40</v>
      </c>
      <c r="D192" s="14" t="s">
        <v>76</v>
      </c>
      <c r="E192" s="16">
        <v>12863</v>
      </c>
      <c r="F192" s="17">
        <v>56380</v>
      </c>
      <c r="G192" s="24">
        <v>8360</v>
      </c>
      <c r="H192" s="15">
        <v>24.24</v>
      </c>
      <c r="I192" s="15">
        <v>69</v>
      </c>
      <c r="J192" s="15">
        <v>542.54999999999995</v>
      </c>
      <c r="K192" s="18">
        <v>30500</v>
      </c>
      <c r="L192" s="15">
        <v>51.4</v>
      </c>
      <c r="M192" s="15">
        <v>-40.85</v>
      </c>
      <c r="N192" s="15">
        <v>23.21</v>
      </c>
      <c r="O192" s="24">
        <v>393680</v>
      </c>
      <c r="P192" s="17">
        <v>932020</v>
      </c>
      <c r="Q192" s="16">
        <v>610624</v>
      </c>
      <c r="R192" s="19" t="s">
        <v>76</v>
      </c>
      <c r="S192" s="20" t="s">
        <v>39</v>
      </c>
      <c r="T192">
        <v>30966.1</v>
      </c>
    </row>
    <row r="193" spans="1:20" x14ac:dyDescent="0.25">
      <c r="A193" t="str">
        <f>(COUNTIF($K$2:K193,K193))&amp;K193</f>
        <v>1230600</v>
      </c>
      <c r="B193" s="34" t="s">
        <v>83</v>
      </c>
      <c r="C193" s="13" t="s">
        <v>40</v>
      </c>
      <c r="D193" s="14" t="s">
        <v>76</v>
      </c>
      <c r="E193" s="16">
        <v>10384</v>
      </c>
      <c r="F193" s="17">
        <v>19380</v>
      </c>
      <c r="G193" s="24">
        <v>3000</v>
      </c>
      <c r="H193" s="15">
        <v>24.32</v>
      </c>
      <c r="I193" s="15">
        <v>61.55</v>
      </c>
      <c r="J193" s="15">
        <v>465.1</v>
      </c>
      <c r="K193" s="18">
        <v>30600</v>
      </c>
      <c r="L193" s="15">
        <v>69.099999999999994</v>
      </c>
      <c r="M193" s="15">
        <v>-49.15</v>
      </c>
      <c r="N193" s="15">
        <v>22.73</v>
      </c>
      <c r="O193" s="24">
        <v>235100</v>
      </c>
      <c r="P193" s="17">
        <v>408920</v>
      </c>
      <c r="Q193" s="16">
        <v>354823</v>
      </c>
      <c r="R193" s="19" t="s">
        <v>76</v>
      </c>
      <c r="S193" s="20" t="s">
        <v>39</v>
      </c>
      <c r="T193">
        <v>30966.1</v>
      </c>
    </row>
    <row r="194" spans="1:20" x14ac:dyDescent="0.25">
      <c r="A194" t="str">
        <f>(COUNTIF($K$2:K194,K194))&amp;K194</f>
        <v>1230700</v>
      </c>
      <c r="B194" s="34" t="s">
        <v>83</v>
      </c>
      <c r="C194" s="13" t="s">
        <v>40</v>
      </c>
      <c r="D194" s="14" t="s">
        <v>76</v>
      </c>
      <c r="E194" s="16">
        <v>46424</v>
      </c>
      <c r="F194" s="17">
        <v>53540</v>
      </c>
      <c r="G194" s="24">
        <v>25340</v>
      </c>
      <c r="H194" s="15">
        <v>23.48</v>
      </c>
      <c r="I194" s="15">
        <v>52.85</v>
      </c>
      <c r="J194" s="15">
        <v>385.3</v>
      </c>
      <c r="K194" s="18">
        <v>30700</v>
      </c>
      <c r="L194" s="15">
        <v>91.2</v>
      </c>
      <c r="M194" s="15">
        <v>-61</v>
      </c>
      <c r="N194" s="15">
        <v>22.33</v>
      </c>
      <c r="O194" s="24">
        <v>321660</v>
      </c>
      <c r="P194" s="17">
        <v>494140</v>
      </c>
      <c r="Q194" s="16">
        <v>416913</v>
      </c>
      <c r="R194" s="19" t="s">
        <v>76</v>
      </c>
      <c r="S194" s="20" t="s">
        <v>39</v>
      </c>
      <c r="T194">
        <v>30966.1</v>
      </c>
    </row>
    <row r="195" spans="1:20" x14ac:dyDescent="0.25">
      <c r="A195" t="str">
        <f>(COUNTIF($K$2:K195,K195))&amp;K195</f>
        <v>1230800</v>
      </c>
      <c r="B195" s="34" t="s">
        <v>83</v>
      </c>
      <c r="C195" s="13" t="s">
        <v>40</v>
      </c>
      <c r="D195" s="14" t="s">
        <v>76</v>
      </c>
      <c r="E195" s="16">
        <v>151231</v>
      </c>
      <c r="F195" s="17">
        <v>215580</v>
      </c>
      <c r="G195" s="24">
        <v>72960</v>
      </c>
      <c r="H195" s="15">
        <v>22.99</v>
      </c>
      <c r="I195" s="15">
        <v>41.6</v>
      </c>
      <c r="J195" s="15">
        <v>315.25</v>
      </c>
      <c r="K195" s="18">
        <v>30800</v>
      </c>
      <c r="L195" s="15">
        <v>121.3</v>
      </c>
      <c r="M195" s="15">
        <v>-69.849999999999994</v>
      </c>
      <c r="N195" s="15">
        <v>21.91</v>
      </c>
      <c r="O195" s="24">
        <v>323220</v>
      </c>
      <c r="P195" s="17">
        <v>580860</v>
      </c>
      <c r="Q195" s="16">
        <v>427570</v>
      </c>
      <c r="R195" s="19" t="s">
        <v>76</v>
      </c>
      <c r="S195" s="20" t="s">
        <v>39</v>
      </c>
      <c r="T195">
        <v>30966.1</v>
      </c>
    </row>
    <row r="196" spans="1:20" x14ac:dyDescent="0.25">
      <c r="A196" t="str">
        <f>(COUNTIF($K$2:K196,K196))&amp;K196</f>
        <v>1230900</v>
      </c>
      <c r="B196" s="34" t="s">
        <v>83</v>
      </c>
      <c r="C196" s="13" t="s">
        <v>40</v>
      </c>
      <c r="D196" s="14" t="s">
        <v>76</v>
      </c>
      <c r="E196" s="16">
        <v>267466</v>
      </c>
      <c r="F196" s="17">
        <v>391440</v>
      </c>
      <c r="G196" s="24">
        <v>171240</v>
      </c>
      <c r="H196" s="15">
        <v>22.23</v>
      </c>
      <c r="I196" s="15">
        <v>30.65</v>
      </c>
      <c r="J196" s="15">
        <v>251.5</v>
      </c>
      <c r="K196" s="18">
        <v>30900</v>
      </c>
      <c r="L196" s="15">
        <v>156.85</v>
      </c>
      <c r="M196" s="15">
        <v>-79.650000000000006</v>
      </c>
      <c r="N196" s="15">
        <v>21.47</v>
      </c>
      <c r="O196" s="24">
        <v>326000</v>
      </c>
      <c r="P196" s="17">
        <v>534720</v>
      </c>
      <c r="Q196" s="16">
        <v>366828</v>
      </c>
      <c r="R196" s="19" t="s">
        <v>76</v>
      </c>
      <c r="S196" s="20" t="s">
        <v>39</v>
      </c>
      <c r="T196">
        <v>30966.1</v>
      </c>
    </row>
    <row r="197" spans="1:20" ht="15.75" x14ac:dyDescent="0.25">
      <c r="A197" t="str">
        <f>(COUNTIF($K$2:K197,K197))&amp;K197</f>
        <v>1231000</v>
      </c>
      <c r="B197" s="34" t="s">
        <v>83</v>
      </c>
      <c r="C197" s="13" t="s">
        <v>40</v>
      </c>
      <c r="D197" s="14" t="s">
        <v>76</v>
      </c>
      <c r="E197" s="16">
        <v>582414</v>
      </c>
      <c r="F197" s="17">
        <v>1050780</v>
      </c>
      <c r="G197" s="24">
        <v>272520</v>
      </c>
      <c r="H197" s="15">
        <v>21.97</v>
      </c>
      <c r="I197" s="15">
        <v>19.25</v>
      </c>
      <c r="J197" s="15">
        <v>197.05</v>
      </c>
      <c r="K197" s="21">
        <v>31000</v>
      </c>
      <c r="L197" s="15">
        <v>201.1</v>
      </c>
      <c r="M197" s="15">
        <v>-90.85</v>
      </c>
      <c r="N197" s="15">
        <v>21.34</v>
      </c>
      <c r="O197" s="24">
        <v>348480</v>
      </c>
      <c r="P197" s="17">
        <v>799700</v>
      </c>
      <c r="Q197" s="16">
        <v>356355</v>
      </c>
      <c r="R197" s="19" t="s">
        <v>76</v>
      </c>
      <c r="S197" s="20" t="s">
        <v>39</v>
      </c>
      <c r="T197">
        <v>30966.1</v>
      </c>
    </row>
    <row r="198" spans="1:20" x14ac:dyDescent="0.25">
      <c r="A198" t="str">
        <f>(COUNTIF($K$2:K198,K198))&amp;K198</f>
        <v>1231100</v>
      </c>
      <c r="B198" s="34" t="s">
        <v>83</v>
      </c>
      <c r="C198" s="13" t="s">
        <v>40</v>
      </c>
      <c r="D198" s="14" t="s">
        <v>76</v>
      </c>
      <c r="E198" s="16">
        <v>363487</v>
      </c>
      <c r="F198" s="17">
        <v>468840</v>
      </c>
      <c r="G198" s="24">
        <v>98920</v>
      </c>
      <c r="H198" s="15">
        <v>21.92</v>
      </c>
      <c r="I198" s="15">
        <v>11.45</v>
      </c>
      <c r="J198" s="15">
        <v>151.69999999999999</v>
      </c>
      <c r="K198" s="18">
        <v>31100</v>
      </c>
      <c r="L198" s="15">
        <v>257</v>
      </c>
      <c r="M198" s="15">
        <v>-96.45</v>
      </c>
      <c r="N198" s="15">
        <v>21.09</v>
      </c>
      <c r="O198" s="24">
        <v>44460</v>
      </c>
      <c r="P198" s="17">
        <v>148720</v>
      </c>
      <c r="Q198" s="16">
        <v>81587</v>
      </c>
      <c r="R198" s="19" t="s">
        <v>76</v>
      </c>
      <c r="S198" s="20" t="s">
        <v>39</v>
      </c>
      <c r="T198">
        <v>30966.1</v>
      </c>
    </row>
    <row r="199" spans="1:20" x14ac:dyDescent="0.25">
      <c r="A199" t="str">
        <f>(COUNTIF($K$2:K199,K199))&amp;K199</f>
        <v>1231200</v>
      </c>
      <c r="B199" s="34" t="s">
        <v>83</v>
      </c>
      <c r="C199" s="13" t="s">
        <v>40</v>
      </c>
      <c r="D199" s="14" t="s">
        <v>76</v>
      </c>
      <c r="E199" s="16">
        <v>558113</v>
      </c>
      <c r="F199" s="17">
        <v>708260</v>
      </c>
      <c r="G199" s="24">
        <v>148860</v>
      </c>
      <c r="H199" s="15">
        <v>21.97</v>
      </c>
      <c r="I199" s="15">
        <v>4.2</v>
      </c>
      <c r="J199" s="15">
        <v>115.05</v>
      </c>
      <c r="K199" s="18">
        <v>31200</v>
      </c>
      <c r="L199" s="15">
        <v>321.55</v>
      </c>
      <c r="M199" s="15">
        <v>-103.7</v>
      </c>
      <c r="N199" s="15">
        <v>21.31</v>
      </c>
      <c r="O199" s="24">
        <v>12420</v>
      </c>
      <c r="P199" s="17">
        <v>117520</v>
      </c>
      <c r="Q199" s="16">
        <v>44722</v>
      </c>
      <c r="R199" s="19" t="s">
        <v>76</v>
      </c>
      <c r="S199" s="20" t="s">
        <v>39</v>
      </c>
      <c r="T199">
        <v>30966.1</v>
      </c>
    </row>
    <row r="200" spans="1:20" x14ac:dyDescent="0.25">
      <c r="A200" t="str">
        <f>(COUNTIF($K$2:K200,K200))&amp;K200</f>
        <v>1231300</v>
      </c>
      <c r="B200" s="34" t="s">
        <v>83</v>
      </c>
      <c r="C200" s="13" t="s">
        <v>40</v>
      </c>
      <c r="D200" s="14" t="s">
        <v>76</v>
      </c>
      <c r="E200" s="16">
        <v>395991</v>
      </c>
      <c r="F200" s="17">
        <v>613520</v>
      </c>
      <c r="G200" s="24">
        <v>165840</v>
      </c>
      <c r="H200" s="15">
        <v>22.01</v>
      </c>
      <c r="I200" s="15">
        <v>0.75</v>
      </c>
      <c r="J200" s="15">
        <v>86.3</v>
      </c>
      <c r="K200" s="18">
        <v>31300</v>
      </c>
      <c r="L200" s="15">
        <v>392.05</v>
      </c>
      <c r="M200" s="15">
        <v>-116.65</v>
      </c>
      <c r="N200" s="15">
        <v>21.05</v>
      </c>
      <c r="O200" s="24">
        <v>-14640</v>
      </c>
      <c r="P200" s="17">
        <v>88540</v>
      </c>
      <c r="Q200" s="16">
        <v>11571</v>
      </c>
      <c r="R200" s="19" t="s">
        <v>77</v>
      </c>
      <c r="S200" s="20" t="s">
        <v>37</v>
      </c>
      <c r="T200">
        <v>30966.1</v>
      </c>
    </row>
    <row r="201" spans="1:20" x14ac:dyDescent="0.25">
      <c r="A201" t="str">
        <f>(COUNTIF($K$2:K201,K201))&amp;K201</f>
        <v>1231400</v>
      </c>
      <c r="B201" s="34" t="s">
        <v>83</v>
      </c>
      <c r="C201" s="13" t="s">
        <v>39</v>
      </c>
      <c r="D201" s="14" t="s">
        <v>76</v>
      </c>
      <c r="E201" s="16">
        <v>349332</v>
      </c>
      <c r="F201" s="17">
        <v>543520</v>
      </c>
      <c r="G201" s="24">
        <v>150360</v>
      </c>
      <c r="H201" s="15">
        <v>22.13</v>
      </c>
      <c r="I201" s="15">
        <v>-3.15</v>
      </c>
      <c r="J201" s="15">
        <v>62.7</v>
      </c>
      <c r="K201" s="18">
        <v>31400</v>
      </c>
      <c r="L201" s="15">
        <v>464.3</v>
      </c>
      <c r="M201" s="15">
        <v>-117.65</v>
      </c>
      <c r="N201" s="15">
        <v>20.55</v>
      </c>
      <c r="O201" s="24">
        <v>4280</v>
      </c>
      <c r="P201" s="17">
        <v>54760</v>
      </c>
      <c r="Q201" s="16">
        <v>3950</v>
      </c>
      <c r="R201" s="19" t="s">
        <v>76</v>
      </c>
      <c r="S201" s="20" t="s">
        <v>39</v>
      </c>
      <c r="T201">
        <v>30966.1</v>
      </c>
    </row>
    <row r="202" spans="1:20" x14ac:dyDescent="0.25">
      <c r="A202" t="str">
        <f>(COUNTIF($K$2:K202,K202))&amp;K202</f>
        <v>1231500</v>
      </c>
      <c r="B202" s="34" t="s">
        <v>83</v>
      </c>
      <c r="C202" s="13" t="s">
        <v>39</v>
      </c>
      <c r="D202" s="14" t="s">
        <v>76</v>
      </c>
      <c r="E202" s="16">
        <v>515803</v>
      </c>
      <c r="F202" s="17">
        <v>1430380</v>
      </c>
      <c r="G202" s="24">
        <v>236020</v>
      </c>
      <c r="H202" s="15">
        <v>22.41</v>
      </c>
      <c r="I202" s="15">
        <v>-4.95</v>
      </c>
      <c r="J202" s="15">
        <v>45</v>
      </c>
      <c r="K202" s="18">
        <v>31500</v>
      </c>
      <c r="L202" s="15">
        <v>548.45000000000005</v>
      </c>
      <c r="M202" s="15">
        <v>-118.85</v>
      </c>
      <c r="N202" s="15">
        <v>18.47</v>
      </c>
      <c r="O202" s="24">
        <v>4560</v>
      </c>
      <c r="P202" s="17">
        <v>472660</v>
      </c>
      <c r="Q202" s="16">
        <v>6491</v>
      </c>
      <c r="R202" s="19" t="s">
        <v>76</v>
      </c>
      <c r="S202" s="20" t="s">
        <v>39</v>
      </c>
      <c r="T202">
        <v>30966.1</v>
      </c>
    </row>
    <row r="203" spans="1:20" x14ac:dyDescent="0.25">
      <c r="A203" t="str">
        <f>(COUNTIF($K$2:K203,K203))&amp;K203</f>
        <v>1231600</v>
      </c>
      <c r="B203" s="34" t="s">
        <v>83</v>
      </c>
      <c r="C203" s="13" t="s">
        <v>39</v>
      </c>
      <c r="D203" s="14" t="s">
        <v>76</v>
      </c>
      <c r="E203" s="16">
        <v>203273</v>
      </c>
      <c r="F203" s="17">
        <v>356280</v>
      </c>
      <c r="G203" s="24">
        <v>72060</v>
      </c>
      <c r="H203" s="15">
        <v>22.58</v>
      </c>
      <c r="I203" s="15">
        <v>-6.05</v>
      </c>
      <c r="J203" s="15">
        <v>31.7</v>
      </c>
      <c r="K203" s="18">
        <v>31600</v>
      </c>
      <c r="L203" s="15">
        <v>642.95000000000005</v>
      </c>
      <c r="M203" s="15">
        <v>-117.9</v>
      </c>
      <c r="N203" s="15">
        <v>12.8</v>
      </c>
      <c r="O203" s="24" t="s">
        <v>14</v>
      </c>
      <c r="P203" s="17">
        <v>17660</v>
      </c>
      <c r="Q203" s="16">
        <v>273</v>
      </c>
      <c r="R203" s="19" t="s">
        <v>76</v>
      </c>
      <c r="S203" s="20" t="s">
        <v>39</v>
      </c>
      <c r="T203">
        <v>30966.1</v>
      </c>
    </row>
    <row r="204" spans="1:20" x14ac:dyDescent="0.25">
      <c r="A204" t="str">
        <f>(COUNTIF($K$2:K204,K204))&amp;K204</f>
        <v>1231700</v>
      </c>
      <c r="B204" s="34" t="s">
        <v>83</v>
      </c>
      <c r="C204" s="13" t="s">
        <v>39</v>
      </c>
      <c r="D204" s="14" t="s">
        <v>76</v>
      </c>
      <c r="E204" s="16">
        <v>134190</v>
      </c>
      <c r="F204" s="17">
        <v>392880</v>
      </c>
      <c r="G204" s="24">
        <v>34920</v>
      </c>
      <c r="H204" s="15">
        <v>22.61</v>
      </c>
      <c r="I204" s="15">
        <v>-6.15</v>
      </c>
      <c r="J204" s="15">
        <v>22</v>
      </c>
      <c r="K204" s="18">
        <v>31700</v>
      </c>
      <c r="L204" s="15">
        <v>736.95</v>
      </c>
      <c r="M204" s="15">
        <v>-106.75</v>
      </c>
      <c r="N204" s="15">
        <v>14.76</v>
      </c>
      <c r="O204" s="24">
        <v>-1240</v>
      </c>
      <c r="P204" s="17">
        <v>10100</v>
      </c>
      <c r="Q204" s="16">
        <v>316</v>
      </c>
      <c r="R204" s="19" t="s">
        <v>77</v>
      </c>
      <c r="S204" s="20" t="s">
        <v>37</v>
      </c>
      <c r="T204">
        <v>30966.1</v>
      </c>
    </row>
    <row r="205" spans="1:20" x14ac:dyDescent="0.25">
      <c r="A205" t="str">
        <f>(COUNTIF($K$2:K205,K205))&amp;K205</f>
        <v>12PCR</v>
      </c>
      <c r="B205" s="34" t="s">
        <v>83</v>
      </c>
      <c r="C205" s="41">
        <v>0.86249877163117872</v>
      </c>
      <c r="E205" s="33"/>
      <c r="F205" s="39">
        <v>6309180</v>
      </c>
      <c r="G205" s="40"/>
      <c r="H205" s="38"/>
      <c r="I205" s="38"/>
      <c r="J205" s="38"/>
      <c r="K205" s="56" t="s">
        <v>57</v>
      </c>
      <c r="L205" s="38"/>
      <c r="M205" s="38"/>
      <c r="N205" s="38"/>
      <c r="P205" s="40">
        <v>5441660</v>
      </c>
      <c r="Q205" s="33"/>
      <c r="R205" s="38"/>
      <c r="S205" s="38"/>
    </row>
    <row r="206" spans="1:20" x14ac:dyDescent="0.25">
      <c r="A206" t="str">
        <f>(COUNTIF($K$2:K206,K206))&amp;K206</f>
        <v>1330200</v>
      </c>
      <c r="B206" s="34" t="s">
        <v>83</v>
      </c>
      <c r="C206" s="13" t="s">
        <v>74</v>
      </c>
      <c r="D206" s="14" t="s">
        <v>76</v>
      </c>
      <c r="E206" s="16">
        <v>168</v>
      </c>
      <c r="F206" s="17">
        <v>1440</v>
      </c>
      <c r="G206" s="24">
        <v>1020</v>
      </c>
      <c r="H206" s="15">
        <v>29.83</v>
      </c>
      <c r="I206" s="15">
        <v>100.2</v>
      </c>
      <c r="J206" s="15">
        <v>821.15</v>
      </c>
      <c r="K206" s="18">
        <v>30200</v>
      </c>
      <c r="L206" s="15">
        <v>20.6</v>
      </c>
      <c r="M206" s="15">
        <v>-19.55</v>
      </c>
      <c r="N206" s="15">
        <v>24.94</v>
      </c>
      <c r="O206" s="24">
        <v>36560</v>
      </c>
      <c r="P206" s="17">
        <v>250620</v>
      </c>
      <c r="Q206" s="16">
        <v>151695</v>
      </c>
      <c r="R206" s="19" t="s">
        <v>76</v>
      </c>
      <c r="S206" s="20" t="s">
        <v>39</v>
      </c>
      <c r="T206">
        <v>30966.1</v>
      </c>
    </row>
    <row r="207" spans="1:20" x14ac:dyDescent="0.25">
      <c r="A207" t="str">
        <f>(COUNTIF($K$2:K207,K207))&amp;K207</f>
        <v>1330300</v>
      </c>
      <c r="B207" s="34" t="s">
        <v>83</v>
      </c>
      <c r="C207" s="13" t="s">
        <v>40</v>
      </c>
      <c r="D207" s="14" t="s">
        <v>76</v>
      </c>
      <c r="E207" s="16">
        <v>592</v>
      </c>
      <c r="F207" s="17">
        <v>4900</v>
      </c>
      <c r="G207" s="24">
        <v>2740</v>
      </c>
      <c r="H207" s="15">
        <v>29.19</v>
      </c>
      <c r="I207" s="15">
        <v>92.4</v>
      </c>
      <c r="J207" s="15">
        <v>722.05</v>
      </c>
      <c r="K207" s="18">
        <v>30300</v>
      </c>
      <c r="L207" s="15">
        <v>27.7</v>
      </c>
      <c r="M207" s="15">
        <v>-24.95</v>
      </c>
      <c r="N207" s="15">
        <v>24.23</v>
      </c>
      <c r="O207" s="24">
        <v>94220</v>
      </c>
      <c r="P207" s="17">
        <v>240520</v>
      </c>
      <c r="Q207" s="16">
        <v>194478</v>
      </c>
      <c r="R207" s="19" t="s">
        <v>76</v>
      </c>
      <c r="S207" s="20" t="s">
        <v>39</v>
      </c>
      <c r="T207">
        <v>30966.1</v>
      </c>
    </row>
    <row r="208" spans="1:20" x14ac:dyDescent="0.25">
      <c r="A208" t="str">
        <f>(COUNTIF($K$2:K208,K208))&amp;K208</f>
        <v>1330400</v>
      </c>
      <c r="B208" s="34" t="s">
        <v>83</v>
      </c>
      <c r="C208" s="13" t="s">
        <v>40</v>
      </c>
      <c r="D208" s="14" t="s">
        <v>76</v>
      </c>
      <c r="E208" s="16">
        <v>882</v>
      </c>
      <c r="F208" s="17">
        <v>2060</v>
      </c>
      <c r="G208" s="24">
        <v>660</v>
      </c>
      <c r="H208" s="15">
        <v>31.26</v>
      </c>
      <c r="I208" s="15">
        <v>71.45</v>
      </c>
      <c r="J208" s="15">
        <v>624.79999999999995</v>
      </c>
      <c r="K208" s="18">
        <v>30400</v>
      </c>
      <c r="L208" s="15">
        <v>38.1</v>
      </c>
      <c r="M208" s="15">
        <v>-31.65</v>
      </c>
      <c r="N208" s="15">
        <v>23.73</v>
      </c>
      <c r="O208" s="24">
        <v>158880</v>
      </c>
      <c r="P208" s="17">
        <v>290200</v>
      </c>
      <c r="Q208" s="16">
        <v>286205</v>
      </c>
      <c r="R208" s="19" t="s">
        <v>76</v>
      </c>
      <c r="S208" s="20" t="s">
        <v>39</v>
      </c>
      <c r="T208">
        <v>30966.1</v>
      </c>
    </row>
    <row r="209" spans="1:20" x14ac:dyDescent="0.25">
      <c r="A209" t="str">
        <f>(COUNTIF($K$2:K209,K209))&amp;K209</f>
        <v>1330500</v>
      </c>
      <c r="B209" s="34" t="s">
        <v>83</v>
      </c>
      <c r="C209" s="13" t="s">
        <v>40</v>
      </c>
      <c r="D209" s="14" t="s">
        <v>76</v>
      </c>
      <c r="E209" s="16">
        <v>12863</v>
      </c>
      <c r="F209" s="17">
        <v>56380</v>
      </c>
      <c r="G209" s="24">
        <v>8360</v>
      </c>
      <c r="H209" s="15">
        <v>24.24</v>
      </c>
      <c r="I209" s="15">
        <v>69</v>
      </c>
      <c r="J209" s="15">
        <v>542.54999999999995</v>
      </c>
      <c r="K209" s="18">
        <v>30500</v>
      </c>
      <c r="L209" s="15">
        <v>51.4</v>
      </c>
      <c r="M209" s="15">
        <v>-40.85</v>
      </c>
      <c r="N209" s="15">
        <v>23.21</v>
      </c>
      <c r="O209" s="24">
        <v>393680</v>
      </c>
      <c r="P209" s="17">
        <v>932020</v>
      </c>
      <c r="Q209" s="16">
        <v>610624</v>
      </c>
      <c r="R209" s="19" t="s">
        <v>76</v>
      </c>
      <c r="S209" s="20" t="s">
        <v>39</v>
      </c>
      <c r="T209">
        <v>30966.1</v>
      </c>
    </row>
    <row r="210" spans="1:20" x14ac:dyDescent="0.25">
      <c r="A210" t="str">
        <f>(COUNTIF($K$2:K210,K210))&amp;K210</f>
        <v>1330600</v>
      </c>
      <c r="B210" s="34" t="s">
        <v>83</v>
      </c>
      <c r="C210" s="13" t="s">
        <v>40</v>
      </c>
      <c r="D210" s="14" t="s">
        <v>76</v>
      </c>
      <c r="E210" s="16">
        <v>10384</v>
      </c>
      <c r="F210" s="17">
        <v>19380</v>
      </c>
      <c r="G210" s="24">
        <v>3000</v>
      </c>
      <c r="H210" s="15">
        <v>24.32</v>
      </c>
      <c r="I210" s="15">
        <v>61.55</v>
      </c>
      <c r="J210" s="15">
        <v>465.1</v>
      </c>
      <c r="K210" s="18">
        <v>30600</v>
      </c>
      <c r="L210" s="15">
        <v>69.099999999999994</v>
      </c>
      <c r="M210" s="15">
        <v>-49.15</v>
      </c>
      <c r="N210" s="15">
        <v>22.73</v>
      </c>
      <c r="O210" s="24">
        <v>235100</v>
      </c>
      <c r="P210" s="17">
        <v>408920</v>
      </c>
      <c r="Q210" s="16">
        <v>354823</v>
      </c>
      <c r="R210" s="19" t="s">
        <v>76</v>
      </c>
      <c r="S210" s="20" t="s">
        <v>39</v>
      </c>
      <c r="T210">
        <v>30966.1</v>
      </c>
    </row>
    <row r="211" spans="1:20" x14ac:dyDescent="0.25">
      <c r="A211" t="str">
        <f>(COUNTIF($K$2:K211,K211))&amp;K211</f>
        <v>1330700</v>
      </c>
      <c r="B211" s="34" t="s">
        <v>83</v>
      </c>
      <c r="C211" s="13" t="s">
        <v>40</v>
      </c>
      <c r="D211" s="14" t="s">
        <v>76</v>
      </c>
      <c r="E211" s="16">
        <v>46424</v>
      </c>
      <c r="F211" s="17">
        <v>53540</v>
      </c>
      <c r="G211" s="24">
        <v>25340</v>
      </c>
      <c r="H211" s="15">
        <v>23.48</v>
      </c>
      <c r="I211" s="15">
        <v>52.85</v>
      </c>
      <c r="J211" s="15">
        <v>385.3</v>
      </c>
      <c r="K211" s="18">
        <v>30700</v>
      </c>
      <c r="L211" s="15">
        <v>91.2</v>
      </c>
      <c r="M211" s="15">
        <v>-61</v>
      </c>
      <c r="N211" s="15">
        <v>22.33</v>
      </c>
      <c r="O211" s="24">
        <v>321660</v>
      </c>
      <c r="P211" s="17">
        <v>494140</v>
      </c>
      <c r="Q211" s="16">
        <v>416913</v>
      </c>
      <c r="R211" s="19" t="s">
        <v>76</v>
      </c>
      <c r="S211" s="20" t="s">
        <v>39</v>
      </c>
      <c r="T211">
        <v>30966.1</v>
      </c>
    </row>
    <row r="212" spans="1:20" x14ac:dyDescent="0.25">
      <c r="A212" t="str">
        <f>(COUNTIF($K$2:K212,K212))&amp;K212</f>
        <v>1330800</v>
      </c>
      <c r="B212" s="34" t="s">
        <v>83</v>
      </c>
      <c r="C212" s="13" t="s">
        <v>40</v>
      </c>
      <c r="D212" s="14" t="s">
        <v>76</v>
      </c>
      <c r="E212" s="16">
        <v>151231</v>
      </c>
      <c r="F212" s="17">
        <v>215580</v>
      </c>
      <c r="G212" s="24">
        <v>72960</v>
      </c>
      <c r="H212" s="15">
        <v>22.99</v>
      </c>
      <c r="I212" s="15">
        <v>41.6</v>
      </c>
      <c r="J212" s="15">
        <v>315.25</v>
      </c>
      <c r="K212" s="18">
        <v>30800</v>
      </c>
      <c r="L212" s="15">
        <v>121.3</v>
      </c>
      <c r="M212" s="15">
        <v>-69.849999999999994</v>
      </c>
      <c r="N212" s="15">
        <v>21.91</v>
      </c>
      <c r="O212" s="24">
        <v>323220</v>
      </c>
      <c r="P212" s="17">
        <v>580860</v>
      </c>
      <c r="Q212" s="16">
        <v>427570</v>
      </c>
      <c r="R212" s="19" t="s">
        <v>76</v>
      </c>
      <c r="S212" s="20" t="s">
        <v>39</v>
      </c>
      <c r="T212">
        <v>30966.1</v>
      </c>
    </row>
    <row r="213" spans="1:20" x14ac:dyDescent="0.25">
      <c r="A213" t="str">
        <f>(COUNTIF($K$2:K213,K213))&amp;K213</f>
        <v>1330900</v>
      </c>
      <c r="B213" s="34" t="s">
        <v>83</v>
      </c>
      <c r="C213" s="13" t="s">
        <v>40</v>
      </c>
      <c r="D213" s="14" t="s">
        <v>76</v>
      </c>
      <c r="E213" s="16">
        <v>267466</v>
      </c>
      <c r="F213" s="17">
        <v>391440</v>
      </c>
      <c r="G213" s="24">
        <v>171240</v>
      </c>
      <c r="H213" s="15">
        <v>22.23</v>
      </c>
      <c r="I213" s="15">
        <v>30.65</v>
      </c>
      <c r="J213" s="15">
        <v>251.5</v>
      </c>
      <c r="K213" s="18">
        <v>30900</v>
      </c>
      <c r="L213" s="15">
        <v>156.85</v>
      </c>
      <c r="M213" s="15">
        <v>-79.650000000000006</v>
      </c>
      <c r="N213" s="15">
        <v>21.47</v>
      </c>
      <c r="O213" s="24">
        <v>326000</v>
      </c>
      <c r="P213" s="17">
        <v>534720</v>
      </c>
      <c r="Q213" s="16">
        <v>366828</v>
      </c>
      <c r="R213" s="19" t="s">
        <v>76</v>
      </c>
      <c r="S213" s="20" t="s">
        <v>39</v>
      </c>
      <c r="T213">
        <v>30966.1</v>
      </c>
    </row>
    <row r="214" spans="1:20" ht="15.75" x14ac:dyDescent="0.25">
      <c r="A214" t="str">
        <f>(COUNTIF($K$2:K214,K214))&amp;K214</f>
        <v>1331000</v>
      </c>
      <c r="B214" s="34" t="s">
        <v>83</v>
      </c>
      <c r="C214" s="13" t="s">
        <v>40</v>
      </c>
      <c r="D214" s="14" t="s">
        <v>76</v>
      </c>
      <c r="E214" s="16">
        <v>582414</v>
      </c>
      <c r="F214" s="17">
        <v>1050780</v>
      </c>
      <c r="G214" s="24">
        <v>272520</v>
      </c>
      <c r="H214" s="15">
        <v>21.97</v>
      </c>
      <c r="I214" s="15">
        <v>19.25</v>
      </c>
      <c r="J214" s="15">
        <v>197.05</v>
      </c>
      <c r="K214" s="21">
        <v>31000</v>
      </c>
      <c r="L214" s="15">
        <v>201.1</v>
      </c>
      <c r="M214" s="15">
        <v>-90.85</v>
      </c>
      <c r="N214" s="15">
        <v>21.34</v>
      </c>
      <c r="O214" s="24">
        <v>348480</v>
      </c>
      <c r="P214" s="17">
        <v>799700</v>
      </c>
      <c r="Q214" s="16">
        <v>356355</v>
      </c>
      <c r="R214" s="19" t="s">
        <v>76</v>
      </c>
      <c r="S214" s="20" t="s">
        <v>39</v>
      </c>
      <c r="T214">
        <v>30966.1</v>
      </c>
    </row>
    <row r="215" spans="1:20" x14ac:dyDescent="0.25">
      <c r="A215" t="str">
        <f>(COUNTIF($K$2:K215,K215))&amp;K215</f>
        <v>1331100</v>
      </c>
      <c r="B215" s="34" t="s">
        <v>83</v>
      </c>
      <c r="C215" s="13" t="s">
        <v>40</v>
      </c>
      <c r="D215" s="14" t="s">
        <v>76</v>
      </c>
      <c r="E215" s="16">
        <v>363487</v>
      </c>
      <c r="F215" s="17">
        <v>468840</v>
      </c>
      <c r="G215" s="24">
        <v>98920</v>
      </c>
      <c r="H215" s="15">
        <v>21.92</v>
      </c>
      <c r="I215" s="15">
        <v>11.45</v>
      </c>
      <c r="J215" s="15">
        <v>151.69999999999999</v>
      </c>
      <c r="K215" s="18">
        <v>31100</v>
      </c>
      <c r="L215" s="15">
        <v>257</v>
      </c>
      <c r="M215" s="15">
        <v>-96.45</v>
      </c>
      <c r="N215" s="15">
        <v>21.09</v>
      </c>
      <c r="O215" s="24">
        <v>44460</v>
      </c>
      <c r="P215" s="17">
        <v>148720</v>
      </c>
      <c r="Q215" s="16">
        <v>81587</v>
      </c>
      <c r="R215" s="19" t="s">
        <v>76</v>
      </c>
      <c r="S215" s="20" t="s">
        <v>39</v>
      </c>
      <c r="T215">
        <v>30966.1</v>
      </c>
    </row>
    <row r="216" spans="1:20" x14ac:dyDescent="0.25">
      <c r="A216" t="str">
        <f>(COUNTIF($K$2:K216,K216))&amp;K216</f>
        <v>1331200</v>
      </c>
      <c r="B216" s="34" t="s">
        <v>83</v>
      </c>
      <c r="C216" s="13" t="s">
        <v>40</v>
      </c>
      <c r="D216" s="14" t="s">
        <v>76</v>
      </c>
      <c r="E216" s="16">
        <v>558113</v>
      </c>
      <c r="F216" s="17">
        <v>708260</v>
      </c>
      <c r="G216" s="24">
        <v>148860</v>
      </c>
      <c r="H216" s="15">
        <v>21.97</v>
      </c>
      <c r="I216" s="15">
        <v>4.2</v>
      </c>
      <c r="J216" s="15">
        <v>115.05</v>
      </c>
      <c r="K216" s="18">
        <v>31200</v>
      </c>
      <c r="L216" s="15">
        <v>321.55</v>
      </c>
      <c r="M216" s="15">
        <v>-103.7</v>
      </c>
      <c r="N216" s="15">
        <v>21.31</v>
      </c>
      <c r="O216" s="24">
        <v>12420</v>
      </c>
      <c r="P216" s="17">
        <v>117520</v>
      </c>
      <c r="Q216" s="16">
        <v>44722</v>
      </c>
      <c r="R216" s="19" t="s">
        <v>76</v>
      </c>
      <c r="S216" s="20" t="s">
        <v>39</v>
      </c>
      <c r="T216">
        <v>30966.1</v>
      </c>
    </row>
    <row r="217" spans="1:20" x14ac:dyDescent="0.25">
      <c r="A217" t="str">
        <f>(COUNTIF($K$2:K217,K217))&amp;K217</f>
        <v>1331300</v>
      </c>
      <c r="B217" s="34" t="s">
        <v>83</v>
      </c>
      <c r="C217" s="13" t="s">
        <v>40</v>
      </c>
      <c r="D217" s="14" t="s">
        <v>76</v>
      </c>
      <c r="E217" s="16">
        <v>395991</v>
      </c>
      <c r="F217" s="17">
        <v>613520</v>
      </c>
      <c r="G217" s="24">
        <v>165840</v>
      </c>
      <c r="H217" s="15">
        <v>22.01</v>
      </c>
      <c r="I217" s="15">
        <v>0.75</v>
      </c>
      <c r="J217" s="15">
        <v>86.3</v>
      </c>
      <c r="K217" s="18">
        <v>31300</v>
      </c>
      <c r="L217" s="15">
        <v>392.05</v>
      </c>
      <c r="M217" s="15">
        <v>-116.65</v>
      </c>
      <c r="N217" s="15">
        <v>21.05</v>
      </c>
      <c r="O217" s="24">
        <v>-14640</v>
      </c>
      <c r="P217" s="17">
        <v>88540</v>
      </c>
      <c r="Q217" s="16">
        <v>11571</v>
      </c>
      <c r="R217" s="19" t="s">
        <v>77</v>
      </c>
      <c r="S217" s="20" t="s">
        <v>37</v>
      </c>
      <c r="T217">
        <v>30966.1</v>
      </c>
    </row>
    <row r="218" spans="1:20" x14ac:dyDescent="0.25">
      <c r="A218" t="str">
        <f>(COUNTIF($K$2:K218,K218))&amp;K218</f>
        <v>1331400</v>
      </c>
      <c r="B218" s="34" t="s">
        <v>83</v>
      </c>
      <c r="C218" s="13" t="s">
        <v>39</v>
      </c>
      <c r="D218" s="14" t="s">
        <v>76</v>
      </c>
      <c r="E218" s="16">
        <v>349332</v>
      </c>
      <c r="F218" s="17">
        <v>543520</v>
      </c>
      <c r="G218" s="24">
        <v>150360</v>
      </c>
      <c r="H218" s="15">
        <v>22.13</v>
      </c>
      <c r="I218" s="15">
        <v>-3.15</v>
      </c>
      <c r="J218" s="15">
        <v>62.7</v>
      </c>
      <c r="K218" s="18">
        <v>31400</v>
      </c>
      <c r="L218" s="15">
        <v>464.3</v>
      </c>
      <c r="M218" s="15">
        <v>-117.65</v>
      </c>
      <c r="N218" s="15">
        <v>20.55</v>
      </c>
      <c r="O218" s="24">
        <v>4280</v>
      </c>
      <c r="P218" s="17">
        <v>54760</v>
      </c>
      <c r="Q218" s="16">
        <v>3950</v>
      </c>
      <c r="R218" s="19" t="s">
        <v>76</v>
      </c>
      <c r="S218" s="20" t="s">
        <v>39</v>
      </c>
      <c r="T218">
        <v>30966.1</v>
      </c>
    </row>
    <row r="219" spans="1:20" x14ac:dyDescent="0.25">
      <c r="A219" t="str">
        <f>(COUNTIF($K$2:K219,K219))&amp;K219</f>
        <v>1331500</v>
      </c>
      <c r="B219" s="34" t="s">
        <v>83</v>
      </c>
      <c r="C219" s="13" t="s">
        <v>39</v>
      </c>
      <c r="D219" s="14" t="s">
        <v>76</v>
      </c>
      <c r="E219" s="16">
        <v>515803</v>
      </c>
      <c r="F219" s="17">
        <v>1430380</v>
      </c>
      <c r="G219" s="24">
        <v>236020</v>
      </c>
      <c r="H219" s="15">
        <v>22.41</v>
      </c>
      <c r="I219" s="15">
        <v>-4.95</v>
      </c>
      <c r="J219" s="15">
        <v>45</v>
      </c>
      <c r="K219" s="18">
        <v>31500</v>
      </c>
      <c r="L219" s="15">
        <v>548.45000000000005</v>
      </c>
      <c r="M219" s="15">
        <v>-118.85</v>
      </c>
      <c r="N219" s="15">
        <v>18.47</v>
      </c>
      <c r="O219" s="24">
        <v>4560</v>
      </c>
      <c r="P219" s="17">
        <v>472660</v>
      </c>
      <c r="Q219" s="16">
        <v>6491</v>
      </c>
      <c r="R219" s="19" t="s">
        <v>76</v>
      </c>
      <c r="S219" s="20" t="s">
        <v>39</v>
      </c>
      <c r="T219">
        <v>30966.1</v>
      </c>
    </row>
    <row r="220" spans="1:20" x14ac:dyDescent="0.25">
      <c r="A220" t="str">
        <f>(COUNTIF($K$2:K220,K220))&amp;K220</f>
        <v>1331600</v>
      </c>
      <c r="B220" s="34" t="s">
        <v>83</v>
      </c>
      <c r="C220" s="13" t="s">
        <v>39</v>
      </c>
      <c r="D220" s="14" t="s">
        <v>76</v>
      </c>
      <c r="E220" s="16">
        <v>203273</v>
      </c>
      <c r="F220" s="17">
        <v>356280</v>
      </c>
      <c r="G220" s="24">
        <v>72060</v>
      </c>
      <c r="H220" s="15">
        <v>22.58</v>
      </c>
      <c r="I220" s="15">
        <v>-6.05</v>
      </c>
      <c r="J220" s="15">
        <v>31.7</v>
      </c>
      <c r="K220" s="18">
        <v>31600</v>
      </c>
      <c r="L220" s="15">
        <v>642.95000000000005</v>
      </c>
      <c r="M220" s="15">
        <v>-117.9</v>
      </c>
      <c r="N220" s="15">
        <v>12.8</v>
      </c>
      <c r="O220" s="24" t="s">
        <v>14</v>
      </c>
      <c r="P220" s="17">
        <v>17660</v>
      </c>
      <c r="Q220" s="16">
        <v>273</v>
      </c>
      <c r="R220" s="19" t="s">
        <v>76</v>
      </c>
      <c r="S220" s="20" t="s">
        <v>39</v>
      </c>
      <c r="T220">
        <v>30966.1</v>
      </c>
    </row>
    <row r="221" spans="1:20" x14ac:dyDescent="0.25">
      <c r="A221" t="str">
        <f>(COUNTIF($K$2:K221,K221))&amp;K221</f>
        <v>1331700</v>
      </c>
      <c r="B221" s="34" t="s">
        <v>83</v>
      </c>
      <c r="C221" s="13" t="s">
        <v>39</v>
      </c>
      <c r="D221" s="14" t="s">
        <v>76</v>
      </c>
      <c r="E221" s="16">
        <v>134190</v>
      </c>
      <c r="F221" s="17">
        <v>392880</v>
      </c>
      <c r="G221" s="24">
        <v>34920</v>
      </c>
      <c r="H221" s="15">
        <v>22.61</v>
      </c>
      <c r="I221" s="15">
        <v>-6.15</v>
      </c>
      <c r="J221" s="15">
        <v>22</v>
      </c>
      <c r="K221" s="18">
        <v>31700</v>
      </c>
      <c r="L221" s="15">
        <v>736.95</v>
      </c>
      <c r="M221" s="15">
        <v>-106.75</v>
      </c>
      <c r="N221" s="15">
        <v>14.76</v>
      </c>
      <c r="O221" s="24">
        <v>-1240</v>
      </c>
      <c r="P221" s="17">
        <v>10100</v>
      </c>
      <c r="Q221" s="16">
        <v>316</v>
      </c>
      <c r="R221" s="19" t="s">
        <v>77</v>
      </c>
      <c r="S221" s="20" t="s">
        <v>37</v>
      </c>
      <c r="T221">
        <v>30966.1</v>
      </c>
    </row>
    <row r="222" spans="1:20" x14ac:dyDescent="0.25">
      <c r="A222" t="str">
        <f>(COUNTIF($K$2:K222,K222))&amp;K222</f>
        <v>13PCR</v>
      </c>
      <c r="B222" s="34" t="s">
        <v>83</v>
      </c>
      <c r="C222" s="41">
        <v>0.86249877163117872</v>
      </c>
      <c r="E222" s="33"/>
      <c r="F222" s="39">
        <v>6309180</v>
      </c>
      <c r="G222" s="40"/>
      <c r="H222" s="38"/>
      <c r="I222" s="38"/>
      <c r="J222" s="38"/>
      <c r="K222" s="56" t="s">
        <v>57</v>
      </c>
      <c r="L222" s="38"/>
      <c r="M222" s="38"/>
      <c r="N222" s="38"/>
      <c r="P222" s="40">
        <v>5441660</v>
      </c>
      <c r="Q222" s="33"/>
      <c r="R222" s="38"/>
      <c r="S222" s="38"/>
    </row>
    <row r="223" spans="1:20" x14ac:dyDescent="0.25">
      <c r="A223" t="str">
        <f>(COUNTIF($K$2:K223,K223))&amp;K223</f>
        <v>1430200</v>
      </c>
      <c r="B223" s="34" t="s">
        <v>84</v>
      </c>
      <c r="C223" s="13" t="s">
        <v>74</v>
      </c>
      <c r="D223" s="14" t="s">
        <v>76</v>
      </c>
      <c r="E223" s="16">
        <v>168</v>
      </c>
      <c r="F223" s="17">
        <v>1440</v>
      </c>
      <c r="G223" s="24">
        <v>1020</v>
      </c>
      <c r="H223" s="15">
        <v>29.83</v>
      </c>
      <c r="I223" s="15">
        <v>100.2</v>
      </c>
      <c r="J223" s="15">
        <v>821.15</v>
      </c>
      <c r="K223" s="18">
        <v>30200</v>
      </c>
      <c r="L223" s="15">
        <v>20.399999999999999</v>
      </c>
      <c r="M223" s="15">
        <v>-19.75</v>
      </c>
      <c r="N223" s="15">
        <v>24.94</v>
      </c>
      <c r="O223" s="24">
        <v>31700</v>
      </c>
      <c r="P223" s="17">
        <v>245760</v>
      </c>
      <c r="Q223" s="16">
        <v>151916</v>
      </c>
      <c r="R223" s="19" t="s">
        <v>76</v>
      </c>
      <c r="S223" s="20" t="s">
        <v>39</v>
      </c>
      <c r="T223">
        <v>30971.25</v>
      </c>
    </row>
    <row r="224" spans="1:20" x14ac:dyDescent="0.25">
      <c r="A224" t="str">
        <f>(COUNTIF($K$2:K224,K224))&amp;K224</f>
        <v>1430300</v>
      </c>
      <c r="B224" s="34" t="s">
        <v>84</v>
      </c>
      <c r="C224" s="13" t="s">
        <v>40</v>
      </c>
      <c r="D224" s="14" t="s">
        <v>76</v>
      </c>
      <c r="E224" s="16">
        <v>592</v>
      </c>
      <c r="F224" s="17">
        <v>4900</v>
      </c>
      <c r="G224" s="24">
        <v>2740</v>
      </c>
      <c r="H224" s="15">
        <v>29.19</v>
      </c>
      <c r="I224" s="15">
        <v>92.4</v>
      </c>
      <c r="J224" s="15">
        <v>722.05</v>
      </c>
      <c r="K224" s="18">
        <v>30300</v>
      </c>
      <c r="L224" s="15">
        <v>27.2</v>
      </c>
      <c r="M224" s="15">
        <v>-25.45</v>
      </c>
      <c r="N224" s="15">
        <v>24.23</v>
      </c>
      <c r="O224" s="24">
        <v>95480</v>
      </c>
      <c r="P224" s="17">
        <v>241780</v>
      </c>
      <c r="Q224" s="16">
        <v>194809</v>
      </c>
      <c r="R224" s="19" t="s">
        <v>76</v>
      </c>
      <c r="S224" s="20" t="s">
        <v>39</v>
      </c>
      <c r="T224">
        <v>30971.25</v>
      </c>
    </row>
    <row r="225" spans="1:20" x14ac:dyDescent="0.25">
      <c r="A225" t="str">
        <f>(COUNTIF($K$2:K225,K225))&amp;K225</f>
        <v>1430400</v>
      </c>
      <c r="B225" s="34" t="s">
        <v>84</v>
      </c>
      <c r="C225" s="13" t="s">
        <v>40</v>
      </c>
      <c r="D225" s="14" t="s">
        <v>76</v>
      </c>
      <c r="E225" s="16">
        <v>883</v>
      </c>
      <c r="F225" s="17">
        <v>2060</v>
      </c>
      <c r="G225" s="24">
        <v>660</v>
      </c>
      <c r="H225" s="15">
        <v>31.26</v>
      </c>
      <c r="I225" s="15">
        <v>73.95</v>
      </c>
      <c r="J225" s="15">
        <v>627.29999999999995</v>
      </c>
      <c r="K225" s="18">
        <v>30400</v>
      </c>
      <c r="L225" s="15">
        <v>37.049999999999997</v>
      </c>
      <c r="M225" s="15">
        <v>-32.700000000000003</v>
      </c>
      <c r="N225" s="15">
        <v>23.73</v>
      </c>
      <c r="O225" s="24">
        <v>158040</v>
      </c>
      <c r="P225" s="17">
        <v>289360</v>
      </c>
      <c r="Q225" s="16">
        <v>287146</v>
      </c>
      <c r="R225" s="19" t="s">
        <v>76</v>
      </c>
      <c r="S225" s="20" t="s">
        <v>39</v>
      </c>
      <c r="T225">
        <v>30971.25</v>
      </c>
    </row>
    <row r="226" spans="1:20" x14ac:dyDescent="0.25">
      <c r="A226" t="str">
        <f>(COUNTIF($K$2:K226,K226))&amp;K226</f>
        <v>1430500</v>
      </c>
      <c r="B226" s="34" t="s">
        <v>84</v>
      </c>
      <c r="C226" s="13" t="s">
        <v>40</v>
      </c>
      <c r="D226" s="14" t="s">
        <v>76</v>
      </c>
      <c r="E226" s="16">
        <v>12903</v>
      </c>
      <c r="F226" s="17">
        <v>54980</v>
      </c>
      <c r="G226" s="24">
        <v>6960</v>
      </c>
      <c r="H226" s="15">
        <v>24.24</v>
      </c>
      <c r="I226" s="15">
        <v>72.55</v>
      </c>
      <c r="J226" s="15">
        <v>546.1</v>
      </c>
      <c r="K226" s="18">
        <v>30500</v>
      </c>
      <c r="L226" s="15">
        <v>50.2</v>
      </c>
      <c r="M226" s="15">
        <v>-42.05</v>
      </c>
      <c r="N226" s="15">
        <v>23.21</v>
      </c>
      <c r="O226" s="24">
        <v>389260</v>
      </c>
      <c r="P226" s="17">
        <v>927600</v>
      </c>
      <c r="Q226" s="16">
        <v>612587</v>
      </c>
      <c r="R226" s="19" t="s">
        <v>76</v>
      </c>
      <c r="S226" s="20" t="s">
        <v>39</v>
      </c>
      <c r="T226">
        <v>30971.25</v>
      </c>
    </row>
    <row r="227" spans="1:20" x14ac:dyDescent="0.25">
      <c r="A227" t="str">
        <f>(COUNTIF($K$2:K227,K227))&amp;K227</f>
        <v>1430600</v>
      </c>
      <c r="B227" s="34" t="s">
        <v>84</v>
      </c>
      <c r="C227" s="13" t="s">
        <v>40</v>
      </c>
      <c r="D227" s="14" t="s">
        <v>76</v>
      </c>
      <c r="E227" s="16">
        <v>10387</v>
      </c>
      <c r="F227" s="17">
        <v>19380</v>
      </c>
      <c r="G227" s="24">
        <v>3000</v>
      </c>
      <c r="H227" s="15">
        <v>24.32</v>
      </c>
      <c r="I227" s="15">
        <v>61.65</v>
      </c>
      <c r="J227" s="15">
        <v>465.2</v>
      </c>
      <c r="K227" s="18">
        <v>30600</v>
      </c>
      <c r="L227" s="15">
        <v>68</v>
      </c>
      <c r="M227" s="15">
        <v>-50.25</v>
      </c>
      <c r="N227" s="15">
        <v>22.73</v>
      </c>
      <c r="O227" s="24">
        <v>237820</v>
      </c>
      <c r="P227" s="17">
        <v>411640</v>
      </c>
      <c r="Q227" s="16">
        <v>355646</v>
      </c>
      <c r="R227" s="19" t="s">
        <v>76</v>
      </c>
      <c r="S227" s="20" t="s">
        <v>39</v>
      </c>
      <c r="T227">
        <v>30971.25</v>
      </c>
    </row>
    <row r="228" spans="1:20" x14ac:dyDescent="0.25">
      <c r="A228" t="str">
        <f>(COUNTIF($K$2:K228,K228))&amp;K228</f>
        <v>1430700</v>
      </c>
      <c r="B228" s="34" t="s">
        <v>84</v>
      </c>
      <c r="C228" s="13" t="s">
        <v>40</v>
      </c>
      <c r="D228" s="14" t="s">
        <v>76</v>
      </c>
      <c r="E228" s="16">
        <v>46480</v>
      </c>
      <c r="F228" s="17">
        <v>55420</v>
      </c>
      <c r="G228" s="24">
        <v>27220</v>
      </c>
      <c r="H228" s="15">
        <v>23.48</v>
      </c>
      <c r="I228" s="15">
        <v>53.1</v>
      </c>
      <c r="J228" s="15">
        <v>385.55</v>
      </c>
      <c r="K228" s="18">
        <v>30700</v>
      </c>
      <c r="L228" s="15">
        <v>91.05</v>
      </c>
      <c r="M228" s="15">
        <v>-61.15</v>
      </c>
      <c r="N228" s="15">
        <v>22.33</v>
      </c>
      <c r="O228" s="24">
        <v>326060</v>
      </c>
      <c r="P228" s="17">
        <v>498540</v>
      </c>
      <c r="Q228" s="16">
        <v>417599</v>
      </c>
      <c r="R228" s="19" t="s">
        <v>76</v>
      </c>
      <c r="S228" s="20" t="s">
        <v>39</v>
      </c>
      <c r="T228">
        <v>30971.25</v>
      </c>
    </row>
    <row r="229" spans="1:20" x14ac:dyDescent="0.25">
      <c r="A229" t="str">
        <f>(COUNTIF($K$2:K229,K229))&amp;K229</f>
        <v>1430800</v>
      </c>
      <c r="B229" s="34" t="s">
        <v>84</v>
      </c>
      <c r="C229" s="13" t="s">
        <v>40</v>
      </c>
      <c r="D229" s="14" t="s">
        <v>76</v>
      </c>
      <c r="E229" s="16">
        <v>151588</v>
      </c>
      <c r="F229" s="17">
        <v>211560</v>
      </c>
      <c r="G229" s="24">
        <v>68940</v>
      </c>
      <c r="H229" s="15">
        <v>22.99</v>
      </c>
      <c r="I229" s="15">
        <v>43.55</v>
      </c>
      <c r="J229" s="15">
        <v>317.2</v>
      </c>
      <c r="K229" s="18">
        <v>30800</v>
      </c>
      <c r="L229" s="15">
        <v>119.5</v>
      </c>
      <c r="M229" s="15">
        <v>-71.650000000000006</v>
      </c>
      <c r="N229" s="15">
        <v>21.91</v>
      </c>
      <c r="O229" s="24">
        <v>318660</v>
      </c>
      <c r="P229" s="17">
        <v>576300</v>
      </c>
      <c r="Q229" s="16">
        <v>428921</v>
      </c>
      <c r="R229" s="19" t="s">
        <v>76</v>
      </c>
      <c r="S229" s="20" t="s">
        <v>39</v>
      </c>
      <c r="T229">
        <v>30971.25</v>
      </c>
    </row>
    <row r="230" spans="1:20" x14ac:dyDescent="0.25">
      <c r="A230" t="str">
        <f>(COUNTIF($K$2:K230,K230))&amp;K230</f>
        <v>1430900</v>
      </c>
      <c r="B230" s="34" t="s">
        <v>84</v>
      </c>
      <c r="C230" s="13" t="s">
        <v>40</v>
      </c>
      <c r="D230" s="14" t="s">
        <v>76</v>
      </c>
      <c r="E230" s="16">
        <v>267905</v>
      </c>
      <c r="F230" s="17">
        <v>391220</v>
      </c>
      <c r="G230" s="24">
        <v>171020</v>
      </c>
      <c r="H230" s="15">
        <v>22.23</v>
      </c>
      <c r="I230" s="15">
        <v>31.6</v>
      </c>
      <c r="J230" s="15">
        <v>252.45</v>
      </c>
      <c r="K230" s="18">
        <v>30900</v>
      </c>
      <c r="L230" s="15">
        <v>155.69999999999999</v>
      </c>
      <c r="M230" s="15">
        <v>-80.8</v>
      </c>
      <c r="N230" s="15">
        <v>21.47</v>
      </c>
      <c r="O230" s="24">
        <v>317300</v>
      </c>
      <c r="P230" s="17">
        <v>526020</v>
      </c>
      <c r="Q230" s="16">
        <v>368237</v>
      </c>
      <c r="R230" s="19" t="s">
        <v>76</v>
      </c>
      <c r="S230" s="20" t="s">
        <v>39</v>
      </c>
      <c r="T230">
        <v>30971.25</v>
      </c>
    </row>
    <row r="231" spans="1:20" ht="15.75" x14ac:dyDescent="0.25">
      <c r="A231" t="str">
        <f>(COUNTIF($K$2:K231,K231))&amp;K231</f>
        <v>1431000</v>
      </c>
      <c r="B231" s="34" t="s">
        <v>84</v>
      </c>
      <c r="C231" s="13" t="s">
        <v>40</v>
      </c>
      <c r="D231" s="14" t="s">
        <v>76</v>
      </c>
      <c r="E231" s="16">
        <v>584689</v>
      </c>
      <c r="F231" s="17">
        <v>1050900</v>
      </c>
      <c r="G231" s="24">
        <v>272640</v>
      </c>
      <c r="H231" s="15">
        <v>21.97</v>
      </c>
      <c r="I231" s="15">
        <v>21.4</v>
      </c>
      <c r="J231" s="15">
        <v>199.2</v>
      </c>
      <c r="K231" s="21">
        <v>31000</v>
      </c>
      <c r="L231" s="15">
        <v>200.1</v>
      </c>
      <c r="M231" s="15">
        <v>-91.85</v>
      </c>
      <c r="N231" s="15">
        <v>21.34</v>
      </c>
      <c r="O231" s="24">
        <v>339980</v>
      </c>
      <c r="P231" s="17">
        <v>791200</v>
      </c>
      <c r="Q231" s="16">
        <v>357655</v>
      </c>
      <c r="R231" s="19" t="s">
        <v>76</v>
      </c>
      <c r="S231" s="20" t="s">
        <v>39</v>
      </c>
      <c r="T231">
        <v>30971.25</v>
      </c>
    </row>
    <row r="232" spans="1:20" x14ac:dyDescent="0.25">
      <c r="A232" t="str">
        <f>(COUNTIF($K$2:K232,K232))&amp;K232</f>
        <v>1431100</v>
      </c>
      <c r="B232" s="34" t="s">
        <v>84</v>
      </c>
      <c r="C232" s="13" t="s">
        <v>40</v>
      </c>
      <c r="D232" s="14" t="s">
        <v>76</v>
      </c>
      <c r="E232" s="16">
        <v>364756</v>
      </c>
      <c r="F232" s="17">
        <v>479180</v>
      </c>
      <c r="G232" s="24">
        <v>109260</v>
      </c>
      <c r="H232" s="15">
        <v>21.92</v>
      </c>
      <c r="I232" s="15">
        <v>12.75</v>
      </c>
      <c r="J232" s="15">
        <v>153</v>
      </c>
      <c r="K232" s="18">
        <v>31100</v>
      </c>
      <c r="L232" s="15">
        <v>255.45</v>
      </c>
      <c r="M232" s="15">
        <v>-98</v>
      </c>
      <c r="N232" s="15">
        <v>21.09</v>
      </c>
      <c r="O232" s="24">
        <v>43980</v>
      </c>
      <c r="P232" s="17">
        <v>148240</v>
      </c>
      <c r="Q232" s="16">
        <v>81737</v>
      </c>
      <c r="R232" s="19" t="s">
        <v>76</v>
      </c>
      <c r="S232" s="20" t="s">
        <v>39</v>
      </c>
      <c r="T232">
        <v>30971.25</v>
      </c>
    </row>
    <row r="233" spans="1:20" x14ac:dyDescent="0.25">
      <c r="A233" t="str">
        <f>(COUNTIF($K$2:K233,K233))&amp;K233</f>
        <v>1431200</v>
      </c>
      <c r="B233" s="34" t="s">
        <v>84</v>
      </c>
      <c r="C233" s="13" t="s">
        <v>40</v>
      </c>
      <c r="D233" s="14" t="s">
        <v>76</v>
      </c>
      <c r="E233" s="16">
        <v>559420</v>
      </c>
      <c r="F233" s="17">
        <v>707620</v>
      </c>
      <c r="G233" s="24">
        <v>148220</v>
      </c>
      <c r="H233" s="15">
        <v>21.97</v>
      </c>
      <c r="I233" s="15">
        <v>5.75</v>
      </c>
      <c r="J233" s="15">
        <v>116.6</v>
      </c>
      <c r="K233" s="18">
        <v>31200</v>
      </c>
      <c r="L233" s="15">
        <v>318.45</v>
      </c>
      <c r="M233" s="15">
        <v>-106.8</v>
      </c>
      <c r="N233" s="15">
        <v>21.31</v>
      </c>
      <c r="O233" s="24">
        <v>16020</v>
      </c>
      <c r="P233" s="17">
        <v>121120</v>
      </c>
      <c r="Q233" s="16">
        <v>44851</v>
      </c>
      <c r="R233" s="19" t="s">
        <v>76</v>
      </c>
      <c r="S233" s="20" t="s">
        <v>39</v>
      </c>
      <c r="T233">
        <v>30971.25</v>
      </c>
    </row>
    <row r="234" spans="1:20" x14ac:dyDescent="0.25">
      <c r="A234" t="str">
        <f>(COUNTIF($K$2:K234,K234))&amp;K234</f>
        <v>1431300</v>
      </c>
      <c r="B234" s="34" t="s">
        <v>84</v>
      </c>
      <c r="C234" s="13" t="s">
        <v>40</v>
      </c>
      <c r="D234" s="14" t="s">
        <v>76</v>
      </c>
      <c r="E234" s="16">
        <v>396681</v>
      </c>
      <c r="F234" s="17">
        <v>616860</v>
      </c>
      <c r="G234" s="24">
        <v>169180</v>
      </c>
      <c r="H234" s="15">
        <v>22.01</v>
      </c>
      <c r="I234" s="15">
        <v>1.65</v>
      </c>
      <c r="J234" s="15">
        <v>87.2</v>
      </c>
      <c r="K234" s="18">
        <v>31300</v>
      </c>
      <c r="L234" s="15">
        <v>388.95</v>
      </c>
      <c r="M234" s="15">
        <v>-119.75</v>
      </c>
      <c r="N234" s="15">
        <v>21.05</v>
      </c>
      <c r="O234" s="24">
        <v>-15540</v>
      </c>
      <c r="P234" s="17">
        <v>87640</v>
      </c>
      <c r="Q234" s="16">
        <v>11614</v>
      </c>
      <c r="R234" s="19" t="s">
        <v>77</v>
      </c>
      <c r="S234" s="20" t="s">
        <v>37</v>
      </c>
      <c r="T234">
        <v>30971.25</v>
      </c>
    </row>
    <row r="235" spans="1:20" x14ac:dyDescent="0.25">
      <c r="A235" t="str">
        <f>(COUNTIF($K$2:K235,K235))&amp;K235</f>
        <v>1431400</v>
      </c>
      <c r="B235" s="34" t="s">
        <v>84</v>
      </c>
      <c r="C235" s="13" t="s">
        <v>39</v>
      </c>
      <c r="D235" s="14" t="s">
        <v>76</v>
      </c>
      <c r="E235" s="16">
        <v>350299</v>
      </c>
      <c r="F235" s="17">
        <v>540040</v>
      </c>
      <c r="G235" s="24">
        <v>146880</v>
      </c>
      <c r="H235" s="15">
        <v>22.13</v>
      </c>
      <c r="I235" s="15">
        <v>-2.4</v>
      </c>
      <c r="J235" s="15">
        <v>63.45</v>
      </c>
      <c r="K235" s="18">
        <v>31400</v>
      </c>
      <c r="L235" s="15">
        <v>468.75</v>
      </c>
      <c r="M235" s="15">
        <v>-113.2</v>
      </c>
      <c r="N235" s="15">
        <v>20.55</v>
      </c>
      <c r="O235" s="24">
        <v>3800</v>
      </c>
      <c r="P235" s="17">
        <v>54280</v>
      </c>
      <c r="Q235" s="16">
        <v>4052</v>
      </c>
      <c r="R235" s="19" t="s">
        <v>76</v>
      </c>
      <c r="S235" s="20" t="s">
        <v>39</v>
      </c>
      <c r="T235">
        <v>30971.25</v>
      </c>
    </row>
    <row r="236" spans="1:20" x14ac:dyDescent="0.25">
      <c r="A236" t="str">
        <f>(COUNTIF($K$2:K236,K236))&amp;K236</f>
        <v>1431500</v>
      </c>
      <c r="B236" s="34" t="s">
        <v>84</v>
      </c>
      <c r="C236" s="13" t="s">
        <v>39</v>
      </c>
      <c r="D236" s="14" t="s">
        <v>76</v>
      </c>
      <c r="E236" s="16">
        <v>517440</v>
      </c>
      <c r="F236" s="17">
        <v>1423960</v>
      </c>
      <c r="G236" s="24">
        <v>229600</v>
      </c>
      <c r="H236" s="15">
        <v>22.41</v>
      </c>
      <c r="I236" s="15">
        <v>-4.4000000000000004</v>
      </c>
      <c r="J236" s="15">
        <v>45.55</v>
      </c>
      <c r="K236" s="18">
        <v>31500</v>
      </c>
      <c r="L236" s="15">
        <v>547.1</v>
      </c>
      <c r="M236" s="15">
        <v>-120.2</v>
      </c>
      <c r="N236" s="15">
        <v>18.47</v>
      </c>
      <c r="O236" s="24">
        <v>4320</v>
      </c>
      <c r="P236" s="17">
        <v>472420</v>
      </c>
      <c r="Q236" s="16">
        <v>6502</v>
      </c>
      <c r="R236" s="19" t="s">
        <v>76</v>
      </c>
      <c r="S236" s="20" t="s">
        <v>39</v>
      </c>
      <c r="T236">
        <v>30971.25</v>
      </c>
    </row>
    <row r="237" spans="1:20" x14ac:dyDescent="0.25">
      <c r="A237" t="str">
        <f>(COUNTIF($K$2:K237,K237))&amp;K237</f>
        <v>1431600</v>
      </c>
      <c r="B237" s="34" t="s">
        <v>84</v>
      </c>
      <c r="C237" s="13" t="s">
        <v>39</v>
      </c>
      <c r="D237" s="14" t="s">
        <v>76</v>
      </c>
      <c r="E237" s="16">
        <v>203916</v>
      </c>
      <c r="F237" s="17">
        <v>351660</v>
      </c>
      <c r="G237" s="24">
        <v>67440</v>
      </c>
      <c r="H237" s="15">
        <v>22.58</v>
      </c>
      <c r="I237" s="15">
        <v>-6.3</v>
      </c>
      <c r="J237" s="15">
        <v>31.45</v>
      </c>
      <c r="K237" s="18">
        <v>31600</v>
      </c>
      <c r="L237" s="15">
        <v>640.9</v>
      </c>
      <c r="M237" s="15">
        <v>-119.95</v>
      </c>
      <c r="N237" s="15">
        <v>12.8</v>
      </c>
      <c r="O237" s="24" t="s">
        <v>14</v>
      </c>
      <c r="P237" s="17">
        <v>17660</v>
      </c>
      <c r="Q237" s="16">
        <v>274</v>
      </c>
      <c r="R237" s="19" t="s">
        <v>76</v>
      </c>
      <c r="S237" s="20" t="s">
        <v>39</v>
      </c>
      <c r="T237">
        <v>30971.25</v>
      </c>
    </row>
    <row r="238" spans="1:20" x14ac:dyDescent="0.25">
      <c r="A238" t="str">
        <f>(COUNTIF($K$2:K238,K238))&amp;K238</f>
        <v>1431700</v>
      </c>
      <c r="B238" s="34" t="s">
        <v>84</v>
      </c>
      <c r="C238" s="13" t="s">
        <v>39</v>
      </c>
      <c r="D238" s="14" t="s">
        <v>76</v>
      </c>
      <c r="E238" s="16">
        <v>134579</v>
      </c>
      <c r="F238" s="17">
        <v>391440</v>
      </c>
      <c r="G238" s="24">
        <v>33480</v>
      </c>
      <c r="H238" s="15">
        <v>22.61</v>
      </c>
      <c r="I238" s="15">
        <v>-6.25</v>
      </c>
      <c r="J238" s="15">
        <v>21.9</v>
      </c>
      <c r="K238" s="18">
        <v>31700</v>
      </c>
      <c r="L238" s="15">
        <v>736.95</v>
      </c>
      <c r="M238" s="15">
        <v>-106.75</v>
      </c>
      <c r="N238" s="15">
        <v>14.76</v>
      </c>
      <c r="O238" s="24">
        <v>-1240</v>
      </c>
      <c r="P238" s="17">
        <v>10100</v>
      </c>
      <c r="Q238" s="16">
        <v>316</v>
      </c>
      <c r="R238" s="19" t="s">
        <v>77</v>
      </c>
      <c r="S238" s="20" t="s">
        <v>37</v>
      </c>
      <c r="T238">
        <v>30971.25</v>
      </c>
    </row>
    <row r="239" spans="1:20" x14ac:dyDescent="0.25">
      <c r="A239" t="str">
        <f>(COUNTIF($K$2:K239,K239))&amp;K239</f>
        <v>14PCR</v>
      </c>
      <c r="B239" s="34" t="s">
        <v>84</v>
      </c>
      <c r="C239" s="41">
        <v>0.85990588041163829</v>
      </c>
      <c r="E239" s="33"/>
      <c r="F239" s="39">
        <v>6302620</v>
      </c>
      <c r="G239" s="40"/>
      <c r="H239" s="38"/>
      <c r="I239" s="38"/>
      <c r="J239" s="38"/>
      <c r="K239" s="56" t="s">
        <v>57</v>
      </c>
      <c r="L239" s="38"/>
      <c r="M239" s="38"/>
      <c r="N239" s="38"/>
      <c r="P239" s="40">
        <v>5419660</v>
      </c>
      <c r="Q239" s="33"/>
      <c r="R239" s="38"/>
      <c r="S239" s="38"/>
    </row>
    <row r="240" spans="1:20" x14ac:dyDescent="0.25">
      <c r="A240" t="str">
        <f>(COUNTIF($K$2:K240,K240))&amp;K240</f>
        <v>1530200</v>
      </c>
      <c r="B240" s="34" t="s">
        <v>84</v>
      </c>
      <c r="C240" s="13" t="s">
        <v>74</v>
      </c>
      <c r="D240" s="14" t="s">
        <v>76</v>
      </c>
      <c r="E240" s="16">
        <v>168</v>
      </c>
      <c r="F240" s="17">
        <v>1440</v>
      </c>
      <c r="G240" s="24">
        <v>1020</v>
      </c>
      <c r="H240" s="15">
        <v>29.83</v>
      </c>
      <c r="I240" s="15">
        <v>100.2</v>
      </c>
      <c r="J240" s="15">
        <v>821.15</v>
      </c>
      <c r="K240" s="18">
        <v>30200</v>
      </c>
      <c r="L240" s="15">
        <v>20.399999999999999</v>
      </c>
      <c r="M240" s="15">
        <v>-19.75</v>
      </c>
      <c r="N240" s="15">
        <v>24.94</v>
      </c>
      <c r="O240" s="24">
        <v>31700</v>
      </c>
      <c r="P240" s="17">
        <v>245760</v>
      </c>
      <c r="Q240" s="16">
        <v>151916</v>
      </c>
      <c r="R240" s="19" t="s">
        <v>76</v>
      </c>
      <c r="S240" s="20" t="s">
        <v>39</v>
      </c>
      <c r="T240">
        <v>30971.25</v>
      </c>
    </row>
    <row r="241" spans="1:20" x14ac:dyDescent="0.25">
      <c r="A241" t="str">
        <f>(COUNTIF($K$2:K241,K241))&amp;K241</f>
        <v>1530300</v>
      </c>
      <c r="B241" s="34" t="s">
        <v>84</v>
      </c>
      <c r="C241" s="13" t="s">
        <v>40</v>
      </c>
      <c r="D241" s="14" t="s">
        <v>76</v>
      </c>
      <c r="E241" s="16">
        <v>592</v>
      </c>
      <c r="F241" s="17">
        <v>4900</v>
      </c>
      <c r="G241" s="24">
        <v>2740</v>
      </c>
      <c r="H241" s="15">
        <v>29.19</v>
      </c>
      <c r="I241" s="15">
        <v>92.4</v>
      </c>
      <c r="J241" s="15">
        <v>722.05</v>
      </c>
      <c r="K241" s="18">
        <v>30300</v>
      </c>
      <c r="L241" s="15">
        <v>27.2</v>
      </c>
      <c r="M241" s="15">
        <v>-25.45</v>
      </c>
      <c r="N241" s="15">
        <v>24.23</v>
      </c>
      <c r="O241" s="24">
        <v>95480</v>
      </c>
      <c r="P241" s="17">
        <v>241780</v>
      </c>
      <c r="Q241" s="16">
        <v>194809</v>
      </c>
      <c r="R241" s="19" t="s">
        <v>76</v>
      </c>
      <c r="S241" s="20" t="s">
        <v>39</v>
      </c>
      <c r="T241">
        <v>30971.25</v>
      </c>
    </row>
    <row r="242" spans="1:20" x14ac:dyDescent="0.25">
      <c r="A242" t="str">
        <f>(COUNTIF($K$2:K242,K242))&amp;K242</f>
        <v>1530400</v>
      </c>
      <c r="B242" s="34" t="s">
        <v>84</v>
      </c>
      <c r="C242" s="13" t="s">
        <v>40</v>
      </c>
      <c r="D242" s="14" t="s">
        <v>76</v>
      </c>
      <c r="E242" s="16">
        <v>883</v>
      </c>
      <c r="F242" s="17">
        <v>2060</v>
      </c>
      <c r="G242" s="24">
        <v>660</v>
      </c>
      <c r="H242" s="15">
        <v>31.26</v>
      </c>
      <c r="I242" s="15">
        <v>73.95</v>
      </c>
      <c r="J242" s="15">
        <v>627.29999999999995</v>
      </c>
      <c r="K242" s="18">
        <v>30400</v>
      </c>
      <c r="L242" s="15">
        <v>37.049999999999997</v>
      </c>
      <c r="M242" s="15">
        <v>-32.700000000000003</v>
      </c>
      <c r="N242" s="15">
        <v>23.73</v>
      </c>
      <c r="O242" s="24">
        <v>158040</v>
      </c>
      <c r="P242" s="17">
        <v>289360</v>
      </c>
      <c r="Q242" s="16">
        <v>287146</v>
      </c>
      <c r="R242" s="19" t="s">
        <v>76</v>
      </c>
      <c r="S242" s="20" t="s">
        <v>39</v>
      </c>
      <c r="T242">
        <v>30971.25</v>
      </c>
    </row>
    <row r="243" spans="1:20" x14ac:dyDescent="0.25">
      <c r="A243" t="str">
        <f>(COUNTIF($K$2:K243,K243))&amp;K243</f>
        <v>1530500</v>
      </c>
      <c r="B243" s="34" t="s">
        <v>84</v>
      </c>
      <c r="C243" s="13" t="s">
        <v>40</v>
      </c>
      <c r="D243" s="14" t="s">
        <v>76</v>
      </c>
      <c r="E243" s="16">
        <v>12903</v>
      </c>
      <c r="F243" s="17">
        <v>54980</v>
      </c>
      <c r="G243" s="24">
        <v>6960</v>
      </c>
      <c r="H243" s="15">
        <v>24.24</v>
      </c>
      <c r="I243" s="15">
        <v>72.55</v>
      </c>
      <c r="J243" s="15">
        <v>546.1</v>
      </c>
      <c r="K243" s="18">
        <v>30500</v>
      </c>
      <c r="L243" s="15">
        <v>50.2</v>
      </c>
      <c r="M243" s="15">
        <v>-42.05</v>
      </c>
      <c r="N243" s="15">
        <v>23.21</v>
      </c>
      <c r="O243" s="24">
        <v>389260</v>
      </c>
      <c r="P243" s="17">
        <v>927600</v>
      </c>
      <c r="Q243" s="16">
        <v>612587</v>
      </c>
      <c r="R243" s="19" t="s">
        <v>76</v>
      </c>
      <c r="S243" s="20" t="s">
        <v>39</v>
      </c>
      <c r="T243">
        <v>30971.25</v>
      </c>
    </row>
    <row r="244" spans="1:20" x14ac:dyDescent="0.25">
      <c r="A244" t="str">
        <f>(COUNTIF($K$2:K244,K244))&amp;K244</f>
        <v>1530600</v>
      </c>
      <c r="B244" s="34" t="s">
        <v>84</v>
      </c>
      <c r="C244" s="13" t="s">
        <v>40</v>
      </c>
      <c r="D244" s="14" t="s">
        <v>76</v>
      </c>
      <c r="E244" s="16">
        <v>10387</v>
      </c>
      <c r="F244" s="17">
        <v>19380</v>
      </c>
      <c r="G244" s="24">
        <v>3000</v>
      </c>
      <c r="H244" s="15">
        <v>24.32</v>
      </c>
      <c r="I244" s="15">
        <v>61.65</v>
      </c>
      <c r="J244" s="15">
        <v>465.2</v>
      </c>
      <c r="K244" s="18">
        <v>30600</v>
      </c>
      <c r="L244" s="15">
        <v>68</v>
      </c>
      <c r="M244" s="15">
        <v>-50.25</v>
      </c>
      <c r="N244" s="15">
        <v>22.73</v>
      </c>
      <c r="O244" s="24">
        <v>237820</v>
      </c>
      <c r="P244" s="17">
        <v>411640</v>
      </c>
      <c r="Q244" s="16">
        <v>355646</v>
      </c>
      <c r="R244" s="19" t="s">
        <v>76</v>
      </c>
      <c r="S244" s="20" t="s">
        <v>39</v>
      </c>
      <c r="T244">
        <v>30971.25</v>
      </c>
    </row>
    <row r="245" spans="1:20" x14ac:dyDescent="0.25">
      <c r="A245" t="str">
        <f>(COUNTIF($K$2:K245,K245))&amp;K245</f>
        <v>1530700</v>
      </c>
      <c r="B245" s="34" t="s">
        <v>84</v>
      </c>
      <c r="C245" s="13" t="s">
        <v>40</v>
      </c>
      <c r="D245" s="14" t="s">
        <v>76</v>
      </c>
      <c r="E245" s="16">
        <v>46480</v>
      </c>
      <c r="F245" s="17">
        <v>55420</v>
      </c>
      <c r="G245" s="24">
        <v>27220</v>
      </c>
      <c r="H245" s="15">
        <v>23.48</v>
      </c>
      <c r="I245" s="15">
        <v>53.1</v>
      </c>
      <c r="J245" s="15">
        <v>385.55</v>
      </c>
      <c r="K245" s="18">
        <v>30700</v>
      </c>
      <c r="L245" s="15">
        <v>91.05</v>
      </c>
      <c r="M245" s="15">
        <v>-61.15</v>
      </c>
      <c r="N245" s="15">
        <v>22.33</v>
      </c>
      <c r="O245" s="24">
        <v>326060</v>
      </c>
      <c r="P245" s="17">
        <v>498540</v>
      </c>
      <c r="Q245" s="16">
        <v>417599</v>
      </c>
      <c r="R245" s="19" t="s">
        <v>76</v>
      </c>
      <c r="S245" s="20" t="s">
        <v>39</v>
      </c>
      <c r="T245">
        <v>30971.25</v>
      </c>
    </row>
    <row r="246" spans="1:20" x14ac:dyDescent="0.25">
      <c r="A246" t="str">
        <f>(COUNTIF($K$2:K246,K246))&amp;K246</f>
        <v>1530800</v>
      </c>
      <c r="B246" s="34" t="s">
        <v>84</v>
      </c>
      <c r="C246" s="13" t="s">
        <v>40</v>
      </c>
      <c r="D246" s="14" t="s">
        <v>76</v>
      </c>
      <c r="E246" s="16">
        <v>151588</v>
      </c>
      <c r="F246" s="17">
        <v>211560</v>
      </c>
      <c r="G246" s="24">
        <v>68940</v>
      </c>
      <c r="H246" s="15">
        <v>22.99</v>
      </c>
      <c r="I246" s="15">
        <v>43.55</v>
      </c>
      <c r="J246" s="15">
        <v>317.2</v>
      </c>
      <c r="K246" s="18">
        <v>30800</v>
      </c>
      <c r="L246" s="15">
        <v>119.5</v>
      </c>
      <c r="M246" s="15">
        <v>-71.650000000000006</v>
      </c>
      <c r="N246" s="15">
        <v>21.91</v>
      </c>
      <c r="O246" s="24">
        <v>318660</v>
      </c>
      <c r="P246" s="17">
        <v>576300</v>
      </c>
      <c r="Q246" s="16">
        <v>428921</v>
      </c>
      <c r="R246" s="19" t="s">
        <v>76</v>
      </c>
      <c r="S246" s="20" t="s">
        <v>39</v>
      </c>
      <c r="T246">
        <v>30971.25</v>
      </c>
    </row>
    <row r="247" spans="1:20" x14ac:dyDescent="0.25">
      <c r="A247" t="str">
        <f>(COUNTIF($K$2:K247,K247))&amp;K247</f>
        <v>1530900</v>
      </c>
      <c r="B247" s="34" t="s">
        <v>84</v>
      </c>
      <c r="C247" s="13" t="s">
        <v>40</v>
      </c>
      <c r="D247" s="14" t="s">
        <v>76</v>
      </c>
      <c r="E247" s="16">
        <v>267905</v>
      </c>
      <c r="F247" s="17">
        <v>391220</v>
      </c>
      <c r="G247" s="24">
        <v>171020</v>
      </c>
      <c r="H247" s="15">
        <v>22.23</v>
      </c>
      <c r="I247" s="15">
        <v>31.6</v>
      </c>
      <c r="J247" s="15">
        <v>252.45</v>
      </c>
      <c r="K247" s="18">
        <v>30900</v>
      </c>
      <c r="L247" s="15">
        <v>155.69999999999999</v>
      </c>
      <c r="M247" s="15">
        <v>-80.8</v>
      </c>
      <c r="N247" s="15">
        <v>21.47</v>
      </c>
      <c r="O247" s="24">
        <v>317300</v>
      </c>
      <c r="P247" s="17">
        <v>526020</v>
      </c>
      <c r="Q247" s="16">
        <v>368237</v>
      </c>
      <c r="R247" s="19" t="s">
        <v>76</v>
      </c>
      <c r="S247" s="20" t="s">
        <v>39</v>
      </c>
      <c r="T247">
        <v>30971.25</v>
      </c>
    </row>
    <row r="248" spans="1:20" ht="15.75" x14ac:dyDescent="0.25">
      <c r="A248" t="str">
        <f>(COUNTIF($K$2:K248,K248))&amp;K248</f>
        <v>1531000</v>
      </c>
      <c r="B248" s="34" t="s">
        <v>84</v>
      </c>
      <c r="C248" s="13" t="s">
        <v>40</v>
      </c>
      <c r="D248" s="14" t="s">
        <v>76</v>
      </c>
      <c r="E248" s="16">
        <v>584689</v>
      </c>
      <c r="F248" s="17">
        <v>1050900</v>
      </c>
      <c r="G248" s="24">
        <v>272640</v>
      </c>
      <c r="H248" s="15">
        <v>21.97</v>
      </c>
      <c r="I248" s="15">
        <v>21.4</v>
      </c>
      <c r="J248" s="15">
        <v>199.2</v>
      </c>
      <c r="K248" s="21">
        <v>31000</v>
      </c>
      <c r="L248" s="15">
        <v>200.1</v>
      </c>
      <c r="M248" s="15">
        <v>-91.85</v>
      </c>
      <c r="N248" s="15">
        <v>21.34</v>
      </c>
      <c r="O248" s="24">
        <v>339980</v>
      </c>
      <c r="P248" s="17">
        <v>791200</v>
      </c>
      <c r="Q248" s="16">
        <v>357655</v>
      </c>
      <c r="R248" s="19" t="s">
        <v>76</v>
      </c>
      <c r="S248" s="20" t="s">
        <v>39</v>
      </c>
      <c r="T248">
        <v>30971.25</v>
      </c>
    </row>
    <row r="249" spans="1:20" x14ac:dyDescent="0.25">
      <c r="A249" t="str">
        <f>(COUNTIF($K$2:K249,K249))&amp;K249</f>
        <v>1531100</v>
      </c>
      <c r="B249" s="34" t="s">
        <v>84</v>
      </c>
      <c r="C249" s="13" t="s">
        <v>40</v>
      </c>
      <c r="D249" s="14" t="s">
        <v>76</v>
      </c>
      <c r="E249" s="16">
        <v>364756</v>
      </c>
      <c r="F249" s="17">
        <v>479180</v>
      </c>
      <c r="G249" s="24">
        <v>109260</v>
      </c>
      <c r="H249" s="15">
        <v>21.92</v>
      </c>
      <c r="I249" s="15">
        <v>12.75</v>
      </c>
      <c r="J249" s="15">
        <v>153</v>
      </c>
      <c r="K249" s="18">
        <v>31100</v>
      </c>
      <c r="L249" s="15">
        <v>255.45</v>
      </c>
      <c r="M249" s="15">
        <v>-98</v>
      </c>
      <c r="N249" s="15">
        <v>21.09</v>
      </c>
      <c r="O249" s="24">
        <v>43980</v>
      </c>
      <c r="P249" s="17">
        <v>148240</v>
      </c>
      <c r="Q249" s="16">
        <v>81737</v>
      </c>
      <c r="R249" s="19" t="s">
        <v>76</v>
      </c>
      <c r="S249" s="20" t="s">
        <v>39</v>
      </c>
      <c r="T249">
        <v>30971.25</v>
      </c>
    </row>
    <row r="250" spans="1:20" x14ac:dyDescent="0.25">
      <c r="A250" t="str">
        <f>(COUNTIF($K$2:K250,K250))&amp;K250</f>
        <v>1531200</v>
      </c>
      <c r="B250" s="34" t="s">
        <v>84</v>
      </c>
      <c r="C250" s="13" t="s">
        <v>40</v>
      </c>
      <c r="D250" s="14" t="s">
        <v>76</v>
      </c>
      <c r="E250" s="16">
        <v>559420</v>
      </c>
      <c r="F250" s="17">
        <v>707620</v>
      </c>
      <c r="G250" s="24">
        <v>148220</v>
      </c>
      <c r="H250" s="15">
        <v>21.97</v>
      </c>
      <c r="I250" s="15">
        <v>5.75</v>
      </c>
      <c r="J250" s="15">
        <v>116.6</v>
      </c>
      <c r="K250" s="18">
        <v>31200</v>
      </c>
      <c r="L250" s="15">
        <v>318.45</v>
      </c>
      <c r="M250" s="15">
        <v>-106.8</v>
      </c>
      <c r="N250" s="15">
        <v>21.31</v>
      </c>
      <c r="O250" s="24">
        <v>16020</v>
      </c>
      <c r="P250" s="17">
        <v>121120</v>
      </c>
      <c r="Q250" s="16">
        <v>44851</v>
      </c>
      <c r="R250" s="19" t="s">
        <v>76</v>
      </c>
      <c r="S250" s="20" t="s">
        <v>39</v>
      </c>
      <c r="T250">
        <v>30971.25</v>
      </c>
    </row>
    <row r="251" spans="1:20" x14ac:dyDescent="0.25">
      <c r="A251" t="str">
        <f>(COUNTIF($K$2:K251,K251))&amp;K251</f>
        <v>1531300</v>
      </c>
      <c r="B251" s="34" t="s">
        <v>84</v>
      </c>
      <c r="C251" s="13" t="s">
        <v>40</v>
      </c>
      <c r="D251" s="14" t="s">
        <v>76</v>
      </c>
      <c r="E251" s="16">
        <v>396681</v>
      </c>
      <c r="F251" s="17">
        <v>616860</v>
      </c>
      <c r="G251" s="24">
        <v>169180</v>
      </c>
      <c r="H251" s="15">
        <v>22.01</v>
      </c>
      <c r="I251" s="15">
        <v>1.65</v>
      </c>
      <c r="J251" s="15">
        <v>87.2</v>
      </c>
      <c r="K251" s="18">
        <v>31300</v>
      </c>
      <c r="L251" s="15">
        <v>388.95</v>
      </c>
      <c r="M251" s="15">
        <v>-119.75</v>
      </c>
      <c r="N251" s="15">
        <v>21.05</v>
      </c>
      <c r="O251" s="24">
        <v>-15540</v>
      </c>
      <c r="P251" s="17">
        <v>87640</v>
      </c>
      <c r="Q251" s="16">
        <v>11614</v>
      </c>
      <c r="R251" s="19" t="s">
        <v>77</v>
      </c>
      <c r="S251" s="20" t="s">
        <v>37</v>
      </c>
      <c r="T251">
        <v>30971.25</v>
      </c>
    </row>
    <row r="252" spans="1:20" x14ac:dyDescent="0.25">
      <c r="A252" t="str">
        <f>(COUNTIF($K$2:K252,K252))&amp;K252</f>
        <v>1531400</v>
      </c>
      <c r="B252" s="34" t="s">
        <v>84</v>
      </c>
      <c r="C252" s="13" t="s">
        <v>39</v>
      </c>
      <c r="D252" s="14" t="s">
        <v>76</v>
      </c>
      <c r="E252" s="16">
        <v>350299</v>
      </c>
      <c r="F252" s="17">
        <v>540040</v>
      </c>
      <c r="G252" s="24">
        <v>146880</v>
      </c>
      <c r="H252" s="15">
        <v>22.13</v>
      </c>
      <c r="I252" s="15">
        <v>-2.4</v>
      </c>
      <c r="J252" s="15">
        <v>63.45</v>
      </c>
      <c r="K252" s="18">
        <v>31400</v>
      </c>
      <c r="L252" s="15">
        <v>468.75</v>
      </c>
      <c r="M252" s="15">
        <v>-113.2</v>
      </c>
      <c r="N252" s="15">
        <v>20.55</v>
      </c>
      <c r="O252" s="24">
        <v>3800</v>
      </c>
      <c r="P252" s="17">
        <v>54280</v>
      </c>
      <c r="Q252" s="16">
        <v>4052</v>
      </c>
      <c r="R252" s="19" t="s">
        <v>76</v>
      </c>
      <c r="S252" s="20" t="s">
        <v>39</v>
      </c>
      <c r="T252">
        <v>30971.25</v>
      </c>
    </row>
    <row r="253" spans="1:20" x14ac:dyDescent="0.25">
      <c r="A253" t="str">
        <f>(COUNTIF($K$2:K253,K253))&amp;K253</f>
        <v>1531500</v>
      </c>
      <c r="B253" s="34" t="s">
        <v>84</v>
      </c>
      <c r="C253" s="13" t="s">
        <v>39</v>
      </c>
      <c r="D253" s="14" t="s">
        <v>76</v>
      </c>
      <c r="E253" s="16">
        <v>517440</v>
      </c>
      <c r="F253" s="17">
        <v>1423960</v>
      </c>
      <c r="G253" s="24">
        <v>229600</v>
      </c>
      <c r="H253" s="15">
        <v>22.41</v>
      </c>
      <c r="I253" s="15">
        <v>-4.4000000000000004</v>
      </c>
      <c r="J253" s="15">
        <v>45.55</v>
      </c>
      <c r="K253" s="18">
        <v>31500</v>
      </c>
      <c r="L253" s="15">
        <v>547.1</v>
      </c>
      <c r="M253" s="15">
        <v>-120.2</v>
      </c>
      <c r="N253" s="15">
        <v>18.47</v>
      </c>
      <c r="O253" s="24">
        <v>4320</v>
      </c>
      <c r="P253" s="17">
        <v>472420</v>
      </c>
      <c r="Q253" s="16">
        <v>6502</v>
      </c>
      <c r="R253" s="19" t="s">
        <v>76</v>
      </c>
      <c r="S253" s="20" t="s">
        <v>39</v>
      </c>
      <c r="T253">
        <v>30971.25</v>
      </c>
    </row>
    <row r="254" spans="1:20" x14ac:dyDescent="0.25">
      <c r="A254" t="str">
        <f>(COUNTIF($K$2:K254,K254))&amp;K254</f>
        <v>1531600</v>
      </c>
      <c r="B254" s="34" t="s">
        <v>84</v>
      </c>
      <c r="C254" s="13" t="s">
        <v>39</v>
      </c>
      <c r="D254" s="14" t="s">
        <v>76</v>
      </c>
      <c r="E254" s="16">
        <v>203916</v>
      </c>
      <c r="F254" s="17">
        <v>351660</v>
      </c>
      <c r="G254" s="24">
        <v>67440</v>
      </c>
      <c r="H254" s="15">
        <v>22.58</v>
      </c>
      <c r="I254" s="15">
        <v>-6.3</v>
      </c>
      <c r="J254" s="15">
        <v>31.45</v>
      </c>
      <c r="K254" s="18">
        <v>31600</v>
      </c>
      <c r="L254" s="15">
        <v>640.9</v>
      </c>
      <c r="M254" s="15">
        <v>-119.95</v>
      </c>
      <c r="N254" s="15">
        <v>12.8</v>
      </c>
      <c r="O254" s="24" t="s">
        <v>14</v>
      </c>
      <c r="P254" s="17">
        <v>17660</v>
      </c>
      <c r="Q254" s="16">
        <v>274</v>
      </c>
      <c r="R254" s="19" t="s">
        <v>76</v>
      </c>
      <c r="S254" s="20" t="s">
        <v>39</v>
      </c>
      <c r="T254">
        <v>30971.25</v>
      </c>
    </row>
    <row r="255" spans="1:20" x14ac:dyDescent="0.25">
      <c r="A255" t="str">
        <f>(COUNTIF($K$2:K255,K255))&amp;K255</f>
        <v>1531700</v>
      </c>
      <c r="B255" s="34" t="s">
        <v>84</v>
      </c>
      <c r="C255" s="13" t="s">
        <v>39</v>
      </c>
      <c r="D255" s="14" t="s">
        <v>76</v>
      </c>
      <c r="E255" s="16">
        <v>134579</v>
      </c>
      <c r="F255" s="17">
        <v>391440</v>
      </c>
      <c r="G255" s="24">
        <v>33480</v>
      </c>
      <c r="H255" s="15">
        <v>22.61</v>
      </c>
      <c r="I255" s="15">
        <v>-6.25</v>
      </c>
      <c r="J255" s="15">
        <v>21.9</v>
      </c>
      <c r="K255" s="18">
        <v>31700</v>
      </c>
      <c r="L255" s="15">
        <v>736.95</v>
      </c>
      <c r="M255" s="15">
        <v>-106.75</v>
      </c>
      <c r="N255" s="15">
        <v>14.76</v>
      </c>
      <c r="O255" s="24">
        <v>-1240</v>
      </c>
      <c r="P255" s="17">
        <v>10100</v>
      </c>
      <c r="Q255" s="16">
        <v>316</v>
      </c>
      <c r="R255" s="19" t="s">
        <v>77</v>
      </c>
      <c r="S255" s="20" t="s">
        <v>37</v>
      </c>
      <c r="T255">
        <v>30971.25</v>
      </c>
    </row>
    <row r="256" spans="1:20" x14ac:dyDescent="0.25">
      <c r="A256" t="str">
        <f>(COUNTIF($K$2:K256,K256))&amp;K256</f>
        <v>15PCR</v>
      </c>
      <c r="B256" s="34" t="s">
        <v>84</v>
      </c>
      <c r="C256" s="41">
        <v>0.85990588041163829</v>
      </c>
      <c r="E256" s="33"/>
      <c r="F256" s="39">
        <v>6302620</v>
      </c>
      <c r="G256" s="40"/>
      <c r="H256" s="38"/>
      <c r="I256" s="38"/>
      <c r="J256" s="38"/>
      <c r="K256" s="56" t="s">
        <v>57</v>
      </c>
      <c r="L256" s="38"/>
      <c r="M256" s="38"/>
      <c r="N256" s="38"/>
      <c r="P256" s="40">
        <v>5419660</v>
      </c>
      <c r="Q256" s="33"/>
      <c r="R256" s="38"/>
      <c r="S256" s="38"/>
    </row>
    <row r="257" spans="1:20" x14ac:dyDescent="0.25">
      <c r="A257" t="str">
        <f>(COUNTIF($K$2:K257,K257))&amp;K257</f>
        <v>1630200</v>
      </c>
      <c r="B257" s="34" t="s">
        <v>84</v>
      </c>
      <c r="C257" s="13" t="s">
        <v>74</v>
      </c>
      <c r="D257" s="14" t="s">
        <v>76</v>
      </c>
      <c r="E257" s="16">
        <v>168</v>
      </c>
      <c r="F257" s="17">
        <v>1440</v>
      </c>
      <c r="G257" s="24">
        <v>1020</v>
      </c>
      <c r="H257" s="15">
        <v>29.83</v>
      </c>
      <c r="I257" s="15">
        <v>100.2</v>
      </c>
      <c r="J257" s="15">
        <v>821.15</v>
      </c>
      <c r="K257" s="18">
        <v>30200</v>
      </c>
      <c r="L257" s="15">
        <v>20.399999999999999</v>
      </c>
      <c r="M257" s="15">
        <v>-19.75</v>
      </c>
      <c r="N257" s="15">
        <v>24.94</v>
      </c>
      <c r="O257" s="24">
        <v>31700</v>
      </c>
      <c r="P257" s="17">
        <v>245760</v>
      </c>
      <c r="Q257" s="16">
        <v>151916</v>
      </c>
      <c r="R257" s="19" t="s">
        <v>76</v>
      </c>
      <c r="S257" s="20" t="s">
        <v>39</v>
      </c>
      <c r="T257">
        <v>30971.25</v>
      </c>
    </row>
    <row r="258" spans="1:20" x14ac:dyDescent="0.25">
      <c r="A258" t="str">
        <f>(COUNTIF($K$2:K258,K258))&amp;K258</f>
        <v>1630300</v>
      </c>
      <c r="B258" s="34" t="s">
        <v>84</v>
      </c>
      <c r="C258" s="13" t="s">
        <v>40</v>
      </c>
      <c r="D258" s="14" t="s">
        <v>76</v>
      </c>
      <c r="E258" s="16">
        <v>592</v>
      </c>
      <c r="F258" s="17">
        <v>4900</v>
      </c>
      <c r="G258" s="24">
        <v>2740</v>
      </c>
      <c r="H258" s="15">
        <v>29.19</v>
      </c>
      <c r="I258" s="15">
        <v>92.4</v>
      </c>
      <c r="J258" s="15">
        <v>722.05</v>
      </c>
      <c r="K258" s="18">
        <v>30300</v>
      </c>
      <c r="L258" s="15">
        <v>27.2</v>
      </c>
      <c r="M258" s="15">
        <v>-25.45</v>
      </c>
      <c r="N258" s="15">
        <v>24.23</v>
      </c>
      <c r="O258" s="24">
        <v>95480</v>
      </c>
      <c r="P258" s="17">
        <v>241780</v>
      </c>
      <c r="Q258" s="16">
        <v>194809</v>
      </c>
      <c r="R258" s="19" t="s">
        <v>76</v>
      </c>
      <c r="S258" s="20" t="s">
        <v>39</v>
      </c>
      <c r="T258">
        <v>30971.25</v>
      </c>
    </row>
    <row r="259" spans="1:20" x14ac:dyDescent="0.25">
      <c r="A259" t="str">
        <f>(COUNTIF($K$2:K259,K259))&amp;K259</f>
        <v>1630400</v>
      </c>
      <c r="B259" s="34" t="s">
        <v>84</v>
      </c>
      <c r="C259" s="13" t="s">
        <v>40</v>
      </c>
      <c r="D259" s="14" t="s">
        <v>76</v>
      </c>
      <c r="E259" s="16">
        <v>883</v>
      </c>
      <c r="F259" s="17">
        <v>2060</v>
      </c>
      <c r="G259" s="24">
        <v>660</v>
      </c>
      <c r="H259" s="15">
        <v>31.26</v>
      </c>
      <c r="I259" s="15">
        <v>73.95</v>
      </c>
      <c r="J259" s="15">
        <v>627.29999999999995</v>
      </c>
      <c r="K259" s="18">
        <v>30400</v>
      </c>
      <c r="L259" s="15">
        <v>37.049999999999997</v>
      </c>
      <c r="M259" s="15">
        <v>-32.700000000000003</v>
      </c>
      <c r="N259" s="15">
        <v>23.73</v>
      </c>
      <c r="O259" s="24">
        <v>158040</v>
      </c>
      <c r="P259" s="17">
        <v>289360</v>
      </c>
      <c r="Q259" s="16">
        <v>287146</v>
      </c>
      <c r="R259" s="19" t="s">
        <v>76</v>
      </c>
      <c r="S259" s="20" t="s">
        <v>39</v>
      </c>
      <c r="T259">
        <v>30971.25</v>
      </c>
    </row>
    <row r="260" spans="1:20" x14ac:dyDescent="0.25">
      <c r="A260" t="str">
        <f>(COUNTIF($K$2:K260,K260))&amp;K260</f>
        <v>1630500</v>
      </c>
      <c r="B260" s="34" t="s">
        <v>84</v>
      </c>
      <c r="C260" s="13" t="s">
        <v>40</v>
      </c>
      <c r="D260" s="14" t="s">
        <v>76</v>
      </c>
      <c r="E260" s="16">
        <v>12903</v>
      </c>
      <c r="F260" s="17">
        <v>54980</v>
      </c>
      <c r="G260" s="24">
        <v>6960</v>
      </c>
      <c r="H260" s="15">
        <v>24.24</v>
      </c>
      <c r="I260" s="15">
        <v>72.55</v>
      </c>
      <c r="J260" s="15">
        <v>546.1</v>
      </c>
      <c r="K260" s="18">
        <v>30500</v>
      </c>
      <c r="L260" s="15">
        <v>50.2</v>
      </c>
      <c r="M260" s="15">
        <v>-42.05</v>
      </c>
      <c r="N260" s="15">
        <v>23.21</v>
      </c>
      <c r="O260" s="24">
        <v>389260</v>
      </c>
      <c r="P260" s="17">
        <v>927600</v>
      </c>
      <c r="Q260" s="16">
        <v>612587</v>
      </c>
      <c r="R260" s="19" t="s">
        <v>76</v>
      </c>
      <c r="S260" s="20" t="s">
        <v>39</v>
      </c>
      <c r="T260">
        <v>30971.25</v>
      </c>
    </row>
    <row r="261" spans="1:20" x14ac:dyDescent="0.25">
      <c r="A261" t="str">
        <f>(COUNTIF($K$2:K261,K261))&amp;K261</f>
        <v>1630600</v>
      </c>
      <c r="B261" s="34" t="s">
        <v>84</v>
      </c>
      <c r="C261" s="13" t="s">
        <v>40</v>
      </c>
      <c r="D261" s="14" t="s">
        <v>76</v>
      </c>
      <c r="E261" s="16">
        <v>10387</v>
      </c>
      <c r="F261" s="17">
        <v>19380</v>
      </c>
      <c r="G261" s="24">
        <v>3000</v>
      </c>
      <c r="H261" s="15">
        <v>24.32</v>
      </c>
      <c r="I261" s="15">
        <v>61.65</v>
      </c>
      <c r="J261" s="15">
        <v>465.2</v>
      </c>
      <c r="K261" s="18">
        <v>30600</v>
      </c>
      <c r="L261" s="15">
        <v>68</v>
      </c>
      <c r="M261" s="15">
        <v>-50.25</v>
      </c>
      <c r="N261" s="15">
        <v>22.73</v>
      </c>
      <c r="O261" s="24">
        <v>237820</v>
      </c>
      <c r="P261" s="17">
        <v>411640</v>
      </c>
      <c r="Q261" s="16">
        <v>355646</v>
      </c>
      <c r="R261" s="19" t="s">
        <v>76</v>
      </c>
      <c r="S261" s="20" t="s">
        <v>39</v>
      </c>
      <c r="T261">
        <v>30971.25</v>
      </c>
    </row>
    <row r="262" spans="1:20" x14ac:dyDescent="0.25">
      <c r="A262" t="str">
        <f>(COUNTIF($K$2:K262,K262))&amp;K262</f>
        <v>1630700</v>
      </c>
      <c r="B262" s="34" t="s">
        <v>84</v>
      </c>
      <c r="C262" s="13" t="s">
        <v>40</v>
      </c>
      <c r="D262" s="14" t="s">
        <v>76</v>
      </c>
      <c r="E262" s="16">
        <v>46480</v>
      </c>
      <c r="F262" s="17">
        <v>55420</v>
      </c>
      <c r="G262" s="24">
        <v>27220</v>
      </c>
      <c r="H262" s="15">
        <v>23.48</v>
      </c>
      <c r="I262" s="15">
        <v>53.1</v>
      </c>
      <c r="J262" s="15">
        <v>385.55</v>
      </c>
      <c r="K262" s="18">
        <v>30700</v>
      </c>
      <c r="L262" s="15">
        <v>91.05</v>
      </c>
      <c r="M262" s="15">
        <v>-61.15</v>
      </c>
      <c r="N262" s="15">
        <v>22.33</v>
      </c>
      <c r="O262" s="24">
        <v>326060</v>
      </c>
      <c r="P262" s="17">
        <v>498540</v>
      </c>
      <c r="Q262" s="16">
        <v>417599</v>
      </c>
      <c r="R262" s="19" t="s">
        <v>76</v>
      </c>
      <c r="S262" s="20" t="s">
        <v>39</v>
      </c>
      <c r="T262">
        <v>30971.25</v>
      </c>
    </row>
    <row r="263" spans="1:20" x14ac:dyDescent="0.25">
      <c r="A263" t="str">
        <f>(COUNTIF($K$2:K263,K263))&amp;K263</f>
        <v>1630800</v>
      </c>
      <c r="B263" s="34" t="s">
        <v>84</v>
      </c>
      <c r="C263" s="13" t="s">
        <v>40</v>
      </c>
      <c r="D263" s="14" t="s">
        <v>76</v>
      </c>
      <c r="E263" s="16">
        <v>151588</v>
      </c>
      <c r="F263" s="17">
        <v>211560</v>
      </c>
      <c r="G263" s="24">
        <v>68940</v>
      </c>
      <c r="H263" s="15">
        <v>22.99</v>
      </c>
      <c r="I263" s="15">
        <v>43.55</v>
      </c>
      <c r="J263" s="15">
        <v>317.2</v>
      </c>
      <c r="K263" s="18">
        <v>30800</v>
      </c>
      <c r="L263" s="15">
        <v>119.5</v>
      </c>
      <c r="M263" s="15">
        <v>-71.650000000000006</v>
      </c>
      <c r="N263" s="15">
        <v>21.91</v>
      </c>
      <c r="O263" s="24">
        <v>318660</v>
      </c>
      <c r="P263" s="17">
        <v>576300</v>
      </c>
      <c r="Q263" s="16">
        <v>428921</v>
      </c>
      <c r="R263" s="19" t="s">
        <v>76</v>
      </c>
      <c r="S263" s="20" t="s">
        <v>39</v>
      </c>
      <c r="T263">
        <v>30971.25</v>
      </c>
    </row>
    <row r="264" spans="1:20" x14ac:dyDescent="0.25">
      <c r="A264" t="str">
        <f>(COUNTIF($K$2:K264,K264))&amp;K264</f>
        <v>1630900</v>
      </c>
      <c r="B264" s="34" t="s">
        <v>84</v>
      </c>
      <c r="C264" s="13" t="s">
        <v>40</v>
      </c>
      <c r="D264" s="14" t="s">
        <v>76</v>
      </c>
      <c r="E264" s="16">
        <v>267905</v>
      </c>
      <c r="F264" s="17">
        <v>391220</v>
      </c>
      <c r="G264" s="24">
        <v>171020</v>
      </c>
      <c r="H264" s="15">
        <v>22.23</v>
      </c>
      <c r="I264" s="15">
        <v>31.6</v>
      </c>
      <c r="J264" s="15">
        <v>252.45</v>
      </c>
      <c r="K264" s="18">
        <v>30900</v>
      </c>
      <c r="L264" s="15">
        <v>155.69999999999999</v>
      </c>
      <c r="M264" s="15">
        <v>-80.8</v>
      </c>
      <c r="N264" s="15">
        <v>21.47</v>
      </c>
      <c r="O264" s="24">
        <v>317300</v>
      </c>
      <c r="P264" s="17">
        <v>526020</v>
      </c>
      <c r="Q264" s="16">
        <v>368237</v>
      </c>
      <c r="R264" s="19" t="s">
        <v>76</v>
      </c>
      <c r="S264" s="20" t="s">
        <v>39</v>
      </c>
      <c r="T264">
        <v>30971.25</v>
      </c>
    </row>
    <row r="265" spans="1:20" ht="15.75" x14ac:dyDescent="0.25">
      <c r="A265" t="str">
        <f>(COUNTIF($K$2:K265,K265))&amp;K265</f>
        <v>1631000</v>
      </c>
      <c r="B265" s="34" t="s">
        <v>84</v>
      </c>
      <c r="C265" s="13" t="s">
        <v>40</v>
      </c>
      <c r="D265" s="14" t="s">
        <v>76</v>
      </c>
      <c r="E265" s="16">
        <v>584689</v>
      </c>
      <c r="F265" s="17">
        <v>1050900</v>
      </c>
      <c r="G265" s="24">
        <v>272640</v>
      </c>
      <c r="H265" s="15">
        <v>21.97</v>
      </c>
      <c r="I265" s="15">
        <v>21.4</v>
      </c>
      <c r="J265" s="15">
        <v>199.2</v>
      </c>
      <c r="K265" s="21">
        <v>31000</v>
      </c>
      <c r="L265" s="15">
        <v>200.1</v>
      </c>
      <c r="M265" s="15">
        <v>-91.85</v>
      </c>
      <c r="N265" s="15">
        <v>21.34</v>
      </c>
      <c r="O265" s="24">
        <v>339980</v>
      </c>
      <c r="P265" s="17">
        <v>791200</v>
      </c>
      <c r="Q265" s="16">
        <v>357655</v>
      </c>
      <c r="R265" s="19" t="s">
        <v>76</v>
      </c>
      <c r="S265" s="20" t="s">
        <v>39</v>
      </c>
      <c r="T265">
        <v>30971.25</v>
      </c>
    </row>
    <row r="266" spans="1:20" x14ac:dyDescent="0.25">
      <c r="A266" t="str">
        <f>(COUNTIF($K$2:K266,K266))&amp;K266</f>
        <v>1631100</v>
      </c>
      <c r="B266" s="34" t="s">
        <v>84</v>
      </c>
      <c r="C266" s="13" t="s">
        <v>40</v>
      </c>
      <c r="D266" s="14" t="s">
        <v>76</v>
      </c>
      <c r="E266" s="16">
        <v>364756</v>
      </c>
      <c r="F266" s="17">
        <v>479180</v>
      </c>
      <c r="G266" s="24">
        <v>109260</v>
      </c>
      <c r="H266" s="15">
        <v>21.92</v>
      </c>
      <c r="I266" s="15">
        <v>12.75</v>
      </c>
      <c r="J266" s="15">
        <v>153</v>
      </c>
      <c r="K266" s="18">
        <v>31100</v>
      </c>
      <c r="L266" s="15">
        <v>255.45</v>
      </c>
      <c r="M266" s="15">
        <v>-98</v>
      </c>
      <c r="N266" s="15">
        <v>21.09</v>
      </c>
      <c r="O266" s="24">
        <v>43980</v>
      </c>
      <c r="P266" s="17">
        <v>148240</v>
      </c>
      <c r="Q266" s="16">
        <v>81737</v>
      </c>
      <c r="R266" s="19" t="s">
        <v>76</v>
      </c>
      <c r="S266" s="20" t="s">
        <v>39</v>
      </c>
      <c r="T266">
        <v>30971.25</v>
      </c>
    </row>
    <row r="267" spans="1:20" x14ac:dyDescent="0.25">
      <c r="A267" t="str">
        <f>(COUNTIF($K$2:K267,K267))&amp;K267</f>
        <v>1631200</v>
      </c>
      <c r="B267" s="34" t="s">
        <v>84</v>
      </c>
      <c r="C267" s="13" t="s">
        <v>40</v>
      </c>
      <c r="D267" s="14" t="s">
        <v>76</v>
      </c>
      <c r="E267" s="16">
        <v>559420</v>
      </c>
      <c r="F267" s="17">
        <v>707620</v>
      </c>
      <c r="G267" s="24">
        <v>148220</v>
      </c>
      <c r="H267" s="15">
        <v>21.97</v>
      </c>
      <c r="I267" s="15">
        <v>5.75</v>
      </c>
      <c r="J267" s="15">
        <v>116.6</v>
      </c>
      <c r="K267" s="18">
        <v>31200</v>
      </c>
      <c r="L267" s="15">
        <v>318.45</v>
      </c>
      <c r="M267" s="15">
        <v>-106.8</v>
      </c>
      <c r="N267" s="15">
        <v>21.31</v>
      </c>
      <c r="O267" s="24">
        <v>16020</v>
      </c>
      <c r="P267" s="17">
        <v>121120</v>
      </c>
      <c r="Q267" s="16">
        <v>44851</v>
      </c>
      <c r="R267" s="19" t="s">
        <v>76</v>
      </c>
      <c r="S267" s="20" t="s">
        <v>39</v>
      </c>
      <c r="T267">
        <v>30971.25</v>
      </c>
    </row>
    <row r="268" spans="1:20" x14ac:dyDescent="0.25">
      <c r="A268" t="str">
        <f>(COUNTIF($K$2:K268,K268))&amp;K268</f>
        <v>1631300</v>
      </c>
      <c r="B268" s="34" t="s">
        <v>84</v>
      </c>
      <c r="C268" s="13" t="s">
        <v>40</v>
      </c>
      <c r="D268" s="14" t="s">
        <v>76</v>
      </c>
      <c r="E268" s="16">
        <v>396681</v>
      </c>
      <c r="F268" s="17">
        <v>616860</v>
      </c>
      <c r="G268" s="24">
        <v>169180</v>
      </c>
      <c r="H268" s="15">
        <v>22.01</v>
      </c>
      <c r="I268" s="15">
        <v>1.65</v>
      </c>
      <c r="J268" s="15">
        <v>87.2</v>
      </c>
      <c r="K268" s="18">
        <v>31300</v>
      </c>
      <c r="L268" s="15">
        <v>388.95</v>
      </c>
      <c r="M268" s="15">
        <v>-119.75</v>
      </c>
      <c r="N268" s="15">
        <v>21.05</v>
      </c>
      <c r="O268" s="24">
        <v>-15540</v>
      </c>
      <c r="P268" s="17">
        <v>87640</v>
      </c>
      <c r="Q268" s="16">
        <v>11614</v>
      </c>
      <c r="R268" s="19" t="s">
        <v>77</v>
      </c>
      <c r="S268" s="20" t="s">
        <v>37</v>
      </c>
      <c r="T268">
        <v>30971.25</v>
      </c>
    </row>
    <row r="269" spans="1:20" x14ac:dyDescent="0.25">
      <c r="A269" t="str">
        <f>(COUNTIF($K$2:K269,K269))&amp;K269</f>
        <v>1631400</v>
      </c>
      <c r="B269" s="34" t="s">
        <v>84</v>
      </c>
      <c r="C269" s="13" t="s">
        <v>39</v>
      </c>
      <c r="D269" s="14" t="s">
        <v>76</v>
      </c>
      <c r="E269" s="16">
        <v>350299</v>
      </c>
      <c r="F269" s="17">
        <v>540040</v>
      </c>
      <c r="G269" s="24">
        <v>146880</v>
      </c>
      <c r="H269" s="15">
        <v>22.13</v>
      </c>
      <c r="I269" s="15">
        <v>-2.4</v>
      </c>
      <c r="J269" s="15">
        <v>63.45</v>
      </c>
      <c r="K269" s="18">
        <v>31400</v>
      </c>
      <c r="L269" s="15">
        <v>468.75</v>
      </c>
      <c r="M269" s="15">
        <v>-113.2</v>
      </c>
      <c r="N269" s="15">
        <v>20.55</v>
      </c>
      <c r="O269" s="24">
        <v>3800</v>
      </c>
      <c r="P269" s="17">
        <v>54280</v>
      </c>
      <c r="Q269" s="16">
        <v>4052</v>
      </c>
      <c r="R269" s="19" t="s">
        <v>76</v>
      </c>
      <c r="S269" s="20" t="s">
        <v>39</v>
      </c>
      <c r="T269">
        <v>30971.25</v>
      </c>
    </row>
    <row r="270" spans="1:20" x14ac:dyDescent="0.25">
      <c r="A270" t="str">
        <f>(COUNTIF($K$2:K270,K270))&amp;K270</f>
        <v>1631500</v>
      </c>
      <c r="B270" s="34" t="s">
        <v>84</v>
      </c>
      <c r="C270" s="13" t="s">
        <v>39</v>
      </c>
      <c r="D270" s="14" t="s">
        <v>76</v>
      </c>
      <c r="E270" s="16">
        <v>517440</v>
      </c>
      <c r="F270" s="17">
        <v>1423960</v>
      </c>
      <c r="G270" s="24">
        <v>229600</v>
      </c>
      <c r="H270" s="15">
        <v>22.41</v>
      </c>
      <c r="I270" s="15">
        <v>-4.4000000000000004</v>
      </c>
      <c r="J270" s="15">
        <v>45.55</v>
      </c>
      <c r="K270" s="18">
        <v>31500</v>
      </c>
      <c r="L270" s="15">
        <v>547.1</v>
      </c>
      <c r="M270" s="15">
        <v>-120.2</v>
      </c>
      <c r="N270" s="15">
        <v>18.47</v>
      </c>
      <c r="O270" s="24">
        <v>4320</v>
      </c>
      <c r="P270" s="17">
        <v>472420</v>
      </c>
      <c r="Q270" s="16">
        <v>6502</v>
      </c>
      <c r="R270" s="19" t="s">
        <v>76</v>
      </c>
      <c r="S270" s="20" t="s">
        <v>39</v>
      </c>
      <c r="T270">
        <v>30971.25</v>
      </c>
    </row>
    <row r="271" spans="1:20" x14ac:dyDescent="0.25">
      <c r="A271" t="str">
        <f>(COUNTIF($K$2:K271,K271))&amp;K271</f>
        <v>1631600</v>
      </c>
      <c r="B271" s="34" t="s">
        <v>84</v>
      </c>
      <c r="C271" s="13" t="s">
        <v>39</v>
      </c>
      <c r="D271" s="14" t="s">
        <v>76</v>
      </c>
      <c r="E271" s="16">
        <v>203916</v>
      </c>
      <c r="F271" s="17">
        <v>351660</v>
      </c>
      <c r="G271" s="24">
        <v>67440</v>
      </c>
      <c r="H271" s="15">
        <v>22.58</v>
      </c>
      <c r="I271" s="15">
        <v>-6.3</v>
      </c>
      <c r="J271" s="15">
        <v>31.45</v>
      </c>
      <c r="K271" s="18">
        <v>31600</v>
      </c>
      <c r="L271" s="15">
        <v>640.9</v>
      </c>
      <c r="M271" s="15">
        <v>-119.95</v>
      </c>
      <c r="N271" s="15">
        <v>12.8</v>
      </c>
      <c r="O271" s="24" t="s">
        <v>14</v>
      </c>
      <c r="P271" s="17">
        <v>17660</v>
      </c>
      <c r="Q271" s="16">
        <v>274</v>
      </c>
      <c r="R271" s="19" t="s">
        <v>76</v>
      </c>
      <c r="S271" s="20" t="s">
        <v>39</v>
      </c>
      <c r="T271">
        <v>30971.25</v>
      </c>
    </row>
    <row r="272" spans="1:20" x14ac:dyDescent="0.25">
      <c r="A272" t="str">
        <f>(COUNTIF($K$2:K272,K272))&amp;K272</f>
        <v>1631700</v>
      </c>
      <c r="B272" s="34" t="s">
        <v>84</v>
      </c>
      <c r="C272" s="13" t="s">
        <v>39</v>
      </c>
      <c r="D272" s="14" t="s">
        <v>76</v>
      </c>
      <c r="E272" s="16">
        <v>134579</v>
      </c>
      <c r="F272" s="17">
        <v>391440</v>
      </c>
      <c r="G272" s="24">
        <v>33480</v>
      </c>
      <c r="H272" s="15">
        <v>22.61</v>
      </c>
      <c r="I272" s="15">
        <v>-6.25</v>
      </c>
      <c r="J272" s="15">
        <v>21.9</v>
      </c>
      <c r="K272" s="18">
        <v>31700</v>
      </c>
      <c r="L272" s="15">
        <v>736.95</v>
      </c>
      <c r="M272" s="15">
        <v>-106.75</v>
      </c>
      <c r="N272" s="15">
        <v>14.76</v>
      </c>
      <c r="O272" s="24">
        <v>-1240</v>
      </c>
      <c r="P272" s="17">
        <v>10100</v>
      </c>
      <c r="Q272" s="16">
        <v>316</v>
      </c>
      <c r="R272" s="19" t="s">
        <v>77</v>
      </c>
      <c r="S272" s="20" t="s">
        <v>37</v>
      </c>
      <c r="T272">
        <v>30971.25</v>
      </c>
    </row>
    <row r="273" spans="1:20" x14ac:dyDescent="0.25">
      <c r="A273" t="str">
        <f>(COUNTIF($K$2:K273,K273))&amp;K273</f>
        <v>16PCR</v>
      </c>
      <c r="B273" s="34" t="s">
        <v>84</v>
      </c>
      <c r="C273" s="41">
        <v>0.85990588041163829</v>
      </c>
      <c r="E273" s="33"/>
      <c r="F273" s="39">
        <v>6302620</v>
      </c>
      <c r="G273" s="40"/>
      <c r="H273" s="38"/>
      <c r="I273" s="38"/>
      <c r="J273" s="38"/>
      <c r="K273" s="56" t="s">
        <v>57</v>
      </c>
      <c r="L273" s="38"/>
      <c r="M273" s="38"/>
      <c r="N273" s="38"/>
      <c r="P273" s="40">
        <v>5419660</v>
      </c>
      <c r="Q273" s="33"/>
      <c r="R273" s="38"/>
      <c r="S273" s="38"/>
    </row>
    <row r="274" spans="1:20" x14ac:dyDescent="0.25">
      <c r="A274" t="str">
        <f>(COUNTIF($K$2:K274,K274))&amp;K274</f>
        <v>1730200</v>
      </c>
      <c r="B274" s="34" t="s">
        <v>85</v>
      </c>
      <c r="C274" s="13" t="s">
        <v>74</v>
      </c>
      <c r="D274" s="14" t="s">
        <v>76</v>
      </c>
      <c r="E274" s="16">
        <v>168</v>
      </c>
      <c r="F274" s="17">
        <v>1440</v>
      </c>
      <c r="G274" s="24">
        <v>1020</v>
      </c>
      <c r="H274" s="15">
        <v>29.83</v>
      </c>
      <c r="I274" s="15">
        <v>100.2</v>
      </c>
      <c r="J274" s="15">
        <v>821.15</v>
      </c>
      <c r="K274" s="18">
        <v>30200</v>
      </c>
      <c r="L274" s="15">
        <v>21.05</v>
      </c>
      <c r="M274" s="15">
        <v>-19.100000000000001</v>
      </c>
      <c r="N274" s="15">
        <v>24.94</v>
      </c>
      <c r="O274" s="24">
        <v>24300</v>
      </c>
      <c r="P274" s="17">
        <v>238360</v>
      </c>
      <c r="Q274" s="16">
        <v>153800</v>
      </c>
      <c r="R274" s="19" t="s">
        <v>76</v>
      </c>
      <c r="S274" s="20" t="s">
        <v>39</v>
      </c>
      <c r="T274">
        <v>30953.15</v>
      </c>
    </row>
    <row r="275" spans="1:20" x14ac:dyDescent="0.25">
      <c r="A275" t="str">
        <f>(COUNTIF($K$2:K275,K275))&amp;K275</f>
        <v>1730300</v>
      </c>
      <c r="B275" s="34" t="s">
        <v>85</v>
      </c>
      <c r="C275" s="13" t="s">
        <v>40</v>
      </c>
      <c r="D275" s="14" t="s">
        <v>76</v>
      </c>
      <c r="E275" s="16">
        <v>594</v>
      </c>
      <c r="F275" s="17">
        <v>4860</v>
      </c>
      <c r="G275" s="24">
        <v>2700</v>
      </c>
      <c r="H275" s="15">
        <v>29.19</v>
      </c>
      <c r="I275" s="15">
        <v>64.25</v>
      </c>
      <c r="J275" s="15">
        <v>693.9</v>
      </c>
      <c r="K275" s="18">
        <v>30300</v>
      </c>
      <c r="L275" s="15">
        <v>28</v>
      </c>
      <c r="M275" s="15">
        <v>-24.65</v>
      </c>
      <c r="N275" s="15">
        <v>24.23</v>
      </c>
      <c r="O275" s="24">
        <v>89920</v>
      </c>
      <c r="P275" s="17">
        <v>236220</v>
      </c>
      <c r="Q275" s="16">
        <v>197046</v>
      </c>
      <c r="R275" s="19" t="s">
        <v>76</v>
      </c>
      <c r="S275" s="20" t="s">
        <v>39</v>
      </c>
      <c r="T275">
        <v>30953.15</v>
      </c>
    </row>
    <row r="276" spans="1:20" x14ac:dyDescent="0.25">
      <c r="A276" t="str">
        <f>(COUNTIF($K$2:K276,K276))&amp;K276</f>
        <v>1730400</v>
      </c>
      <c r="B276" s="34" t="s">
        <v>85</v>
      </c>
      <c r="C276" s="13" t="s">
        <v>40</v>
      </c>
      <c r="D276" s="14" t="s">
        <v>76</v>
      </c>
      <c r="E276" s="16">
        <v>888</v>
      </c>
      <c r="F276" s="17">
        <v>2060</v>
      </c>
      <c r="G276" s="24">
        <v>660</v>
      </c>
      <c r="H276" s="15">
        <v>31.26</v>
      </c>
      <c r="I276" s="15">
        <v>40.700000000000003</v>
      </c>
      <c r="J276" s="15">
        <v>594.04999999999995</v>
      </c>
      <c r="K276" s="18">
        <v>30400</v>
      </c>
      <c r="L276" s="15">
        <v>39.450000000000003</v>
      </c>
      <c r="M276" s="15">
        <v>-30.3</v>
      </c>
      <c r="N276" s="15">
        <v>23.73</v>
      </c>
      <c r="O276" s="24">
        <v>155140</v>
      </c>
      <c r="P276" s="17">
        <v>286460</v>
      </c>
      <c r="Q276" s="16">
        <v>291352</v>
      </c>
      <c r="R276" s="19" t="s">
        <v>76</v>
      </c>
      <c r="S276" s="20" t="s">
        <v>39</v>
      </c>
      <c r="T276">
        <v>30953.15</v>
      </c>
    </row>
    <row r="277" spans="1:20" x14ac:dyDescent="0.25">
      <c r="A277" t="str">
        <f>(COUNTIF($K$2:K277,K277))&amp;K277</f>
        <v>1730500</v>
      </c>
      <c r="B277" s="34" t="s">
        <v>85</v>
      </c>
      <c r="C277" s="13" t="s">
        <v>40</v>
      </c>
      <c r="D277" s="14" t="s">
        <v>76</v>
      </c>
      <c r="E277" s="16">
        <v>13018</v>
      </c>
      <c r="F277" s="17">
        <v>56240</v>
      </c>
      <c r="G277" s="24">
        <v>8220</v>
      </c>
      <c r="H277" s="15">
        <v>24.24</v>
      </c>
      <c r="I277" s="15">
        <v>40.25</v>
      </c>
      <c r="J277" s="15">
        <v>513.79999999999995</v>
      </c>
      <c r="K277" s="18">
        <v>30500</v>
      </c>
      <c r="L277" s="15">
        <v>54.45</v>
      </c>
      <c r="M277" s="15">
        <v>-37.799999999999997</v>
      </c>
      <c r="N277" s="15">
        <v>23.21</v>
      </c>
      <c r="O277" s="24">
        <v>355260</v>
      </c>
      <c r="P277" s="17">
        <v>893600</v>
      </c>
      <c r="Q277" s="16">
        <v>623881</v>
      </c>
      <c r="R277" s="19" t="s">
        <v>76</v>
      </c>
      <c r="S277" s="20" t="s">
        <v>39</v>
      </c>
      <c r="T277">
        <v>30953.15</v>
      </c>
    </row>
    <row r="278" spans="1:20" x14ac:dyDescent="0.25">
      <c r="A278" t="str">
        <f>(COUNTIF($K$2:K278,K278))&amp;K278</f>
        <v>1730600</v>
      </c>
      <c r="B278" s="34" t="s">
        <v>85</v>
      </c>
      <c r="C278" s="13" t="s">
        <v>40</v>
      </c>
      <c r="D278" s="14" t="s">
        <v>76</v>
      </c>
      <c r="E278" s="16">
        <v>10483</v>
      </c>
      <c r="F278" s="17">
        <v>19540</v>
      </c>
      <c r="G278" s="24">
        <v>3160</v>
      </c>
      <c r="H278" s="15">
        <v>24.32</v>
      </c>
      <c r="I278" s="15">
        <v>31.9</v>
      </c>
      <c r="J278" s="15">
        <v>435.45</v>
      </c>
      <c r="K278" s="18">
        <v>30600</v>
      </c>
      <c r="L278" s="15">
        <v>73.75</v>
      </c>
      <c r="M278" s="15">
        <v>-44.5</v>
      </c>
      <c r="N278" s="15">
        <v>22.73</v>
      </c>
      <c r="O278" s="24">
        <v>235060</v>
      </c>
      <c r="P278" s="17">
        <v>408880</v>
      </c>
      <c r="Q278" s="16">
        <v>361353</v>
      </c>
      <c r="R278" s="19" t="s">
        <v>76</v>
      </c>
      <c r="S278" s="20" t="s">
        <v>39</v>
      </c>
      <c r="T278">
        <v>30953.15</v>
      </c>
    </row>
    <row r="279" spans="1:20" x14ac:dyDescent="0.25">
      <c r="A279" t="str">
        <f>(COUNTIF($K$2:K279,K279))&amp;K279</f>
        <v>1730700</v>
      </c>
      <c r="B279" s="34" t="s">
        <v>85</v>
      </c>
      <c r="C279" s="13" t="s">
        <v>40</v>
      </c>
      <c r="D279" s="14" t="s">
        <v>76</v>
      </c>
      <c r="E279" s="16">
        <v>46958</v>
      </c>
      <c r="F279" s="17">
        <v>54980</v>
      </c>
      <c r="G279" s="24">
        <v>26780</v>
      </c>
      <c r="H279" s="15">
        <v>23.48</v>
      </c>
      <c r="I279" s="15">
        <v>35.4</v>
      </c>
      <c r="J279" s="15">
        <v>367.85</v>
      </c>
      <c r="K279" s="18">
        <v>30700</v>
      </c>
      <c r="L279" s="15">
        <v>99.15</v>
      </c>
      <c r="M279" s="15">
        <v>-53.05</v>
      </c>
      <c r="N279" s="15">
        <v>22.33</v>
      </c>
      <c r="O279" s="24">
        <v>303280</v>
      </c>
      <c r="P279" s="17">
        <v>475760</v>
      </c>
      <c r="Q279" s="16">
        <v>427172</v>
      </c>
      <c r="R279" s="19" t="s">
        <v>76</v>
      </c>
      <c r="S279" s="20" t="s">
        <v>39</v>
      </c>
      <c r="T279">
        <v>30953.15</v>
      </c>
    </row>
    <row r="280" spans="1:20" x14ac:dyDescent="0.25">
      <c r="A280" t="str">
        <f>(COUNTIF($K$2:K280,K280))&amp;K280</f>
        <v>1730800</v>
      </c>
      <c r="B280" s="34" t="s">
        <v>85</v>
      </c>
      <c r="C280" s="13" t="s">
        <v>40</v>
      </c>
      <c r="D280" s="14" t="s">
        <v>76</v>
      </c>
      <c r="E280" s="16">
        <v>152907</v>
      </c>
      <c r="F280" s="17">
        <v>209360</v>
      </c>
      <c r="G280" s="24">
        <v>66740</v>
      </c>
      <c r="H280" s="15">
        <v>22.99</v>
      </c>
      <c r="I280" s="15">
        <v>22.3</v>
      </c>
      <c r="J280" s="15">
        <v>295.95</v>
      </c>
      <c r="K280" s="18">
        <v>30800</v>
      </c>
      <c r="L280" s="15">
        <v>131.25</v>
      </c>
      <c r="M280" s="15">
        <v>-59.9</v>
      </c>
      <c r="N280" s="15">
        <v>21.91</v>
      </c>
      <c r="O280" s="24">
        <v>319480</v>
      </c>
      <c r="P280" s="17">
        <v>577120</v>
      </c>
      <c r="Q280" s="16">
        <v>438557</v>
      </c>
      <c r="R280" s="19" t="s">
        <v>76</v>
      </c>
      <c r="S280" s="20" t="s">
        <v>39</v>
      </c>
      <c r="T280">
        <v>30953.15</v>
      </c>
    </row>
    <row r="281" spans="1:20" x14ac:dyDescent="0.25">
      <c r="A281" t="str">
        <f>(COUNTIF($K$2:K281,K281))&amp;K281</f>
        <v>1730900</v>
      </c>
      <c r="B281" s="34" t="s">
        <v>85</v>
      </c>
      <c r="C281" s="13" t="s">
        <v>40</v>
      </c>
      <c r="D281" s="14" t="s">
        <v>76</v>
      </c>
      <c r="E281" s="16">
        <v>270714</v>
      </c>
      <c r="F281" s="17">
        <v>389240</v>
      </c>
      <c r="G281" s="24">
        <v>169040</v>
      </c>
      <c r="H281" s="15">
        <v>22.23</v>
      </c>
      <c r="I281" s="15">
        <v>13</v>
      </c>
      <c r="J281" s="15">
        <v>233.85</v>
      </c>
      <c r="K281" s="18">
        <v>30900</v>
      </c>
      <c r="L281" s="15">
        <v>171.4</v>
      </c>
      <c r="M281" s="15">
        <v>-65.099999999999994</v>
      </c>
      <c r="N281" s="15">
        <v>21.47</v>
      </c>
      <c r="O281" s="24">
        <v>320620</v>
      </c>
      <c r="P281" s="17">
        <v>529340</v>
      </c>
      <c r="Q281" s="16">
        <v>375156</v>
      </c>
      <c r="R281" s="19" t="s">
        <v>76</v>
      </c>
      <c r="S281" s="20" t="s">
        <v>39</v>
      </c>
      <c r="T281">
        <v>30953.15</v>
      </c>
    </row>
    <row r="282" spans="1:20" ht="15.75" x14ac:dyDescent="0.25">
      <c r="A282" t="str">
        <f>(COUNTIF($K$2:K282,K282))&amp;K282</f>
        <v>1731000</v>
      </c>
      <c r="B282" s="34" t="s">
        <v>85</v>
      </c>
      <c r="C282" s="13" t="s">
        <v>40</v>
      </c>
      <c r="D282" s="14" t="s">
        <v>76</v>
      </c>
      <c r="E282" s="16">
        <v>595174</v>
      </c>
      <c r="F282" s="17">
        <v>1058000</v>
      </c>
      <c r="G282" s="24">
        <v>279740</v>
      </c>
      <c r="H282" s="15">
        <v>21.97</v>
      </c>
      <c r="I282" s="15">
        <v>4.75</v>
      </c>
      <c r="J282" s="15">
        <v>182.55</v>
      </c>
      <c r="K282" s="21">
        <v>31000</v>
      </c>
      <c r="L282" s="15">
        <v>219</v>
      </c>
      <c r="M282" s="15">
        <v>-72.95</v>
      </c>
      <c r="N282" s="15">
        <v>21.34</v>
      </c>
      <c r="O282" s="24">
        <v>332700</v>
      </c>
      <c r="P282" s="17">
        <v>783920</v>
      </c>
      <c r="Q282" s="16">
        <v>365936</v>
      </c>
      <c r="R282" s="19" t="s">
        <v>76</v>
      </c>
      <c r="S282" s="20" t="s">
        <v>39</v>
      </c>
      <c r="T282">
        <v>30953.15</v>
      </c>
    </row>
    <row r="283" spans="1:20" x14ac:dyDescent="0.25">
      <c r="A283" t="str">
        <f>(COUNTIF($K$2:K283,K283))&amp;K283</f>
        <v>1731100</v>
      </c>
      <c r="B283" s="34" t="s">
        <v>85</v>
      </c>
      <c r="C283" s="13" t="s">
        <v>40</v>
      </c>
      <c r="D283" s="14" t="s">
        <v>76</v>
      </c>
      <c r="E283" s="16">
        <v>371437</v>
      </c>
      <c r="F283" s="17">
        <v>495160</v>
      </c>
      <c r="G283" s="24">
        <v>125240</v>
      </c>
      <c r="H283" s="15">
        <v>21.92</v>
      </c>
      <c r="I283" s="15">
        <v>0.3</v>
      </c>
      <c r="J283" s="15">
        <v>140.55000000000001</v>
      </c>
      <c r="K283" s="18">
        <v>31100</v>
      </c>
      <c r="L283" s="15">
        <v>273.14999999999998</v>
      </c>
      <c r="M283" s="15">
        <v>-80.3</v>
      </c>
      <c r="N283" s="15">
        <v>21.09</v>
      </c>
      <c r="O283" s="24">
        <v>40720</v>
      </c>
      <c r="P283" s="17">
        <v>144980</v>
      </c>
      <c r="Q283" s="16">
        <v>83431</v>
      </c>
      <c r="R283" s="19" t="s">
        <v>76</v>
      </c>
      <c r="S283" s="20" t="s">
        <v>39</v>
      </c>
      <c r="T283">
        <v>30953.15</v>
      </c>
    </row>
    <row r="284" spans="1:20" x14ac:dyDescent="0.25">
      <c r="A284" t="str">
        <f>(COUNTIF($K$2:K284,K284))&amp;K284</f>
        <v>1731200</v>
      </c>
      <c r="B284" s="34" t="s">
        <v>85</v>
      </c>
      <c r="C284" s="13" t="s">
        <v>39</v>
      </c>
      <c r="D284" s="14" t="s">
        <v>76</v>
      </c>
      <c r="E284" s="16">
        <v>567547</v>
      </c>
      <c r="F284" s="17">
        <v>703700</v>
      </c>
      <c r="G284" s="24">
        <v>144300</v>
      </c>
      <c r="H284" s="15">
        <v>21.97</v>
      </c>
      <c r="I284" s="15">
        <v>-4.25</v>
      </c>
      <c r="J284" s="15">
        <v>106.6</v>
      </c>
      <c r="K284" s="18">
        <v>31200</v>
      </c>
      <c r="L284" s="15">
        <v>344.3</v>
      </c>
      <c r="M284" s="15">
        <v>-80.95</v>
      </c>
      <c r="N284" s="15">
        <v>21.31</v>
      </c>
      <c r="O284" s="24">
        <v>16700</v>
      </c>
      <c r="P284" s="17">
        <v>121800</v>
      </c>
      <c r="Q284" s="16">
        <v>46524</v>
      </c>
      <c r="R284" s="19" t="s">
        <v>76</v>
      </c>
      <c r="S284" s="20" t="s">
        <v>39</v>
      </c>
      <c r="T284">
        <v>30953.15</v>
      </c>
    </row>
    <row r="285" spans="1:20" x14ac:dyDescent="0.25">
      <c r="A285" t="str">
        <f>(COUNTIF($K$2:K285,K285))&amp;K285</f>
        <v>1731300</v>
      </c>
      <c r="B285" s="34" t="s">
        <v>85</v>
      </c>
      <c r="C285" s="13" t="s">
        <v>39</v>
      </c>
      <c r="D285" s="14" t="s">
        <v>76</v>
      </c>
      <c r="E285" s="16">
        <v>402985</v>
      </c>
      <c r="F285" s="17">
        <v>625820</v>
      </c>
      <c r="G285" s="24">
        <v>178140</v>
      </c>
      <c r="H285" s="15">
        <v>22.01</v>
      </c>
      <c r="I285" s="15">
        <v>-6.55</v>
      </c>
      <c r="J285" s="15">
        <v>79</v>
      </c>
      <c r="K285" s="18">
        <v>31300</v>
      </c>
      <c r="L285" s="15">
        <v>417</v>
      </c>
      <c r="M285" s="15">
        <v>-91.7</v>
      </c>
      <c r="N285" s="15">
        <v>21.05</v>
      </c>
      <c r="O285" s="24">
        <v>-8800</v>
      </c>
      <c r="P285" s="17">
        <v>94380</v>
      </c>
      <c r="Q285" s="16">
        <v>12316</v>
      </c>
      <c r="R285" s="19" t="s">
        <v>77</v>
      </c>
      <c r="S285" s="20" t="s">
        <v>37</v>
      </c>
      <c r="T285">
        <v>30953.15</v>
      </c>
    </row>
    <row r="286" spans="1:20" x14ac:dyDescent="0.25">
      <c r="A286" t="str">
        <f>(COUNTIF($K$2:K286,K286))&amp;K286</f>
        <v>1731400</v>
      </c>
      <c r="B286" s="34" t="s">
        <v>85</v>
      </c>
      <c r="C286" s="13" t="s">
        <v>39</v>
      </c>
      <c r="D286" s="14" t="s">
        <v>76</v>
      </c>
      <c r="E286" s="16">
        <v>355465</v>
      </c>
      <c r="F286" s="17">
        <v>544980</v>
      </c>
      <c r="G286" s="24">
        <v>151820</v>
      </c>
      <c r="H286" s="15">
        <v>22.13</v>
      </c>
      <c r="I286" s="15">
        <v>-7.75</v>
      </c>
      <c r="J286" s="15">
        <v>58.1</v>
      </c>
      <c r="K286" s="18">
        <v>31400</v>
      </c>
      <c r="L286" s="15">
        <v>500</v>
      </c>
      <c r="M286" s="15">
        <v>-81.95</v>
      </c>
      <c r="N286" s="15">
        <v>20.55</v>
      </c>
      <c r="O286" s="24">
        <v>3800</v>
      </c>
      <c r="P286" s="17">
        <v>54280</v>
      </c>
      <c r="Q286" s="16">
        <v>4144</v>
      </c>
      <c r="R286" s="19" t="s">
        <v>76</v>
      </c>
      <c r="S286" s="20" t="s">
        <v>39</v>
      </c>
      <c r="T286">
        <v>30953.15</v>
      </c>
    </row>
    <row r="287" spans="1:20" x14ac:dyDescent="0.25">
      <c r="A287" t="str">
        <f>(COUNTIF($K$2:K287,K287))&amp;K287</f>
        <v>1731500</v>
      </c>
      <c r="B287" s="34" t="s">
        <v>85</v>
      </c>
      <c r="C287" s="13" t="s">
        <v>39</v>
      </c>
      <c r="D287" s="14" t="s">
        <v>76</v>
      </c>
      <c r="E287" s="16">
        <v>526418</v>
      </c>
      <c r="F287" s="17">
        <v>1437080</v>
      </c>
      <c r="G287" s="24">
        <v>242720</v>
      </c>
      <c r="H287" s="15">
        <v>22.41</v>
      </c>
      <c r="I287" s="15">
        <v>-7.5</v>
      </c>
      <c r="J287" s="15">
        <v>42.45</v>
      </c>
      <c r="K287" s="18">
        <v>31500</v>
      </c>
      <c r="L287" s="15">
        <v>582.9</v>
      </c>
      <c r="M287" s="15">
        <v>-84.4</v>
      </c>
      <c r="N287" s="15">
        <v>18.47</v>
      </c>
      <c r="O287" s="24">
        <v>4340</v>
      </c>
      <c r="P287" s="17">
        <v>472440</v>
      </c>
      <c r="Q287" s="16">
        <v>6537</v>
      </c>
      <c r="R287" s="19" t="s">
        <v>76</v>
      </c>
      <c r="S287" s="20" t="s">
        <v>39</v>
      </c>
      <c r="T287">
        <v>30953.15</v>
      </c>
    </row>
    <row r="288" spans="1:20" x14ac:dyDescent="0.25">
      <c r="A288" t="str">
        <f>(COUNTIF($K$2:K288,K288))&amp;K288</f>
        <v>1731600</v>
      </c>
      <c r="B288" s="34" t="s">
        <v>85</v>
      </c>
      <c r="C288" s="13" t="s">
        <v>39</v>
      </c>
      <c r="D288" s="14" t="s">
        <v>76</v>
      </c>
      <c r="E288" s="16">
        <v>207191</v>
      </c>
      <c r="F288" s="17">
        <v>356900</v>
      </c>
      <c r="G288" s="24">
        <v>72680</v>
      </c>
      <c r="H288" s="15">
        <v>22.58</v>
      </c>
      <c r="I288" s="15">
        <v>-7.4</v>
      </c>
      <c r="J288" s="15">
        <v>30.35</v>
      </c>
      <c r="K288" s="18">
        <v>31600</v>
      </c>
      <c r="L288" s="15">
        <v>646.79999999999995</v>
      </c>
      <c r="M288" s="15">
        <v>-114.05</v>
      </c>
      <c r="N288" s="15">
        <v>12.8</v>
      </c>
      <c r="O288" s="24">
        <v>-20</v>
      </c>
      <c r="P288" s="17">
        <v>17640</v>
      </c>
      <c r="Q288" s="16">
        <v>282</v>
      </c>
      <c r="R288" s="19" t="s">
        <v>77</v>
      </c>
      <c r="S288" s="20" t="s">
        <v>37</v>
      </c>
      <c r="T288">
        <v>30953.15</v>
      </c>
    </row>
    <row r="289" spans="1:20" x14ac:dyDescent="0.25">
      <c r="A289" t="str">
        <f>(COUNTIF($K$2:K289,K289))&amp;K289</f>
        <v>1731700</v>
      </c>
      <c r="B289" s="34" t="s">
        <v>85</v>
      </c>
      <c r="C289" s="13" t="s">
        <v>39</v>
      </c>
      <c r="D289" s="14" t="s">
        <v>76</v>
      </c>
      <c r="E289" s="16">
        <v>137538</v>
      </c>
      <c r="F289" s="17">
        <v>392580</v>
      </c>
      <c r="G289" s="24">
        <v>34620</v>
      </c>
      <c r="H289" s="15">
        <v>22.61</v>
      </c>
      <c r="I289" s="15">
        <v>-7.05</v>
      </c>
      <c r="J289" s="15">
        <v>21.1</v>
      </c>
      <c r="K289" s="18">
        <v>31700</v>
      </c>
      <c r="L289" s="15">
        <v>768.55</v>
      </c>
      <c r="M289" s="15">
        <v>-75.150000000000006</v>
      </c>
      <c r="N289" s="15">
        <v>14.76</v>
      </c>
      <c r="O289" s="24">
        <v>-1240</v>
      </c>
      <c r="P289" s="17">
        <v>10100</v>
      </c>
      <c r="Q289" s="16">
        <v>317</v>
      </c>
      <c r="R289" s="19" t="s">
        <v>77</v>
      </c>
      <c r="S289" s="20" t="s">
        <v>37</v>
      </c>
      <c r="T289">
        <v>30953.15</v>
      </c>
    </row>
    <row r="290" spans="1:20" x14ac:dyDescent="0.25">
      <c r="A290" t="str">
        <f>(COUNTIF($K$2:K290,K290))&amp;K290</f>
        <v>17PCR</v>
      </c>
      <c r="B290" s="34" t="s">
        <v>85</v>
      </c>
      <c r="C290" s="41">
        <v>0.84151928387232877</v>
      </c>
      <c r="E290" s="33"/>
      <c r="F290" s="39">
        <v>6351940</v>
      </c>
      <c r="G290" s="40"/>
      <c r="H290" s="38"/>
      <c r="I290" s="38"/>
      <c r="J290" s="38"/>
      <c r="K290" s="56" t="s">
        <v>57</v>
      </c>
      <c r="L290" s="38"/>
      <c r="M290" s="38"/>
      <c r="N290" s="38"/>
      <c r="P290" s="40">
        <v>5345280</v>
      </c>
      <c r="Q290" s="33"/>
      <c r="R290" s="38"/>
      <c r="S290" s="38"/>
    </row>
    <row r="291" spans="1:20" x14ac:dyDescent="0.25">
      <c r="A291" t="str">
        <f>(COUNTIF($K$2:K291,K291))&amp;K291</f>
        <v>1830200</v>
      </c>
      <c r="B291" s="34" t="s">
        <v>86</v>
      </c>
      <c r="C291" s="13" t="s">
        <v>74</v>
      </c>
      <c r="D291" s="14" t="s">
        <v>76</v>
      </c>
      <c r="E291" s="16">
        <v>168</v>
      </c>
      <c r="F291" s="17">
        <v>1440</v>
      </c>
      <c r="G291" s="24">
        <v>1020</v>
      </c>
      <c r="H291" s="15">
        <v>29.83</v>
      </c>
      <c r="I291" s="15">
        <v>100.2</v>
      </c>
      <c r="J291" s="15">
        <v>821.15</v>
      </c>
      <c r="K291" s="18">
        <v>30200</v>
      </c>
      <c r="L291" s="15">
        <v>20.75</v>
      </c>
      <c r="M291" s="15">
        <v>-19.399999999999999</v>
      </c>
      <c r="N291" s="15">
        <v>24.94</v>
      </c>
      <c r="O291" s="24">
        <v>26280</v>
      </c>
      <c r="P291" s="17">
        <v>240340</v>
      </c>
      <c r="Q291" s="16">
        <v>154484</v>
      </c>
      <c r="R291" s="19" t="s">
        <v>76</v>
      </c>
      <c r="S291" s="20" t="s">
        <v>39</v>
      </c>
      <c r="T291">
        <v>30958.799999999999</v>
      </c>
    </row>
    <row r="292" spans="1:20" x14ac:dyDescent="0.25">
      <c r="A292" t="str">
        <f>(COUNTIF($K$2:K292,K292))&amp;K292</f>
        <v>1830300</v>
      </c>
      <c r="B292" s="34" t="s">
        <v>86</v>
      </c>
      <c r="C292" s="13" t="s">
        <v>40</v>
      </c>
      <c r="D292" s="14" t="s">
        <v>76</v>
      </c>
      <c r="E292" s="16">
        <v>594</v>
      </c>
      <c r="F292" s="17">
        <v>4860</v>
      </c>
      <c r="G292" s="24">
        <v>2700</v>
      </c>
      <c r="H292" s="15">
        <v>29.19</v>
      </c>
      <c r="I292" s="15">
        <v>64.25</v>
      </c>
      <c r="J292" s="15">
        <v>693.9</v>
      </c>
      <c r="K292" s="18">
        <v>30300</v>
      </c>
      <c r="L292" s="15">
        <v>28.4</v>
      </c>
      <c r="M292" s="15">
        <v>-24.25</v>
      </c>
      <c r="N292" s="15">
        <v>24.23</v>
      </c>
      <c r="O292" s="24">
        <v>88460</v>
      </c>
      <c r="P292" s="17">
        <v>234760</v>
      </c>
      <c r="Q292" s="16">
        <v>197841</v>
      </c>
      <c r="R292" s="19" t="s">
        <v>76</v>
      </c>
      <c r="S292" s="20" t="s">
        <v>39</v>
      </c>
      <c r="T292">
        <v>30958.799999999999</v>
      </c>
    </row>
    <row r="293" spans="1:20" x14ac:dyDescent="0.25">
      <c r="A293" t="str">
        <f>(COUNTIF($K$2:K293,K293))&amp;K293</f>
        <v>1830400</v>
      </c>
      <c r="B293" s="34" t="s">
        <v>86</v>
      </c>
      <c r="C293" s="13" t="s">
        <v>40</v>
      </c>
      <c r="D293" s="14" t="s">
        <v>76</v>
      </c>
      <c r="E293" s="16">
        <v>889</v>
      </c>
      <c r="F293" s="17">
        <v>1980</v>
      </c>
      <c r="G293" s="24">
        <v>580</v>
      </c>
      <c r="H293" s="15">
        <v>31.26</v>
      </c>
      <c r="I293" s="15">
        <v>66.95</v>
      </c>
      <c r="J293" s="15">
        <v>620.29999999999995</v>
      </c>
      <c r="K293" s="18">
        <v>30400</v>
      </c>
      <c r="L293" s="15">
        <v>39.6</v>
      </c>
      <c r="M293" s="15">
        <v>-30.15</v>
      </c>
      <c r="N293" s="15">
        <v>23.73</v>
      </c>
      <c r="O293" s="24">
        <v>155900</v>
      </c>
      <c r="P293" s="17">
        <v>287220</v>
      </c>
      <c r="Q293" s="16">
        <v>292728</v>
      </c>
      <c r="R293" s="19" t="s">
        <v>76</v>
      </c>
      <c r="S293" s="20" t="s">
        <v>39</v>
      </c>
      <c r="T293">
        <v>30958.799999999999</v>
      </c>
    </row>
    <row r="294" spans="1:20" x14ac:dyDescent="0.25">
      <c r="A294" t="str">
        <f>(COUNTIF($K$2:K294,K294))&amp;K294</f>
        <v>1830500</v>
      </c>
      <c r="B294" s="34" t="s">
        <v>86</v>
      </c>
      <c r="C294" s="13" t="s">
        <v>40</v>
      </c>
      <c r="D294" s="14" t="s">
        <v>76</v>
      </c>
      <c r="E294" s="16">
        <v>13060</v>
      </c>
      <c r="F294" s="17">
        <v>56140</v>
      </c>
      <c r="G294" s="24">
        <v>8120</v>
      </c>
      <c r="H294" s="15">
        <v>24.24</v>
      </c>
      <c r="I294" s="15">
        <v>50.45</v>
      </c>
      <c r="J294" s="15">
        <v>524</v>
      </c>
      <c r="K294" s="18">
        <v>30500</v>
      </c>
      <c r="L294" s="15">
        <v>54.35</v>
      </c>
      <c r="M294" s="15">
        <v>-37.9</v>
      </c>
      <c r="N294" s="15">
        <v>23.21</v>
      </c>
      <c r="O294" s="24">
        <v>343720</v>
      </c>
      <c r="P294" s="17">
        <v>882060</v>
      </c>
      <c r="Q294" s="16">
        <v>627814</v>
      </c>
      <c r="R294" s="19" t="s">
        <v>76</v>
      </c>
      <c r="S294" s="20" t="s">
        <v>39</v>
      </c>
      <c r="T294">
        <v>30958.799999999999</v>
      </c>
    </row>
    <row r="295" spans="1:20" x14ac:dyDescent="0.25">
      <c r="A295" t="str">
        <f>(COUNTIF($K$2:K295,K295))&amp;K295</f>
        <v>1830600</v>
      </c>
      <c r="B295" s="34" t="s">
        <v>86</v>
      </c>
      <c r="C295" s="13" t="s">
        <v>40</v>
      </c>
      <c r="D295" s="14" t="s">
        <v>76</v>
      </c>
      <c r="E295" s="16">
        <v>10509</v>
      </c>
      <c r="F295" s="17">
        <v>20100</v>
      </c>
      <c r="G295" s="24">
        <v>3720</v>
      </c>
      <c r="H295" s="15">
        <v>24.32</v>
      </c>
      <c r="I295" s="15">
        <v>35.049999999999997</v>
      </c>
      <c r="J295" s="15">
        <v>438.6</v>
      </c>
      <c r="K295" s="18">
        <v>30600</v>
      </c>
      <c r="L295" s="15">
        <v>73.849999999999994</v>
      </c>
      <c r="M295" s="15">
        <v>-44.4</v>
      </c>
      <c r="N295" s="15">
        <v>22.73</v>
      </c>
      <c r="O295" s="24">
        <v>243120</v>
      </c>
      <c r="P295" s="17">
        <v>416940</v>
      </c>
      <c r="Q295" s="16">
        <v>363496</v>
      </c>
      <c r="R295" s="19" t="s">
        <v>76</v>
      </c>
      <c r="S295" s="20" t="s">
        <v>39</v>
      </c>
      <c r="T295">
        <v>30958.799999999999</v>
      </c>
    </row>
    <row r="296" spans="1:20" x14ac:dyDescent="0.25">
      <c r="A296" t="str">
        <f>(COUNTIF($K$2:K296,K296))&amp;K296</f>
        <v>1830700</v>
      </c>
      <c r="B296" s="34" t="s">
        <v>86</v>
      </c>
      <c r="C296" s="13" t="s">
        <v>40</v>
      </c>
      <c r="D296" s="14" t="s">
        <v>76</v>
      </c>
      <c r="E296" s="16">
        <v>47019</v>
      </c>
      <c r="F296" s="17">
        <v>57180</v>
      </c>
      <c r="G296" s="24">
        <v>28980</v>
      </c>
      <c r="H296" s="15">
        <v>23.48</v>
      </c>
      <c r="I296" s="15">
        <v>32.15</v>
      </c>
      <c r="J296" s="15">
        <v>364.6</v>
      </c>
      <c r="K296" s="18">
        <v>30700</v>
      </c>
      <c r="L296" s="15">
        <v>98.95</v>
      </c>
      <c r="M296" s="15">
        <v>-53.25</v>
      </c>
      <c r="N296" s="15">
        <v>22.33</v>
      </c>
      <c r="O296" s="24">
        <v>300940</v>
      </c>
      <c r="P296" s="17">
        <v>473420</v>
      </c>
      <c r="Q296" s="16">
        <v>429957</v>
      </c>
      <c r="R296" s="19" t="s">
        <v>76</v>
      </c>
      <c r="S296" s="20" t="s">
        <v>39</v>
      </c>
      <c r="T296">
        <v>30958.799999999999</v>
      </c>
    </row>
    <row r="297" spans="1:20" x14ac:dyDescent="0.25">
      <c r="A297" t="str">
        <f>(COUNTIF($K$2:K297,K297))&amp;K297</f>
        <v>1830800</v>
      </c>
      <c r="B297" s="34" t="s">
        <v>86</v>
      </c>
      <c r="C297" s="13" t="s">
        <v>40</v>
      </c>
      <c r="D297" s="14" t="s">
        <v>76</v>
      </c>
      <c r="E297" s="16">
        <v>153371</v>
      </c>
      <c r="F297" s="17">
        <v>210020</v>
      </c>
      <c r="G297" s="24">
        <v>67400</v>
      </c>
      <c r="H297" s="15">
        <v>22.99</v>
      </c>
      <c r="I297" s="15">
        <v>23.05</v>
      </c>
      <c r="J297" s="15">
        <v>296.7</v>
      </c>
      <c r="K297" s="18">
        <v>30800</v>
      </c>
      <c r="L297" s="15">
        <v>130</v>
      </c>
      <c r="M297" s="15">
        <v>-61.15</v>
      </c>
      <c r="N297" s="15">
        <v>21.91</v>
      </c>
      <c r="O297" s="24">
        <v>307560</v>
      </c>
      <c r="P297" s="17">
        <v>565200</v>
      </c>
      <c r="Q297" s="16">
        <v>440705</v>
      </c>
      <c r="R297" s="19" t="s">
        <v>76</v>
      </c>
      <c r="S297" s="20" t="s">
        <v>39</v>
      </c>
      <c r="T297">
        <v>30958.799999999999</v>
      </c>
    </row>
    <row r="298" spans="1:20" x14ac:dyDescent="0.25">
      <c r="A298" t="str">
        <f>(COUNTIF($K$2:K298,K298))&amp;K298</f>
        <v>1830900</v>
      </c>
      <c r="B298" s="34" t="s">
        <v>86</v>
      </c>
      <c r="C298" s="13" t="s">
        <v>40</v>
      </c>
      <c r="D298" s="14" t="s">
        <v>76</v>
      </c>
      <c r="E298" s="16">
        <v>271571</v>
      </c>
      <c r="F298" s="17">
        <v>393900</v>
      </c>
      <c r="G298" s="24">
        <v>173700</v>
      </c>
      <c r="H298" s="15">
        <v>22.23</v>
      </c>
      <c r="I298" s="15">
        <v>13</v>
      </c>
      <c r="J298" s="15">
        <v>233.85</v>
      </c>
      <c r="K298" s="18">
        <v>30900</v>
      </c>
      <c r="L298" s="15">
        <v>169</v>
      </c>
      <c r="M298" s="15">
        <v>-67.5</v>
      </c>
      <c r="N298" s="15">
        <v>21.47</v>
      </c>
      <c r="O298" s="24">
        <v>314660</v>
      </c>
      <c r="P298" s="17">
        <v>523380</v>
      </c>
      <c r="Q298" s="16">
        <v>376758</v>
      </c>
      <c r="R298" s="19" t="s">
        <v>76</v>
      </c>
      <c r="S298" s="20" t="s">
        <v>39</v>
      </c>
      <c r="T298">
        <v>30958.799999999999</v>
      </c>
    </row>
    <row r="299" spans="1:20" ht="15.75" x14ac:dyDescent="0.25">
      <c r="A299" t="str">
        <f>(COUNTIF($K$2:K299,K299))&amp;K299</f>
        <v>1831000</v>
      </c>
      <c r="B299" s="34" t="s">
        <v>86</v>
      </c>
      <c r="C299" s="13" t="s">
        <v>40</v>
      </c>
      <c r="D299" s="14" t="s">
        <v>76</v>
      </c>
      <c r="E299" s="16">
        <v>598037</v>
      </c>
      <c r="F299" s="17">
        <v>1058520</v>
      </c>
      <c r="G299" s="24">
        <v>280260</v>
      </c>
      <c r="H299" s="15">
        <v>21.97</v>
      </c>
      <c r="I299" s="15">
        <v>4.6500000000000004</v>
      </c>
      <c r="J299" s="15">
        <v>182.45</v>
      </c>
      <c r="K299" s="21">
        <v>31000</v>
      </c>
      <c r="L299" s="15">
        <v>216.65</v>
      </c>
      <c r="M299" s="15">
        <v>-75.3</v>
      </c>
      <c r="N299" s="15">
        <v>21.34</v>
      </c>
      <c r="O299" s="24">
        <v>326300</v>
      </c>
      <c r="P299" s="17">
        <v>777520</v>
      </c>
      <c r="Q299" s="16">
        <v>367729</v>
      </c>
      <c r="R299" s="19" t="s">
        <v>76</v>
      </c>
      <c r="S299" s="20" t="s">
        <v>39</v>
      </c>
      <c r="T299">
        <v>30958.799999999999</v>
      </c>
    </row>
    <row r="300" spans="1:20" x14ac:dyDescent="0.25">
      <c r="A300" t="str">
        <f>(COUNTIF($K$2:K300,K300))&amp;K300</f>
        <v>1831100</v>
      </c>
      <c r="B300" s="34" t="s">
        <v>86</v>
      </c>
      <c r="C300" s="13" t="s">
        <v>39</v>
      </c>
      <c r="D300" s="14" t="s">
        <v>76</v>
      </c>
      <c r="E300" s="16">
        <v>373590</v>
      </c>
      <c r="F300" s="17">
        <v>502440</v>
      </c>
      <c r="G300" s="24">
        <v>132520</v>
      </c>
      <c r="H300" s="15">
        <v>21.92</v>
      </c>
      <c r="I300" s="15">
        <v>-0.1</v>
      </c>
      <c r="J300" s="15">
        <v>140.15</v>
      </c>
      <c r="K300" s="18">
        <v>31100</v>
      </c>
      <c r="L300" s="15">
        <v>274.25</v>
      </c>
      <c r="M300" s="15">
        <v>-79.2</v>
      </c>
      <c r="N300" s="15">
        <v>21.09</v>
      </c>
      <c r="O300" s="24">
        <v>37700</v>
      </c>
      <c r="P300" s="17">
        <v>141960</v>
      </c>
      <c r="Q300" s="16">
        <v>83645</v>
      </c>
      <c r="R300" s="19" t="s">
        <v>76</v>
      </c>
      <c r="S300" s="20" t="s">
        <v>39</v>
      </c>
      <c r="T300">
        <v>30958.799999999999</v>
      </c>
    </row>
    <row r="301" spans="1:20" x14ac:dyDescent="0.25">
      <c r="A301" t="str">
        <f>(COUNTIF($K$2:K301,K301))&amp;K301</f>
        <v>1831200</v>
      </c>
      <c r="B301" s="34" t="s">
        <v>86</v>
      </c>
      <c r="C301" s="13" t="s">
        <v>39</v>
      </c>
      <c r="D301" s="14" t="s">
        <v>76</v>
      </c>
      <c r="E301" s="16">
        <v>569827</v>
      </c>
      <c r="F301" s="17">
        <v>703800</v>
      </c>
      <c r="G301" s="24">
        <v>144400</v>
      </c>
      <c r="H301" s="15">
        <v>21.97</v>
      </c>
      <c r="I301" s="15">
        <v>-4.0999999999999996</v>
      </c>
      <c r="J301" s="15">
        <v>106.75</v>
      </c>
      <c r="K301" s="18">
        <v>31200</v>
      </c>
      <c r="L301" s="15">
        <v>340</v>
      </c>
      <c r="M301" s="15">
        <v>-85.25</v>
      </c>
      <c r="N301" s="15">
        <v>21.31</v>
      </c>
      <c r="O301" s="24">
        <v>18120</v>
      </c>
      <c r="P301" s="17">
        <v>123220</v>
      </c>
      <c r="Q301" s="16">
        <v>46698</v>
      </c>
      <c r="R301" s="19" t="s">
        <v>76</v>
      </c>
      <c r="S301" s="20" t="s">
        <v>39</v>
      </c>
      <c r="T301">
        <v>30958.799999999999</v>
      </c>
    </row>
    <row r="302" spans="1:20" x14ac:dyDescent="0.25">
      <c r="A302" t="str">
        <f>(COUNTIF($K$2:K302,K302))&amp;K302</f>
        <v>1831300</v>
      </c>
      <c r="B302" s="34" t="s">
        <v>86</v>
      </c>
      <c r="C302" s="13" t="s">
        <v>39</v>
      </c>
      <c r="D302" s="14" t="s">
        <v>76</v>
      </c>
      <c r="E302" s="16">
        <v>404462</v>
      </c>
      <c r="F302" s="17">
        <v>625000</v>
      </c>
      <c r="G302" s="24">
        <v>177320</v>
      </c>
      <c r="H302" s="15">
        <v>22.01</v>
      </c>
      <c r="I302" s="15">
        <v>-6.5</v>
      </c>
      <c r="J302" s="15">
        <v>79.05</v>
      </c>
      <c r="K302" s="18">
        <v>31300</v>
      </c>
      <c r="L302" s="15">
        <v>412.7</v>
      </c>
      <c r="M302" s="15">
        <v>-96</v>
      </c>
      <c r="N302" s="15">
        <v>21.05</v>
      </c>
      <c r="O302" s="24">
        <v>-8740</v>
      </c>
      <c r="P302" s="17">
        <v>94440</v>
      </c>
      <c r="Q302" s="16">
        <v>12411</v>
      </c>
      <c r="R302" s="19" t="s">
        <v>77</v>
      </c>
      <c r="S302" s="20" t="s">
        <v>37</v>
      </c>
      <c r="T302">
        <v>30958.799999999999</v>
      </c>
    </row>
    <row r="303" spans="1:20" x14ac:dyDescent="0.25">
      <c r="A303" t="str">
        <f>(COUNTIF($K$2:K303,K303))&amp;K303</f>
        <v>1831400</v>
      </c>
      <c r="B303" s="34" t="s">
        <v>86</v>
      </c>
      <c r="C303" s="13" t="s">
        <v>39</v>
      </c>
      <c r="D303" s="14" t="s">
        <v>76</v>
      </c>
      <c r="E303" s="16">
        <v>356695</v>
      </c>
      <c r="F303" s="17">
        <v>541720</v>
      </c>
      <c r="G303" s="24">
        <v>148560</v>
      </c>
      <c r="H303" s="15">
        <v>22.13</v>
      </c>
      <c r="I303" s="15">
        <v>-8.1999999999999993</v>
      </c>
      <c r="J303" s="15">
        <v>57.65</v>
      </c>
      <c r="K303" s="18">
        <v>31400</v>
      </c>
      <c r="L303" s="15">
        <v>474</v>
      </c>
      <c r="M303" s="15">
        <v>-107.95</v>
      </c>
      <c r="N303" s="15">
        <v>20.55</v>
      </c>
      <c r="O303" s="24">
        <v>4140</v>
      </c>
      <c r="P303" s="17">
        <v>54620</v>
      </c>
      <c r="Q303" s="16">
        <v>4167</v>
      </c>
      <c r="R303" s="19" t="s">
        <v>76</v>
      </c>
      <c r="S303" s="20" t="s">
        <v>39</v>
      </c>
      <c r="T303">
        <v>30958.799999999999</v>
      </c>
    </row>
    <row r="304" spans="1:20" x14ac:dyDescent="0.25">
      <c r="A304" t="str">
        <f>(COUNTIF($K$2:K304,K304))&amp;K304</f>
        <v>1831500</v>
      </c>
      <c r="B304" s="34" t="s">
        <v>86</v>
      </c>
      <c r="C304" s="13" t="s">
        <v>39</v>
      </c>
      <c r="D304" s="14" t="s">
        <v>76</v>
      </c>
      <c r="E304" s="16">
        <v>528505</v>
      </c>
      <c r="F304" s="17">
        <v>1432420</v>
      </c>
      <c r="G304" s="24">
        <v>238060</v>
      </c>
      <c r="H304" s="15">
        <v>22.41</v>
      </c>
      <c r="I304" s="15">
        <v>-8.25</v>
      </c>
      <c r="J304" s="15">
        <v>41.7</v>
      </c>
      <c r="K304" s="18">
        <v>31500</v>
      </c>
      <c r="L304" s="15">
        <v>572.65</v>
      </c>
      <c r="M304" s="15">
        <v>-94.65</v>
      </c>
      <c r="N304" s="15">
        <v>18.47</v>
      </c>
      <c r="O304" s="24">
        <v>4340</v>
      </c>
      <c r="P304" s="17">
        <v>472440</v>
      </c>
      <c r="Q304" s="16">
        <v>6542</v>
      </c>
      <c r="R304" s="19" t="s">
        <v>76</v>
      </c>
      <c r="S304" s="20" t="s">
        <v>39</v>
      </c>
      <c r="T304">
        <v>30958.799999999999</v>
      </c>
    </row>
    <row r="305" spans="1:20" x14ac:dyDescent="0.25">
      <c r="A305" t="str">
        <f>(COUNTIF($K$2:K305,K305))&amp;K305</f>
        <v>1831600</v>
      </c>
      <c r="B305" s="34" t="s">
        <v>86</v>
      </c>
      <c r="C305" s="13" t="s">
        <v>39</v>
      </c>
      <c r="D305" s="14" t="s">
        <v>76</v>
      </c>
      <c r="E305" s="16">
        <v>207991</v>
      </c>
      <c r="F305" s="17">
        <v>356980</v>
      </c>
      <c r="G305" s="24">
        <v>72760</v>
      </c>
      <c r="H305" s="15">
        <v>22.58</v>
      </c>
      <c r="I305" s="15">
        <v>-8.25</v>
      </c>
      <c r="J305" s="15">
        <v>29.5</v>
      </c>
      <c r="K305" s="18">
        <v>31600</v>
      </c>
      <c r="L305" s="15">
        <v>646.79999999999995</v>
      </c>
      <c r="M305" s="15">
        <v>-114.05</v>
      </c>
      <c r="N305" s="15">
        <v>12.8</v>
      </c>
      <c r="O305" s="24">
        <v>-20</v>
      </c>
      <c r="P305" s="17">
        <v>17640</v>
      </c>
      <c r="Q305" s="16">
        <v>282</v>
      </c>
      <c r="R305" s="19" t="s">
        <v>77</v>
      </c>
      <c r="S305" s="20" t="s">
        <v>37</v>
      </c>
      <c r="T305">
        <v>30958.799999999999</v>
      </c>
    </row>
    <row r="306" spans="1:20" x14ac:dyDescent="0.25">
      <c r="A306" t="str">
        <f>(COUNTIF($K$2:K306,K306))&amp;K306</f>
        <v>1831700</v>
      </c>
      <c r="B306" s="34" t="s">
        <v>86</v>
      </c>
      <c r="C306" s="13" t="s">
        <v>39</v>
      </c>
      <c r="D306" s="14" t="s">
        <v>76</v>
      </c>
      <c r="E306" s="16">
        <v>138035</v>
      </c>
      <c r="F306" s="17">
        <v>380980</v>
      </c>
      <c r="G306" s="24">
        <v>23020</v>
      </c>
      <c r="H306" s="15">
        <v>22.61</v>
      </c>
      <c r="I306" s="15">
        <v>-7.1</v>
      </c>
      <c r="J306" s="15">
        <v>21.05</v>
      </c>
      <c r="K306" s="18">
        <v>31700</v>
      </c>
      <c r="L306" s="15">
        <v>768.55</v>
      </c>
      <c r="M306" s="15">
        <v>-75.150000000000006</v>
      </c>
      <c r="N306" s="15">
        <v>14.76</v>
      </c>
      <c r="O306" s="24">
        <v>-1240</v>
      </c>
      <c r="P306" s="17">
        <v>10100</v>
      </c>
      <c r="Q306" s="16">
        <v>317</v>
      </c>
      <c r="R306" s="19" t="s">
        <v>77</v>
      </c>
      <c r="S306" s="20" t="s">
        <v>37</v>
      </c>
      <c r="T306">
        <v>30958.799999999999</v>
      </c>
    </row>
    <row r="307" spans="1:20" x14ac:dyDescent="0.25">
      <c r="A307" t="str">
        <f>(COUNTIF($K$2:K307,K307))&amp;K307</f>
        <v>18PCR</v>
      </c>
      <c r="B307" s="34" t="s">
        <v>86</v>
      </c>
      <c r="C307" s="41">
        <v>0.83738113393031566</v>
      </c>
      <c r="E307" s="33"/>
      <c r="F307" s="39">
        <v>6347480</v>
      </c>
      <c r="G307" s="40"/>
      <c r="H307" s="38"/>
      <c r="I307" s="38"/>
      <c r="J307" s="38"/>
      <c r="K307" s="56" t="s">
        <v>57</v>
      </c>
      <c r="L307" s="38"/>
      <c r="M307" s="38"/>
      <c r="N307" s="38"/>
      <c r="P307" s="40">
        <v>5315260</v>
      </c>
      <c r="Q307" s="33"/>
      <c r="R307" s="38"/>
      <c r="S307" s="38"/>
    </row>
    <row r="308" spans="1:20" x14ac:dyDescent="0.25">
      <c r="A308" t="str">
        <f>(COUNTIF($K$2:K308,K308))&amp;K308</f>
        <v>1930200</v>
      </c>
      <c r="B308" s="34" t="s">
        <v>86</v>
      </c>
      <c r="C308" s="13" t="s">
        <v>74</v>
      </c>
      <c r="D308" s="14" t="s">
        <v>76</v>
      </c>
      <c r="E308" s="16">
        <v>168</v>
      </c>
      <c r="F308" s="17">
        <v>1440</v>
      </c>
      <c r="G308" s="24">
        <v>1020</v>
      </c>
      <c r="H308" s="15">
        <v>29.83</v>
      </c>
      <c r="I308" s="15">
        <v>100.2</v>
      </c>
      <c r="J308" s="15">
        <v>821.15</v>
      </c>
      <c r="K308" s="18">
        <v>30200</v>
      </c>
      <c r="L308" s="15">
        <v>20.75</v>
      </c>
      <c r="M308" s="15">
        <v>-19.399999999999999</v>
      </c>
      <c r="N308" s="15">
        <v>24.94</v>
      </c>
      <c r="O308" s="24">
        <v>26280</v>
      </c>
      <c r="P308" s="17">
        <v>240340</v>
      </c>
      <c r="Q308" s="16">
        <v>154484</v>
      </c>
      <c r="R308" s="19" t="s">
        <v>76</v>
      </c>
      <c r="S308" s="20" t="s">
        <v>39</v>
      </c>
      <c r="T308">
        <v>30958.799999999999</v>
      </c>
    </row>
    <row r="309" spans="1:20" x14ac:dyDescent="0.25">
      <c r="A309" t="str">
        <f>(COUNTIF($K$2:K309,K309))&amp;K309</f>
        <v>1930300</v>
      </c>
      <c r="B309" s="34" t="s">
        <v>86</v>
      </c>
      <c r="C309" s="13" t="s">
        <v>40</v>
      </c>
      <c r="D309" s="14" t="s">
        <v>76</v>
      </c>
      <c r="E309" s="16">
        <v>594</v>
      </c>
      <c r="F309" s="17">
        <v>4860</v>
      </c>
      <c r="G309" s="24">
        <v>2700</v>
      </c>
      <c r="H309" s="15">
        <v>29.19</v>
      </c>
      <c r="I309" s="15">
        <v>64.25</v>
      </c>
      <c r="J309" s="15">
        <v>693.9</v>
      </c>
      <c r="K309" s="18">
        <v>30300</v>
      </c>
      <c r="L309" s="15">
        <v>28.4</v>
      </c>
      <c r="M309" s="15">
        <v>-24.25</v>
      </c>
      <c r="N309" s="15">
        <v>24.23</v>
      </c>
      <c r="O309" s="24">
        <v>88460</v>
      </c>
      <c r="P309" s="17">
        <v>234760</v>
      </c>
      <c r="Q309" s="16">
        <v>197841</v>
      </c>
      <c r="R309" s="19" t="s">
        <v>76</v>
      </c>
      <c r="S309" s="20" t="s">
        <v>39</v>
      </c>
      <c r="T309">
        <v>30958.799999999999</v>
      </c>
    </row>
    <row r="310" spans="1:20" x14ac:dyDescent="0.25">
      <c r="A310" t="str">
        <f>(COUNTIF($K$2:K310,K310))&amp;K310</f>
        <v>1930400</v>
      </c>
      <c r="B310" s="34" t="s">
        <v>86</v>
      </c>
      <c r="C310" s="13" t="s">
        <v>40</v>
      </c>
      <c r="D310" s="14" t="s">
        <v>76</v>
      </c>
      <c r="E310" s="16">
        <v>889</v>
      </c>
      <c r="F310" s="17">
        <v>1980</v>
      </c>
      <c r="G310" s="24">
        <v>580</v>
      </c>
      <c r="H310" s="15">
        <v>31.26</v>
      </c>
      <c r="I310" s="15">
        <v>66.95</v>
      </c>
      <c r="J310" s="15">
        <v>620.29999999999995</v>
      </c>
      <c r="K310" s="18">
        <v>30400</v>
      </c>
      <c r="L310" s="15">
        <v>39.6</v>
      </c>
      <c r="M310" s="15">
        <v>-30.15</v>
      </c>
      <c r="N310" s="15">
        <v>23.73</v>
      </c>
      <c r="O310" s="24">
        <v>155900</v>
      </c>
      <c r="P310" s="17">
        <v>287220</v>
      </c>
      <c r="Q310" s="16">
        <v>292728</v>
      </c>
      <c r="R310" s="19" t="s">
        <v>76</v>
      </c>
      <c r="S310" s="20" t="s">
        <v>39</v>
      </c>
      <c r="T310">
        <v>30958.799999999999</v>
      </c>
    </row>
    <row r="311" spans="1:20" x14ac:dyDescent="0.25">
      <c r="A311" t="str">
        <f>(COUNTIF($K$2:K311,K311))&amp;K311</f>
        <v>1930500</v>
      </c>
      <c r="B311" s="34" t="s">
        <v>86</v>
      </c>
      <c r="C311" s="13" t="s">
        <v>40</v>
      </c>
      <c r="D311" s="14" t="s">
        <v>76</v>
      </c>
      <c r="E311" s="16">
        <v>13060</v>
      </c>
      <c r="F311" s="17">
        <v>56140</v>
      </c>
      <c r="G311" s="24">
        <v>8120</v>
      </c>
      <c r="H311" s="15">
        <v>24.24</v>
      </c>
      <c r="I311" s="15">
        <v>50.45</v>
      </c>
      <c r="J311" s="15">
        <v>524</v>
      </c>
      <c r="K311" s="18">
        <v>30500</v>
      </c>
      <c r="L311" s="15">
        <v>54.35</v>
      </c>
      <c r="M311" s="15">
        <v>-37.9</v>
      </c>
      <c r="N311" s="15">
        <v>23.21</v>
      </c>
      <c r="O311" s="24">
        <v>343720</v>
      </c>
      <c r="P311" s="17">
        <v>882060</v>
      </c>
      <c r="Q311" s="16">
        <v>627814</v>
      </c>
      <c r="R311" s="19" t="s">
        <v>76</v>
      </c>
      <c r="S311" s="20" t="s">
        <v>39</v>
      </c>
      <c r="T311">
        <v>30958.799999999999</v>
      </c>
    </row>
    <row r="312" spans="1:20" x14ac:dyDescent="0.25">
      <c r="A312" t="str">
        <f>(COUNTIF($K$2:K312,K312))&amp;K312</f>
        <v>1930600</v>
      </c>
      <c r="B312" s="34" t="s">
        <v>86</v>
      </c>
      <c r="C312" s="13" t="s">
        <v>40</v>
      </c>
      <c r="D312" s="14" t="s">
        <v>76</v>
      </c>
      <c r="E312" s="16">
        <v>10509</v>
      </c>
      <c r="F312" s="17">
        <v>20100</v>
      </c>
      <c r="G312" s="24">
        <v>3720</v>
      </c>
      <c r="H312" s="15">
        <v>24.32</v>
      </c>
      <c r="I312" s="15">
        <v>35.049999999999997</v>
      </c>
      <c r="J312" s="15">
        <v>438.6</v>
      </c>
      <c r="K312" s="18">
        <v>30600</v>
      </c>
      <c r="L312" s="15">
        <v>73.849999999999994</v>
      </c>
      <c r="M312" s="15">
        <v>-44.4</v>
      </c>
      <c r="N312" s="15">
        <v>22.73</v>
      </c>
      <c r="O312" s="24">
        <v>243120</v>
      </c>
      <c r="P312" s="17">
        <v>416940</v>
      </c>
      <c r="Q312" s="16">
        <v>363496</v>
      </c>
      <c r="R312" s="19" t="s">
        <v>76</v>
      </c>
      <c r="S312" s="20" t="s">
        <v>39</v>
      </c>
      <c r="T312">
        <v>30958.799999999999</v>
      </c>
    </row>
    <row r="313" spans="1:20" x14ac:dyDescent="0.25">
      <c r="A313" t="str">
        <f>(COUNTIF($K$2:K313,K313))&amp;K313</f>
        <v>1930700</v>
      </c>
      <c r="B313" s="34" t="s">
        <v>86</v>
      </c>
      <c r="C313" s="13" t="s">
        <v>40</v>
      </c>
      <c r="D313" s="14" t="s">
        <v>76</v>
      </c>
      <c r="E313" s="16">
        <v>47019</v>
      </c>
      <c r="F313" s="17">
        <v>57180</v>
      </c>
      <c r="G313" s="24">
        <v>28980</v>
      </c>
      <c r="H313" s="15">
        <v>23.48</v>
      </c>
      <c r="I313" s="15">
        <v>32.15</v>
      </c>
      <c r="J313" s="15">
        <v>364.6</v>
      </c>
      <c r="K313" s="18">
        <v>30700</v>
      </c>
      <c r="L313" s="15">
        <v>98.95</v>
      </c>
      <c r="M313" s="15">
        <v>-53.25</v>
      </c>
      <c r="N313" s="15">
        <v>22.33</v>
      </c>
      <c r="O313" s="24">
        <v>300940</v>
      </c>
      <c r="P313" s="17">
        <v>473420</v>
      </c>
      <c r="Q313" s="16">
        <v>429957</v>
      </c>
      <c r="R313" s="19" t="s">
        <v>76</v>
      </c>
      <c r="S313" s="20" t="s">
        <v>39</v>
      </c>
      <c r="T313">
        <v>30958.799999999999</v>
      </c>
    </row>
    <row r="314" spans="1:20" x14ac:dyDescent="0.25">
      <c r="A314" t="str">
        <f>(COUNTIF($K$2:K314,K314))&amp;K314</f>
        <v>1930800</v>
      </c>
      <c r="B314" s="34" t="s">
        <v>86</v>
      </c>
      <c r="C314" s="13" t="s">
        <v>40</v>
      </c>
      <c r="D314" s="14" t="s">
        <v>76</v>
      </c>
      <c r="E314" s="16">
        <v>153371</v>
      </c>
      <c r="F314" s="17">
        <v>210020</v>
      </c>
      <c r="G314" s="24">
        <v>67400</v>
      </c>
      <c r="H314" s="15">
        <v>22.99</v>
      </c>
      <c r="I314" s="15">
        <v>23.05</v>
      </c>
      <c r="J314" s="15">
        <v>296.7</v>
      </c>
      <c r="K314" s="18">
        <v>30800</v>
      </c>
      <c r="L314" s="15">
        <v>130</v>
      </c>
      <c r="M314" s="15">
        <v>-61.15</v>
      </c>
      <c r="N314" s="15">
        <v>21.91</v>
      </c>
      <c r="O314" s="24">
        <v>307560</v>
      </c>
      <c r="P314" s="17">
        <v>565200</v>
      </c>
      <c r="Q314" s="16">
        <v>440705</v>
      </c>
      <c r="R314" s="19" t="s">
        <v>76</v>
      </c>
      <c r="S314" s="20" t="s">
        <v>39</v>
      </c>
      <c r="T314">
        <v>30958.799999999999</v>
      </c>
    </row>
    <row r="315" spans="1:20" x14ac:dyDescent="0.25">
      <c r="A315" t="str">
        <f>(COUNTIF($K$2:K315,K315))&amp;K315</f>
        <v>1930900</v>
      </c>
      <c r="B315" s="34" t="s">
        <v>86</v>
      </c>
      <c r="C315" s="13" t="s">
        <v>40</v>
      </c>
      <c r="D315" s="14" t="s">
        <v>76</v>
      </c>
      <c r="E315" s="16">
        <v>271571</v>
      </c>
      <c r="F315" s="17">
        <v>393900</v>
      </c>
      <c r="G315" s="24">
        <v>173700</v>
      </c>
      <c r="H315" s="15">
        <v>22.23</v>
      </c>
      <c r="I315" s="15">
        <v>13</v>
      </c>
      <c r="J315" s="15">
        <v>233.85</v>
      </c>
      <c r="K315" s="18">
        <v>30900</v>
      </c>
      <c r="L315" s="15">
        <v>169</v>
      </c>
      <c r="M315" s="15">
        <v>-67.5</v>
      </c>
      <c r="N315" s="15">
        <v>21.47</v>
      </c>
      <c r="O315" s="24">
        <v>314660</v>
      </c>
      <c r="P315" s="17">
        <v>523380</v>
      </c>
      <c r="Q315" s="16">
        <v>376758</v>
      </c>
      <c r="R315" s="19" t="s">
        <v>76</v>
      </c>
      <c r="S315" s="20" t="s">
        <v>39</v>
      </c>
      <c r="T315">
        <v>30958.799999999999</v>
      </c>
    </row>
    <row r="316" spans="1:20" ht="15.75" x14ac:dyDescent="0.25">
      <c r="A316" t="str">
        <f>(COUNTIF($K$2:K316,K316))&amp;K316</f>
        <v>1931000</v>
      </c>
      <c r="B316" s="34" t="s">
        <v>86</v>
      </c>
      <c r="C316" s="13" t="s">
        <v>40</v>
      </c>
      <c r="D316" s="14" t="s">
        <v>76</v>
      </c>
      <c r="E316" s="16">
        <v>598037</v>
      </c>
      <c r="F316" s="17">
        <v>1058520</v>
      </c>
      <c r="G316" s="24">
        <v>280260</v>
      </c>
      <c r="H316" s="15">
        <v>21.97</v>
      </c>
      <c r="I316" s="15">
        <v>4.6500000000000004</v>
      </c>
      <c r="J316" s="15">
        <v>182.45</v>
      </c>
      <c r="K316" s="21">
        <v>31000</v>
      </c>
      <c r="L316" s="15">
        <v>216.65</v>
      </c>
      <c r="M316" s="15">
        <v>-75.3</v>
      </c>
      <c r="N316" s="15">
        <v>21.34</v>
      </c>
      <c r="O316" s="24">
        <v>326300</v>
      </c>
      <c r="P316" s="17">
        <v>777520</v>
      </c>
      <c r="Q316" s="16">
        <v>367729</v>
      </c>
      <c r="R316" s="19" t="s">
        <v>76</v>
      </c>
      <c r="S316" s="20" t="s">
        <v>39</v>
      </c>
      <c r="T316">
        <v>30958.799999999999</v>
      </c>
    </row>
    <row r="317" spans="1:20" x14ac:dyDescent="0.25">
      <c r="A317" t="str">
        <f>(COUNTIF($K$2:K317,K317))&amp;K317</f>
        <v>1931100</v>
      </c>
      <c r="B317" s="34" t="s">
        <v>86</v>
      </c>
      <c r="C317" s="13" t="s">
        <v>39</v>
      </c>
      <c r="D317" s="14" t="s">
        <v>76</v>
      </c>
      <c r="E317" s="16">
        <v>373590</v>
      </c>
      <c r="F317" s="17">
        <v>502440</v>
      </c>
      <c r="G317" s="24">
        <v>132520</v>
      </c>
      <c r="H317" s="15">
        <v>21.92</v>
      </c>
      <c r="I317" s="15">
        <v>-0.1</v>
      </c>
      <c r="J317" s="15">
        <v>140.15</v>
      </c>
      <c r="K317" s="18">
        <v>31100</v>
      </c>
      <c r="L317" s="15">
        <v>274.25</v>
      </c>
      <c r="M317" s="15">
        <v>-79.2</v>
      </c>
      <c r="N317" s="15">
        <v>21.09</v>
      </c>
      <c r="O317" s="24">
        <v>37700</v>
      </c>
      <c r="P317" s="17">
        <v>141960</v>
      </c>
      <c r="Q317" s="16">
        <v>83645</v>
      </c>
      <c r="R317" s="19" t="s">
        <v>76</v>
      </c>
      <c r="S317" s="20" t="s">
        <v>39</v>
      </c>
      <c r="T317">
        <v>30958.799999999999</v>
      </c>
    </row>
    <row r="318" spans="1:20" x14ac:dyDescent="0.25">
      <c r="A318" t="str">
        <f>(COUNTIF($K$2:K318,K318))&amp;K318</f>
        <v>1931200</v>
      </c>
      <c r="B318" s="34" t="s">
        <v>86</v>
      </c>
      <c r="C318" s="13" t="s">
        <v>39</v>
      </c>
      <c r="D318" s="14" t="s">
        <v>76</v>
      </c>
      <c r="E318" s="16">
        <v>569827</v>
      </c>
      <c r="F318" s="17">
        <v>703800</v>
      </c>
      <c r="G318" s="24">
        <v>144400</v>
      </c>
      <c r="H318" s="15">
        <v>21.97</v>
      </c>
      <c r="I318" s="15">
        <v>-4.0999999999999996</v>
      </c>
      <c r="J318" s="15">
        <v>106.75</v>
      </c>
      <c r="K318" s="18">
        <v>31200</v>
      </c>
      <c r="L318" s="15">
        <v>340</v>
      </c>
      <c r="M318" s="15">
        <v>-85.25</v>
      </c>
      <c r="N318" s="15">
        <v>21.31</v>
      </c>
      <c r="O318" s="24">
        <v>18120</v>
      </c>
      <c r="P318" s="17">
        <v>123220</v>
      </c>
      <c r="Q318" s="16">
        <v>46698</v>
      </c>
      <c r="R318" s="19" t="s">
        <v>76</v>
      </c>
      <c r="S318" s="20" t="s">
        <v>39</v>
      </c>
      <c r="T318">
        <v>30958.799999999999</v>
      </c>
    </row>
    <row r="319" spans="1:20" x14ac:dyDescent="0.25">
      <c r="A319" t="str">
        <f>(COUNTIF($K$2:K319,K319))&amp;K319</f>
        <v>1931300</v>
      </c>
      <c r="B319" s="34" t="s">
        <v>86</v>
      </c>
      <c r="C319" s="13" t="s">
        <v>39</v>
      </c>
      <c r="D319" s="14" t="s">
        <v>76</v>
      </c>
      <c r="E319" s="16">
        <v>404462</v>
      </c>
      <c r="F319" s="17">
        <v>625000</v>
      </c>
      <c r="G319" s="24">
        <v>177320</v>
      </c>
      <c r="H319" s="15">
        <v>22.01</v>
      </c>
      <c r="I319" s="15">
        <v>-6.5</v>
      </c>
      <c r="J319" s="15">
        <v>79.05</v>
      </c>
      <c r="K319" s="18">
        <v>31300</v>
      </c>
      <c r="L319" s="15">
        <v>412.7</v>
      </c>
      <c r="M319" s="15">
        <v>-96</v>
      </c>
      <c r="N319" s="15">
        <v>21.05</v>
      </c>
      <c r="O319" s="24">
        <v>-8740</v>
      </c>
      <c r="P319" s="17">
        <v>94440</v>
      </c>
      <c r="Q319" s="16">
        <v>12411</v>
      </c>
      <c r="R319" s="19" t="s">
        <v>77</v>
      </c>
      <c r="S319" s="20" t="s">
        <v>37</v>
      </c>
      <c r="T319">
        <v>30958.799999999999</v>
      </c>
    </row>
    <row r="320" spans="1:20" x14ac:dyDescent="0.25">
      <c r="A320" t="str">
        <f>(COUNTIF($K$2:K320,K320))&amp;K320</f>
        <v>1931400</v>
      </c>
      <c r="B320" s="34" t="s">
        <v>86</v>
      </c>
      <c r="C320" s="13" t="s">
        <v>39</v>
      </c>
      <c r="D320" s="14" t="s">
        <v>76</v>
      </c>
      <c r="E320" s="16">
        <v>356695</v>
      </c>
      <c r="F320" s="17">
        <v>541720</v>
      </c>
      <c r="G320" s="24">
        <v>148560</v>
      </c>
      <c r="H320" s="15">
        <v>22.13</v>
      </c>
      <c r="I320" s="15">
        <v>-8.1999999999999993</v>
      </c>
      <c r="J320" s="15">
        <v>57.65</v>
      </c>
      <c r="K320" s="18">
        <v>31400</v>
      </c>
      <c r="L320" s="15">
        <v>474</v>
      </c>
      <c r="M320" s="15">
        <v>-107.95</v>
      </c>
      <c r="N320" s="15">
        <v>20.55</v>
      </c>
      <c r="O320" s="24">
        <v>4140</v>
      </c>
      <c r="P320" s="17">
        <v>54620</v>
      </c>
      <c r="Q320" s="16">
        <v>4167</v>
      </c>
      <c r="R320" s="19" t="s">
        <v>76</v>
      </c>
      <c r="S320" s="20" t="s">
        <v>39</v>
      </c>
      <c r="T320">
        <v>30958.799999999999</v>
      </c>
    </row>
    <row r="321" spans="1:20" x14ac:dyDescent="0.25">
      <c r="A321" t="str">
        <f>(COUNTIF($K$2:K321,K321))&amp;K321</f>
        <v>1931500</v>
      </c>
      <c r="B321" s="34" t="s">
        <v>86</v>
      </c>
      <c r="C321" s="13" t="s">
        <v>39</v>
      </c>
      <c r="D321" s="14" t="s">
        <v>76</v>
      </c>
      <c r="E321" s="16">
        <v>528505</v>
      </c>
      <c r="F321" s="17">
        <v>1432420</v>
      </c>
      <c r="G321" s="24">
        <v>238060</v>
      </c>
      <c r="H321" s="15">
        <v>22.41</v>
      </c>
      <c r="I321" s="15">
        <v>-8.25</v>
      </c>
      <c r="J321" s="15">
        <v>41.7</v>
      </c>
      <c r="K321" s="18">
        <v>31500</v>
      </c>
      <c r="L321" s="15">
        <v>572.65</v>
      </c>
      <c r="M321" s="15">
        <v>-94.65</v>
      </c>
      <c r="N321" s="15">
        <v>18.47</v>
      </c>
      <c r="O321" s="24">
        <v>4340</v>
      </c>
      <c r="P321" s="17">
        <v>472440</v>
      </c>
      <c r="Q321" s="16">
        <v>6542</v>
      </c>
      <c r="R321" s="19" t="s">
        <v>76</v>
      </c>
      <c r="S321" s="20" t="s">
        <v>39</v>
      </c>
      <c r="T321">
        <v>30958.799999999999</v>
      </c>
    </row>
    <row r="322" spans="1:20" x14ac:dyDescent="0.25">
      <c r="A322" t="str">
        <f>(COUNTIF($K$2:K322,K322))&amp;K322</f>
        <v>1931600</v>
      </c>
      <c r="B322" s="34" t="s">
        <v>86</v>
      </c>
      <c r="C322" s="13" t="s">
        <v>39</v>
      </c>
      <c r="D322" s="14" t="s">
        <v>76</v>
      </c>
      <c r="E322" s="16">
        <v>207991</v>
      </c>
      <c r="F322" s="17">
        <v>356980</v>
      </c>
      <c r="G322" s="24">
        <v>72760</v>
      </c>
      <c r="H322" s="15">
        <v>22.58</v>
      </c>
      <c r="I322" s="15">
        <v>-8.25</v>
      </c>
      <c r="J322" s="15">
        <v>29.5</v>
      </c>
      <c r="K322" s="18">
        <v>31600</v>
      </c>
      <c r="L322" s="15">
        <v>646.79999999999995</v>
      </c>
      <c r="M322" s="15">
        <v>-114.05</v>
      </c>
      <c r="N322" s="15">
        <v>12.8</v>
      </c>
      <c r="O322" s="24">
        <v>-20</v>
      </c>
      <c r="P322" s="17">
        <v>17640</v>
      </c>
      <c r="Q322" s="16">
        <v>282</v>
      </c>
      <c r="R322" s="19" t="s">
        <v>77</v>
      </c>
      <c r="S322" s="20" t="s">
        <v>37</v>
      </c>
      <c r="T322">
        <v>30958.799999999999</v>
      </c>
    </row>
    <row r="323" spans="1:20" x14ac:dyDescent="0.25">
      <c r="A323" t="str">
        <f>(COUNTIF($K$2:K323,K323))&amp;K323</f>
        <v>1931700</v>
      </c>
      <c r="B323" s="34" t="s">
        <v>86</v>
      </c>
      <c r="C323" s="13" t="s">
        <v>39</v>
      </c>
      <c r="D323" s="14" t="s">
        <v>76</v>
      </c>
      <c r="E323" s="16">
        <v>138035</v>
      </c>
      <c r="F323" s="17">
        <v>380980</v>
      </c>
      <c r="G323" s="24">
        <v>23020</v>
      </c>
      <c r="H323" s="15">
        <v>22.61</v>
      </c>
      <c r="I323" s="15">
        <v>-7.1</v>
      </c>
      <c r="J323" s="15">
        <v>21.05</v>
      </c>
      <c r="K323" s="18">
        <v>31700</v>
      </c>
      <c r="L323" s="15">
        <v>768.55</v>
      </c>
      <c r="M323" s="15">
        <v>-75.150000000000006</v>
      </c>
      <c r="N323" s="15">
        <v>14.76</v>
      </c>
      <c r="O323" s="24">
        <v>-1240</v>
      </c>
      <c r="P323" s="17">
        <v>10100</v>
      </c>
      <c r="Q323" s="16">
        <v>317</v>
      </c>
      <c r="R323" s="19" t="s">
        <v>77</v>
      </c>
      <c r="S323" s="20" t="s">
        <v>37</v>
      </c>
      <c r="T323">
        <v>30958.799999999999</v>
      </c>
    </row>
    <row r="324" spans="1:20" x14ac:dyDescent="0.25">
      <c r="A324" t="str">
        <f>(COUNTIF($K$2:K324,K324))&amp;K324</f>
        <v>19PCR</v>
      </c>
      <c r="B324" s="34" t="s">
        <v>86</v>
      </c>
      <c r="C324" s="41">
        <v>0.83738113393031566</v>
      </c>
      <c r="E324" s="33"/>
      <c r="F324" s="39">
        <v>6347480</v>
      </c>
      <c r="G324" s="40"/>
      <c r="H324" s="38"/>
      <c r="I324" s="38"/>
      <c r="J324" s="38"/>
      <c r="K324" s="56" t="s">
        <v>57</v>
      </c>
      <c r="L324" s="38"/>
      <c r="M324" s="38"/>
      <c r="N324" s="38"/>
      <c r="P324" s="40">
        <v>5315260</v>
      </c>
      <c r="Q324" s="33"/>
      <c r="R324" s="38"/>
      <c r="S324" s="38"/>
    </row>
    <row r="325" spans="1:20" x14ac:dyDescent="0.25">
      <c r="A325" t="str">
        <f>(COUNTIF($K$2:K325,K325))&amp;K325</f>
        <v>2030200</v>
      </c>
      <c r="B325" s="34" t="s">
        <v>87</v>
      </c>
      <c r="C325" s="13" t="s">
        <v>74</v>
      </c>
      <c r="D325" s="14" t="s">
        <v>76</v>
      </c>
      <c r="E325" s="16">
        <v>168</v>
      </c>
      <c r="F325" s="17">
        <v>1440</v>
      </c>
      <c r="G325" s="24">
        <v>1020</v>
      </c>
      <c r="H325" s="15">
        <v>30.62</v>
      </c>
      <c r="I325" s="15">
        <v>100.2</v>
      </c>
      <c r="J325" s="15">
        <v>821.15</v>
      </c>
      <c r="K325" s="18">
        <v>30200</v>
      </c>
      <c r="L325" s="15">
        <v>20</v>
      </c>
      <c r="M325" s="15">
        <v>-20.149999999999999</v>
      </c>
      <c r="N325" s="15">
        <v>24.49</v>
      </c>
      <c r="O325" s="24">
        <v>27940</v>
      </c>
      <c r="P325" s="17">
        <v>242000</v>
      </c>
      <c r="Q325" s="16">
        <v>155754</v>
      </c>
      <c r="R325" s="19" t="s">
        <v>76</v>
      </c>
      <c r="S325" s="20" t="s">
        <v>39</v>
      </c>
      <c r="T325">
        <v>30962.35</v>
      </c>
    </row>
    <row r="326" spans="1:20" x14ac:dyDescent="0.25">
      <c r="A326" t="str">
        <f>(COUNTIF($K$2:K326,K326))&amp;K326</f>
        <v>2030300</v>
      </c>
      <c r="B326" s="34" t="s">
        <v>87</v>
      </c>
      <c r="C326" s="13" t="s">
        <v>40</v>
      </c>
      <c r="D326" s="14" t="s">
        <v>76</v>
      </c>
      <c r="E326" s="16">
        <v>596</v>
      </c>
      <c r="F326" s="17">
        <v>4840</v>
      </c>
      <c r="G326" s="24">
        <v>2680</v>
      </c>
      <c r="H326" s="15">
        <v>21.52</v>
      </c>
      <c r="I326" s="15">
        <v>77.45</v>
      </c>
      <c r="J326" s="15">
        <v>707.1</v>
      </c>
      <c r="K326" s="18">
        <v>30300</v>
      </c>
      <c r="L326" s="15">
        <v>27.4</v>
      </c>
      <c r="M326" s="15">
        <v>-25.25</v>
      </c>
      <c r="N326" s="15">
        <v>23.95</v>
      </c>
      <c r="O326" s="24">
        <v>87400</v>
      </c>
      <c r="P326" s="17">
        <v>233700</v>
      </c>
      <c r="Q326" s="16">
        <v>199507</v>
      </c>
      <c r="R326" s="19" t="s">
        <v>76</v>
      </c>
      <c r="S326" s="20" t="s">
        <v>39</v>
      </c>
      <c r="T326">
        <v>30962.35</v>
      </c>
    </row>
    <row r="327" spans="1:20" x14ac:dyDescent="0.25">
      <c r="A327" t="str">
        <f>(COUNTIF($K$2:K327,K327))&amp;K327</f>
        <v>2030400</v>
      </c>
      <c r="B327" s="34" t="s">
        <v>87</v>
      </c>
      <c r="C327" s="13" t="s">
        <v>40</v>
      </c>
      <c r="D327" s="14" t="s">
        <v>76</v>
      </c>
      <c r="E327" s="16">
        <v>897</v>
      </c>
      <c r="F327" s="17">
        <v>1980</v>
      </c>
      <c r="G327" s="24">
        <v>580</v>
      </c>
      <c r="H327" s="15">
        <v>24.78</v>
      </c>
      <c r="I327" s="15">
        <v>66.599999999999994</v>
      </c>
      <c r="J327" s="15">
        <v>619.95000000000005</v>
      </c>
      <c r="K327" s="18">
        <v>30400</v>
      </c>
      <c r="L327" s="15">
        <v>38</v>
      </c>
      <c r="M327" s="15">
        <v>-31.75</v>
      </c>
      <c r="N327" s="15">
        <v>23.55</v>
      </c>
      <c r="O327" s="24">
        <v>154180</v>
      </c>
      <c r="P327" s="17">
        <v>285500</v>
      </c>
      <c r="Q327" s="16">
        <v>295391</v>
      </c>
      <c r="R327" s="19" t="s">
        <v>76</v>
      </c>
      <c r="S327" s="20" t="s">
        <v>39</v>
      </c>
      <c r="T327">
        <v>30962.35</v>
      </c>
    </row>
    <row r="328" spans="1:20" x14ac:dyDescent="0.25">
      <c r="A328" t="str">
        <f>(COUNTIF($K$2:K328,K328))&amp;K328</f>
        <v>2030500</v>
      </c>
      <c r="B328" s="34" t="s">
        <v>87</v>
      </c>
      <c r="C328" s="13" t="s">
        <v>40</v>
      </c>
      <c r="D328" s="14" t="s">
        <v>76</v>
      </c>
      <c r="E328" s="16">
        <v>13200</v>
      </c>
      <c r="F328" s="17">
        <v>56140</v>
      </c>
      <c r="G328" s="24">
        <v>8120</v>
      </c>
      <c r="H328" s="15">
        <v>22.47</v>
      </c>
      <c r="I328" s="15">
        <v>51.75</v>
      </c>
      <c r="J328" s="15">
        <v>525.29999999999995</v>
      </c>
      <c r="K328" s="18">
        <v>30500</v>
      </c>
      <c r="L328" s="15">
        <v>52.8</v>
      </c>
      <c r="M328" s="15">
        <v>-39.450000000000003</v>
      </c>
      <c r="N328" s="15">
        <v>23.3</v>
      </c>
      <c r="O328" s="24">
        <v>330220</v>
      </c>
      <c r="P328" s="17">
        <v>868560</v>
      </c>
      <c r="Q328" s="16">
        <v>634701</v>
      </c>
      <c r="R328" s="19" t="s">
        <v>76</v>
      </c>
      <c r="S328" s="20" t="s">
        <v>39</v>
      </c>
      <c r="T328">
        <v>30962.35</v>
      </c>
    </row>
    <row r="329" spans="1:20" x14ac:dyDescent="0.25">
      <c r="A329" t="str">
        <f>(COUNTIF($K$2:K329,K329))&amp;K329</f>
        <v>2030600</v>
      </c>
      <c r="B329" s="34" t="s">
        <v>87</v>
      </c>
      <c r="C329" s="13" t="s">
        <v>40</v>
      </c>
      <c r="D329" s="14" t="s">
        <v>76</v>
      </c>
      <c r="E329" s="16">
        <v>10573</v>
      </c>
      <c r="F329" s="17">
        <v>19680</v>
      </c>
      <c r="G329" s="24">
        <v>3300</v>
      </c>
      <c r="H329" s="15">
        <v>21.6</v>
      </c>
      <c r="I329" s="15">
        <v>42.6</v>
      </c>
      <c r="J329" s="15">
        <v>446.15</v>
      </c>
      <c r="K329" s="18">
        <v>30600</v>
      </c>
      <c r="L329" s="15">
        <v>71.95</v>
      </c>
      <c r="M329" s="15">
        <v>-46.3</v>
      </c>
      <c r="N329" s="15">
        <v>22.92</v>
      </c>
      <c r="O329" s="24">
        <v>246540</v>
      </c>
      <c r="P329" s="17">
        <v>420360</v>
      </c>
      <c r="Q329" s="16">
        <v>367288</v>
      </c>
      <c r="R329" s="19" t="s">
        <v>76</v>
      </c>
      <c r="S329" s="20" t="s">
        <v>39</v>
      </c>
      <c r="T329">
        <v>30962.35</v>
      </c>
    </row>
    <row r="330" spans="1:20" x14ac:dyDescent="0.25">
      <c r="A330" t="str">
        <f>(COUNTIF($K$2:K330,K330))&amp;K330</f>
        <v>2030700</v>
      </c>
      <c r="B330" s="34" t="s">
        <v>87</v>
      </c>
      <c r="C330" s="13" t="s">
        <v>40</v>
      </c>
      <c r="D330" s="14" t="s">
        <v>76</v>
      </c>
      <c r="E330" s="16">
        <v>47317</v>
      </c>
      <c r="F330" s="17">
        <v>54900</v>
      </c>
      <c r="G330" s="24">
        <v>26700</v>
      </c>
      <c r="H330" s="15">
        <v>22.19</v>
      </c>
      <c r="I330" s="15">
        <v>40.25</v>
      </c>
      <c r="J330" s="15">
        <v>372.7</v>
      </c>
      <c r="K330" s="18">
        <v>30700</v>
      </c>
      <c r="L330" s="15">
        <v>96.7</v>
      </c>
      <c r="M330" s="15">
        <v>-55.5</v>
      </c>
      <c r="N330" s="15">
        <v>22.61</v>
      </c>
      <c r="O330" s="24">
        <v>304140</v>
      </c>
      <c r="P330" s="17">
        <v>476620</v>
      </c>
      <c r="Q330" s="16">
        <v>434215</v>
      </c>
      <c r="R330" s="19" t="s">
        <v>76</v>
      </c>
      <c r="S330" s="20" t="s">
        <v>39</v>
      </c>
      <c r="T330">
        <v>30962.35</v>
      </c>
    </row>
    <row r="331" spans="1:20" x14ac:dyDescent="0.25">
      <c r="A331" t="str">
        <f>(COUNTIF($K$2:K331,K331))&amp;K331</f>
        <v>2030800</v>
      </c>
      <c r="B331" s="34" t="s">
        <v>87</v>
      </c>
      <c r="C331" s="13" t="s">
        <v>40</v>
      </c>
      <c r="D331" s="14" t="s">
        <v>76</v>
      </c>
      <c r="E331" s="16">
        <v>153971</v>
      </c>
      <c r="F331" s="17">
        <v>208360</v>
      </c>
      <c r="G331" s="24">
        <v>65740</v>
      </c>
      <c r="H331" s="15">
        <v>21.94</v>
      </c>
      <c r="I331" s="15">
        <v>28.2</v>
      </c>
      <c r="J331" s="15">
        <v>301.85000000000002</v>
      </c>
      <c r="K331" s="18">
        <v>30800</v>
      </c>
      <c r="L331" s="15">
        <v>127.4</v>
      </c>
      <c r="M331" s="15">
        <v>-63.75</v>
      </c>
      <c r="N331" s="15">
        <v>22.43</v>
      </c>
      <c r="O331" s="24">
        <v>307520</v>
      </c>
      <c r="P331" s="17">
        <v>565160</v>
      </c>
      <c r="Q331" s="16">
        <v>444985</v>
      </c>
      <c r="R331" s="19" t="s">
        <v>76</v>
      </c>
      <c r="S331" s="20" t="s">
        <v>39</v>
      </c>
      <c r="T331">
        <v>30962.35</v>
      </c>
    </row>
    <row r="332" spans="1:20" x14ac:dyDescent="0.25">
      <c r="A332" t="str">
        <f>(COUNTIF($K$2:K332,K332))&amp;K332</f>
        <v>2030900</v>
      </c>
      <c r="B332" s="34" t="s">
        <v>87</v>
      </c>
      <c r="C332" s="13" t="s">
        <v>40</v>
      </c>
      <c r="D332" s="14" t="s">
        <v>76</v>
      </c>
      <c r="E332" s="16">
        <v>273549</v>
      </c>
      <c r="F332" s="17">
        <v>393000</v>
      </c>
      <c r="G332" s="24">
        <v>172800</v>
      </c>
      <c r="H332" s="15">
        <v>21.65</v>
      </c>
      <c r="I332" s="15">
        <v>19.5</v>
      </c>
      <c r="J332" s="15">
        <v>240.35</v>
      </c>
      <c r="K332" s="18">
        <v>30900</v>
      </c>
      <c r="L332" s="15">
        <v>165.8</v>
      </c>
      <c r="M332" s="15">
        <v>-70.7</v>
      </c>
      <c r="N332" s="15">
        <v>22.1</v>
      </c>
      <c r="O332" s="24">
        <v>313720</v>
      </c>
      <c r="P332" s="17">
        <v>522440</v>
      </c>
      <c r="Q332" s="16">
        <v>380363</v>
      </c>
      <c r="R332" s="19" t="s">
        <v>76</v>
      </c>
      <c r="S332" s="20" t="s">
        <v>39</v>
      </c>
      <c r="T332">
        <v>30962.35</v>
      </c>
    </row>
    <row r="333" spans="1:20" ht="15.75" x14ac:dyDescent="0.25">
      <c r="A333" t="str">
        <f>(COUNTIF($K$2:K333,K333))&amp;K333</f>
        <v>2031000</v>
      </c>
      <c r="B333" s="34" t="s">
        <v>87</v>
      </c>
      <c r="C333" s="13" t="s">
        <v>40</v>
      </c>
      <c r="D333" s="14" t="s">
        <v>76</v>
      </c>
      <c r="E333" s="16">
        <v>603180</v>
      </c>
      <c r="F333" s="17">
        <v>1057400</v>
      </c>
      <c r="G333" s="24">
        <v>279140</v>
      </c>
      <c r="H333" s="15">
        <v>21.62</v>
      </c>
      <c r="I333" s="15">
        <v>9.4499999999999993</v>
      </c>
      <c r="J333" s="15">
        <v>187.25</v>
      </c>
      <c r="K333" s="21">
        <v>31000</v>
      </c>
      <c r="L333" s="15">
        <v>212.85</v>
      </c>
      <c r="M333" s="15">
        <v>-79.099999999999994</v>
      </c>
      <c r="N333" s="15">
        <v>21.83</v>
      </c>
      <c r="O333" s="24">
        <v>328720</v>
      </c>
      <c r="P333" s="17">
        <v>779940</v>
      </c>
      <c r="Q333" s="16">
        <v>372699</v>
      </c>
      <c r="R333" s="19" t="s">
        <v>76</v>
      </c>
      <c r="S333" s="20" t="s">
        <v>39</v>
      </c>
      <c r="T333">
        <v>30962.35</v>
      </c>
    </row>
    <row r="334" spans="1:20" x14ac:dyDescent="0.25">
      <c r="A334" t="str">
        <f>(COUNTIF($K$2:K334,K334))&amp;K334</f>
        <v>2031100</v>
      </c>
      <c r="B334" s="34" t="s">
        <v>87</v>
      </c>
      <c r="C334" s="13" t="s">
        <v>40</v>
      </c>
      <c r="D334" s="14" t="s">
        <v>76</v>
      </c>
      <c r="E334" s="16">
        <v>376446</v>
      </c>
      <c r="F334" s="17">
        <v>506940</v>
      </c>
      <c r="G334" s="24">
        <v>137020</v>
      </c>
      <c r="H334" s="15">
        <v>21.72</v>
      </c>
      <c r="I334" s="15">
        <v>4.0999999999999996</v>
      </c>
      <c r="J334" s="15">
        <v>144.35</v>
      </c>
      <c r="K334" s="18">
        <v>31100</v>
      </c>
      <c r="L334" s="15">
        <v>268.2</v>
      </c>
      <c r="M334" s="15">
        <v>-85.25</v>
      </c>
      <c r="N334" s="15">
        <v>22.13</v>
      </c>
      <c r="O334" s="24">
        <v>39420</v>
      </c>
      <c r="P334" s="17">
        <v>143680</v>
      </c>
      <c r="Q334" s="16">
        <v>84373</v>
      </c>
      <c r="R334" s="19" t="s">
        <v>76</v>
      </c>
      <c r="S334" s="20" t="s">
        <v>39</v>
      </c>
      <c r="T334">
        <v>30962.35</v>
      </c>
    </row>
    <row r="335" spans="1:20" x14ac:dyDescent="0.25">
      <c r="A335" t="str">
        <f>(COUNTIF($K$2:K335,K335))&amp;K335</f>
        <v>2031200</v>
      </c>
      <c r="B335" s="34" t="s">
        <v>87</v>
      </c>
      <c r="C335" s="13" t="s">
        <v>39</v>
      </c>
      <c r="D335" s="14" t="s">
        <v>76</v>
      </c>
      <c r="E335" s="16">
        <v>574555</v>
      </c>
      <c r="F335" s="17">
        <v>702960</v>
      </c>
      <c r="G335" s="24">
        <v>143560</v>
      </c>
      <c r="H335" s="15">
        <v>21.97</v>
      </c>
      <c r="I335" s="15">
        <v>-2.0499999999999998</v>
      </c>
      <c r="J335" s="15">
        <v>108.8</v>
      </c>
      <c r="K335" s="18">
        <v>31200</v>
      </c>
      <c r="L335" s="15">
        <v>330.95</v>
      </c>
      <c r="M335" s="15">
        <v>-94.3</v>
      </c>
      <c r="N335" s="15">
        <v>22.32</v>
      </c>
      <c r="O335" s="24">
        <v>13060</v>
      </c>
      <c r="P335" s="17">
        <v>118160</v>
      </c>
      <c r="Q335" s="16">
        <v>47893</v>
      </c>
      <c r="R335" s="19" t="s">
        <v>76</v>
      </c>
      <c r="S335" s="20" t="s">
        <v>39</v>
      </c>
      <c r="T335">
        <v>30962.35</v>
      </c>
    </row>
    <row r="336" spans="1:20" x14ac:dyDescent="0.25">
      <c r="A336" t="str">
        <f>(COUNTIF($K$2:K336,K336))&amp;K336</f>
        <v>2031300</v>
      </c>
      <c r="B336" s="34" t="s">
        <v>87</v>
      </c>
      <c r="C336" s="13" t="s">
        <v>39</v>
      </c>
      <c r="D336" s="14" t="s">
        <v>76</v>
      </c>
      <c r="E336" s="16">
        <v>407271</v>
      </c>
      <c r="F336" s="17">
        <v>619860</v>
      </c>
      <c r="G336" s="24">
        <v>172180</v>
      </c>
      <c r="H336" s="15">
        <v>22.04</v>
      </c>
      <c r="I336" s="15">
        <v>-4.55</v>
      </c>
      <c r="J336" s="15">
        <v>81</v>
      </c>
      <c r="K336" s="18">
        <v>31300</v>
      </c>
      <c r="L336" s="15">
        <v>404.55</v>
      </c>
      <c r="M336" s="15">
        <v>-104.15</v>
      </c>
      <c r="N336" s="15">
        <v>23.12</v>
      </c>
      <c r="O336" s="24">
        <v>-7800</v>
      </c>
      <c r="P336" s="17">
        <v>95380</v>
      </c>
      <c r="Q336" s="16">
        <v>12667</v>
      </c>
      <c r="R336" s="19" t="s">
        <v>77</v>
      </c>
      <c r="S336" s="20" t="s">
        <v>37</v>
      </c>
      <c r="T336">
        <v>30962.35</v>
      </c>
    </row>
    <row r="337" spans="1:20" x14ac:dyDescent="0.25">
      <c r="A337" t="str">
        <f>(COUNTIF($K$2:K337,K337))&amp;K337</f>
        <v>2031400</v>
      </c>
      <c r="B337" s="34" t="s">
        <v>87</v>
      </c>
      <c r="C337" s="13" t="s">
        <v>39</v>
      </c>
      <c r="D337" s="14" t="s">
        <v>76</v>
      </c>
      <c r="E337" s="16">
        <v>360324</v>
      </c>
      <c r="F337" s="17">
        <v>544040</v>
      </c>
      <c r="G337" s="24">
        <v>150880</v>
      </c>
      <c r="H337" s="15">
        <v>22.16</v>
      </c>
      <c r="I337" s="15">
        <v>-6.85</v>
      </c>
      <c r="J337" s="15">
        <v>59</v>
      </c>
      <c r="K337" s="18">
        <v>31400</v>
      </c>
      <c r="L337" s="15">
        <v>477</v>
      </c>
      <c r="M337" s="15">
        <v>-104.95</v>
      </c>
      <c r="N337" s="15">
        <v>20.85</v>
      </c>
      <c r="O337" s="24">
        <v>4100</v>
      </c>
      <c r="P337" s="17">
        <v>54580</v>
      </c>
      <c r="Q337" s="16">
        <v>4194</v>
      </c>
      <c r="R337" s="19" t="s">
        <v>76</v>
      </c>
      <c r="S337" s="20" t="s">
        <v>39</v>
      </c>
      <c r="T337">
        <v>30962.35</v>
      </c>
    </row>
    <row r="338" spans="1:20" x14ac:dyDescent="0.25">
      <c r="A338" t="str">
        <f>(COUNTIF($K$2:K338,K338))&amp;K338</f>
        <v>2031500</v>
      </c>
      <c r="B338" s="34" t="s">
        <v>87</v>
      </c>
      <c r="C338" s="13" t="s">
        <v>39</v>
      </c>
      <c r="D338" s="14" t="s">
        <v>76</v>
      </c>
      <c r="E338" s="16">
        <v>532705</v>
      </c>
      <c r="F338" s="17">
        <v>1436080</v>
      </c>
      <c r="G338" s="24">
        <v>241720</v>
      </c>
      <c r="H338" s="15">
        <v>22.55</v>
      </c>
      <c r="I338" s="15">
        <v>-6.75</v>
      </c>
      <c r="J338" s="15">
        <v>43.2</v>
      </c>
      <c r="K338" s="18">
        <v>31500</v>
      </c>
      <c r="L338" s="15">
        <v>575.75</v>
      </c>
      <c r="M338" s="15">
        <v>-91.55</v>
      </c>
      <c r="N338" s="15">
        <v>23.56</v>
      </c>
      <c r="O338" s="24">
        <v>2540</v>
      </c>
      <c r="P338" s="17">
        <v>470640</v>
      </c>
      <c r="Q338" s="16">
        <v>6668</v>
      </c>
      <c r="R338" s="19" t="s">
        <v>76</v>
      </c>
      <c r="S338" s="20" t="s">
        <v>39</v>
      </c>
      <c r="T338">
        <v>30962.35</v>
      </c>
    </row>
    <row r="339" spans="1:20" x14ac:dyDescent="0.25">
      <c r="A339" t="str">
        <f>(COUNTIF($K$2:K339,K339))&amp;K339</f>
        <v>2031600</v>
      </c>
      <c r="B339" s="34" t="s">
        <v>87</v>
      </c>
      <c r="C339" s="13" t="s">
        <v>39</v>
      </c>
      <c r="D339" s="14" t="s">
        <v>76</v>
      </c>
      <c r="E339" s="16">
        <v>209887</v>
      </c>
      <c r="F339" s="17">
        <v>356180</v>
      </c>
      <c r="G339" s="24">
        <v>71960</v>
      </c>
      <c r="H339" s="15">
        <v>22.71</v>
      </c>
      <c r="I339" s="15">
        <v>-7.5</v>
      </c>
      <c r="J339" s="15">
        <v>30.25</v>
      </c>
      <c r="K339" s="18">
        <v>31600</v>
      </c>
      <c r="L339" s="15">
        <v>647</v>
      </c>
      <c r="M339" s="15">
        <v>-113.85</v>
      </c>
      <c r="N339" s="15">
        <v>21</v>
      </c>
      <c r="O339" s="24">
        <v>-20</v>
      </c>
      <c r="P339" s="17">
        <v>17640</v>
      </c>
      <c r="Q339" s="16">
        <v>294</v>
      </c>
      <c r="R339" s="19" t="s">
        <v>77</v>
      </c>
      <c r="S339" s="20" t="s">
        <v>37</v>
      </c>
      <c r="T339">
        <v>30962.35</v>
      </c>
    </row>
    <row r="340" spans="1:20" x14ac:dyDescent="0.25">
      <c r="A340" t="str">
        <f>(COUNTIF($K$2:K340,K340))&amp;K340</f>
        <v>2031700</v>
      </c>
      <c r="B340" s="34" t="s">
        <v>87</v>
      </c>
      <c r="C340" s="13" t="s">
        <v>39</v>
      </c>
      <c r="D340" s="14" t="s">
        <v>76</v>
      </c>
      <c r="E340" s="16">
        <v>138930</v>
      </c>
      <c r="F340" s="17">
        <v>376120</v>
      </c>
      <c r="G340" s="24">
        <v>18160</v>
      </c>
      <c r="H340" s="15">
        <v>23.07</v>
      </c>
      <c r="I340" s="15">
        <v>-6.7</v>
      </c>
      <c r="J340" s="15">
        <v>21.45</v>
      </c>
      <c r="K340" s="18">
        <v>31700</v>
      </c>
      <c r="L340" s="15">
        <v>748.05</v>
      </c>
      <c r="M340" s="15">
        <v>-95.65</v>
      </c>
      <c r="N340" s="15">
        <v>28.3</v>
      </c>
      <c r="O340" s="24">
        <v>-1240</v>
      </c>
      <c r="P340" s="17">
        <v>10100</v>
      </c>
      <c r="Q340" s="16">
        <v>319</v>
      </c>
      <c r="R340" s="19" t="s">
        <v>77</v>
      </c>
      <c r="S340" s="20" t="s">
        <v>37</v>
      </c>
      <c r="T340">
        <v>30962.35</v>
      </c>
    </row>
    <row r="341" spans="1:20" x14ac:dyDescent="0.25">
      <c r="A341" t="str">
        <f>(COUNTIF($K$2:K341,K341))&amp;K341</f>
        <v>20PCR</v>
      </c>
      <c r="B341" s="34" t="s">
        <v>87</v>
      </c>
      <c r="C341" s="41">
        <v>0.83667617257000093</v>
      </c>
      <c r="E341" s="33"/>
      <c r="F341" s="39">
        <v>6339920</v>
      </c>
      <c r="G341" s="40"/>
      <c r="H341" s="38"/>
      <c r="I341" s="38"/>
      <c r="J341" s="38"/>
      <c r="K341" s="56" t="s">
        <v>57</v>
      </c>
      <c r="L341" s="38"/>
      <c r="M341" s="38"/>
      <c r="N341" s="38"/>
      <c r="P341" s="40">
        <v>5304460</v>
      </c>
      <c r="Q341" s="33"/>
      <c r="R341" s="38"/>
      <c r="S341" s="38"/>
    </row>
    <row r="342" spans="1:20" x14ac:dyDescent="0.25">
      <c r="A342" t="str">
        <f>(COUNTIF($K$2:K342,K342))&amp;K342</f>
        <v>2130200</v>
      </c>
      <c r="B342" s="34" t="s">
        <v>87</v>
      </c>
      <c r="C342" s="13" t="s">
        <v>74</v>
      </c>
      <c r="D342" s="14" t="s">
        <v>76</v>
      </c>
      <c r="E342" s="16">
        <v>168</v>
      </c>
      <c r="F342" s="17">
        <v>1440</v>
      </c>
      <c r="G342" s="24">
        <v>1020</v>
      </c>
      <c r="H342" s="15">
        <v>30.62</v>
      </c>
      <c r="I342" s="15">
        <v>100.2</v>
      </c>
      <c r="J342" s="15">
        <v>821.15</v>
      </c>
      <c r="K342" s="18">
        <v>30200</v>
      </c>
      <c r="L342" s="15">
        <v>20</v>
      </c>
      <c r="M342" s="15">
        <v>-20.149999999999999</v>
      </c>
      <c r="N342" s="15">
        <v>24.49</v>
      </c>
      <c r="O342" s="24">
        <v>27940</v>
      </c>
      <c r="P342" s="17">
        <v>242000</v>
      </c>
      <c r="Q342" s="16">
        <v>155754</v>
      </c>
      <c r="R342" s="19" t="s">
        <v>76</v>
      </c>
      <c r="S342" s="20" t="s">
        <v>39</v>
      </c>
      <c r="T342">
        <v>30962.35</v>
      </c>
    </row>
    <row r="343" spans="1:20" x14ac:dyDescent="0.25">
      <c r="A343" t="str">
        <f>(COUNTIF($K$2:K343,K343))&amp;K343</f>
        <v>2130300</v>
      </c>
      <c r="B343" s="34" t="s">
        <v>87</v>
      </c>
      <c r="C343" s="13" t="s">
        <v>40</v>
      </c>
      <c r="D343" s="14" t="s">
        <v>76</v>
      </c>
      <c r="E343" s="16">
        <v>596</v>
      </c>
      <c r="F343" s="17">
        <v>4840</v>
      </c>
      <c r="G343" s="24">
        <v>2680</v>
      </c>
      <c r="H343" s="15">
        <v>21.52</v>
      </c>
      <c r="I343" s="15">
        <v>77.45</v>
      </c>
      <c r="J343" s="15">
        <v>707.1</v>
      </c>
      <c r="K343" s="18">
        <v>30300</v>
      </c>
      <c r="L343" s="15">
        <v>27.4</v>
      </c>
      <c r="M343" s="15">
        <v>-25.25</v>
      </c>
      <c r="N343" s="15">
        <v>23.95</v>
      </c>
      <c r="O343" s="24">
        <v>87400</v>
      </c>
      <c r="P343" s="17">
        <v>233700</v>
      </c>
      <c r="Q343" s="16">
        <v>199507</v>
      </c>
      <c r="R343" s="19" t="s">
        <v>76</v>
      </c>
      <c r="S343" s="20" t="s">
        <v>39</v>
      </c>
      <c r="T343">
        <v>30962.35</v>
      </c>
    </row>
    <row r="344" spans="1:20" x14ac:dyDescent="0.25">
      <c r="A344" t="str">
        <f>(COUNTIF($K$2:K344,K344))&amp;K344</f>
        <v>2130400</v>
      </c>
      <c r="B344" s="34" t="s">
        <v>87</v>
      </c>
      <c r="C344" s="13" t="s">
        <v>40</v>
      </c>
      <c r="D344" s="14" t="s">
        <v>76</v>
      </c>
      <c r="E344" s="16">
        <v>897</v>
      </c>
      <c r="F344" s="17">
        <v>1980</v>
      </c>
      <c r="G344" s="24">
        <v>580</v>
      </c>
      <c r="H344" s="15">
        <v>24.78</v>
      </c>
      <c r="I344" s="15">
        <v>66.599999999999994</v>
      </c>
      <c r="J344" s="15">
        <v>619.95000000000005</v>
      </c>
      <c r="K344" s="18">
        <v>30400</v>
      </c>
      <c r="L344" s="15">
        <v>38</v>
      </c>
      <c r="M344" s="15">
        <v>-31.75</v>
      </c>
      <c r="N344" s="15">
        <v>23.55</v>
      </c>
      <c r="O344" s="24">
        <v>154180</v>
      </c>
      <c r="P344" s="17">
        <v>285500</v>
      </c>
      <c r="Q344" s="16">
        <v>295391</v>
      </c>
      <c r="R344" s="19" t="s">
        <v>76</v>
      </c>
      <c r="S344" s="20" t="s">
        <v>39</v>
      </c>
      <c r="T344">
        <v>30962.35</v>
      </c>
    </row>
    <row r="345" spans="1:20" x14ac:dyDescent="0.25">
      <c r="A345" t="str">
        <f>(COUNTIF($K$2:K345,K345))&amp;K345</f>
        <v>2130500</v>
      </c>
      <c r="B345" s="34" t="s">
        <v>87</v>
      </c>
      <c r="C345" s="13" t="s">
        <v>40</v>
      </c>
      <c r="D345" s="14" t="s">
        <v>76</v>
      </c>
      <c r="E345" s="16">
        <v>13200</v>
      </c>
      <c r="F345" s="17">
        <v>56140</v>
      </c>
      <c r="G345" s="24">
        <v>8120</v>
      </c>
      <c r="H345" s="15">
        <v>22.47</v>
      </c>
      <c r="I345" s="15">
        <v>51.75</v>
      </c>
      <c r="J345" s="15">
        <v>525.29999999999995</v>
      </c>
      <c r="K345" s="18">
        <v>30500</v>
      </c>
      <c r="L345" s="15">
        <v>52.8</v>
      </c>
      <c r="M345" s="15">
        <v>-39.450000000000003</v>
      </c>
      <c r="N345" s="15">
        <v>23.3</v>
      </c>
      <c r="O345" s="24">
        <v>330220</v>
      </c>
      <c r="P345" s="17">
        <v>868560</v>
      </c>
      <c r="Q345" s="16">
        <v>634701</v>
      </c>
      <c r="R345" s="19" t="s">
        <v>76</v>
      </c>
      <c r="S345" s="20" t="s">
        <v>39</v>
      </c>
      <c r="T345">
        <v>30962.35</v>
      </c>
    </row>
    <row r="346" spans="1:20" x14ac:dyDescent="0.25">
      <c r="A346" t="str">
        <f>(COUNTIF($K$2:K346,K346))&amp;K346</f>
        <v>2130600</v>
      </c>
      <c r="B346" s="34" t="s">
        <v>87</v>
      </c>
      <c r="C346" s="13" t="s">
        <v>40</v>
      </c>
      <c r="D346" s="14" t="s">
        <v>76</v>
      </c>
      <c r="E346" s="16">
        <v>10573</v>
      </c>
      <c r="F346" s="17">
        <v>19680</v>
      </c>
      <c r="G346" s="24">
        <v>3300</v>
      </c>
      <c r="H346" s="15">
        <v>21.6</v>
      </c>
      <c r="I346" s="15">
        <v>42.6</v>
      </c>
      <c r="J346" s="15">
        <v>446.15</v>
      </c>
      <c r="K346" s="18">
        <v>30600</v>
      </c>
      <c r="L346" s="15">
        <v>71.95</v>
      </c>
      <c r="M346" s="15">
        <v>-46.3</v>
      </c>
      <c r="N346" s="15">
        <v>22.92</v>
      </c>
      <c r="O346" s="24">
        <v>246540</v>
      </c>
      <c r="P346" s="17">
        <v>420360</v>
      </c>
      <c r="Q346" s="16">
        <v>367288</v>
      </c>
      <c r="R346" s="19" t="s">
        <v>76</v>
      </c>
      <c r="S346" s="20" t="s">
        <v>39</v>
      </c>
      <c r="T346">
        <v>30962.35</v>
      </c>
    </row>
    <row r="347" spans="1:20" x14ac:dyDescent="0.25">
      <c r="A347" t="str">
        <f>(COUNTIF($K$2:K347,K347))&amp;K347</f>
        <v>2130700</v>
      </c>
      <c r="B347" s="34" t="s">
        <v>87</v>
      </c>
      <c r="C347" s="13" t="s">
        <v>40</v>
      </c>
      <c r="D347" s="14" t="s">
        <v>76</v>
      </c>
      <c r="E347" s="16">
        <v>47317</v>
      </c>
      <c r="F347" s="17">
        <v>54900</v>
      </c>
      <c r="G347" s="24">
        <v>26700</v>
      </c>
      <c r="H347" s="15">
        <v>22.19</v>
      </c>
      <c r="I347" s="15">
        <v>40.25</v>
      </c>
      <c r="J347" s="15">
        <v>372.7</v>
      </c>
      <c r="K347" s="18">
        <v>30700</v>
      </c>
      <c r="L347" s="15">
        <v>96.7</v>
      </c>
      <c r="M347" s="15">
        <v>-55.5</v>
      </c>
      <c r="N347" s="15">
        <v>22.61</v>
      </c>
      <c r="O347" s="24">
        <v>304140</v>
      </c>
      <c r="P347" s="17">
        <v>476620</v>
      </c>
      <c r="Q347" s="16">
        <v>434215</v>
      </c>
      <c r="R347" s="19" t="s">
        <v>76</v>
      </c>
      <c r="S347" s="20" t="s">
        <v>39</v>
      </c>
      <c r="T347">
        <v>30962.35</v>
      </c>
    </row>
    <row r="348" spans="1:20" x14ac:dyDescent="0.25">
      <c r="A348" t="str">
        <f>(COUNTIF($K$2:K348,K348))&amp;K348</f>
        <v>2130800</v>
      </c>
      <c r="B348" s="34" t="s">
        <v>87</v>
      </c>
      <c r="C348" s="13" t="s">
        <v>40</v>
      </c>
      <c r="D348" s="14" t="s">
        <v>76</v>
      </c>
      <c r="E348" s="16">
        <v>153971</v>
      </c>
      <c r="F348" s="17">
        <v>208360</v>
      </c>
      <c r="G348" s="24">
        <v>65740</v>
      </c>
      <c r="H348" s="15">
        <v>21.94</v>
      </c>
      <c r="I348" s="15">
        <v>28.2</v>
      </c>
      <c r="J348" s="15">
        <v>301.85000000000002</v>
      </c>
      <c r="K348" s="18">
        <v>30800</v>
      </c>
      <c r="L348" s="15">
        <v>127.4</v>
      </c>
      <c r="M348" s="15">
        <v>-63.75</v>
      </c>
      <c r="N348" s="15">
        <v>22.43</v>
      </c>
      <c r="O348" s="24">
        <v>307520</v>
      </c>
      <c r="P348" s="17">
        <v>565160</v>
      </c>
      <c r="Q348" s="16">
        <v>444985</v>
      </c>
      <c r="R348" s="19" t="s">
        <v>76</v>
      </c>
      <c r="S348" s="20" t="s">
        <v>39</v>
      </c>
      <c r="T348">
        <v>30962.35</v>
      </c>
    </row>
    <row r="349" spans="1:20" x14ac:dyDescent="0.25">
      <c r="A349" t="str">
        <f>(COUNTIF($K$2:K349,K349))&amp;K349</f>
        <v>2130900</v>
      </c>
      <c r="B349" s="34" t="s">
        <v>87</v>
      </c>
      <c r="C349" s="13" t="s">
        <v>40</v>
      </c>
      <c r="D349" s="14" t="s">
        <v>76</v>
      </c>
      <c r="E349" s="16">
        <v>273549</v>
      </c>
      <c r="F349" s="17">
        <v>393000</v>
      </c>
      <c r="G349" s="24">
        <v>172800</v>
      </c>
      <c r="H349" s="15">
        <v>21.65</v>
      </c>
      <c r="I349" s="15">
        <v>19.5</v>
      </c>
      <c r="J349" s="15">
        <v>240.35</v>
      </c>
      <c r="K349" s="18">
        <v>30900</v>
      </c>
      <c r="L349" s="15">
        <v>165.8</v>
      </c>
      <c r="M349" s="15">
        <v>-70.7</v>
      </c>
      <c r="N349" s="15">
        <v>22.1</v>
      </c>
      <c r="O349" s="24">
        <v>313720</v>
      </c>
      <c r="P349" s="17">
        <v>522440</v>
      </c>
      <c r="Q349" s="16">
        <v>380363</v>
      </c>
      <c r="R349" s="19" t="s">
        <v>76</v>
      </c>
      <c r="S349" s="20" t="s">
        <v>39</v>
      </c>
      <c r="T349">
        <v>30962.35</v>
      </c>
    </row>
    <row r="350" spans="1:20" ht="15.75" x14ac:dyDescent="0.25">
      <c r="A350" t="str">
        <f>(COUNTIF($K$2:K350,K350))&amp;K350</f>
        <v>2131000</v>
      </c>
      <c r="B350" s="34" t="s">
        <v>87</v>
      </c>
      <c r="C350" s="13" t="s">
        <v>40</v>
      </c>
      <c r="D350" s="14" t="s">
        <v>76</v>
      </c>
      <c r="E350" s="16">
        <v>603180</v>
      </c>
      <c r="F350" s="17">
        <v>1057400</v>
      </c>
      <c r="G350" s="24">
        <v>279140</v>
      </c>
      <c r="H350" s="15">
        <v>21.62</v>
      </c>
      <c r="I350" s="15">
        <v>9.4499999999999993</v>
      </c>
      <c r="J350" s="15">
        <v>187.25</v>
      </c>
      <c r="K350" s="21">
        <v>31000</v>
      </c>
      <c r="L350" s="15">
        <v>212.85</v>
      </c>
      <c r="M350" s="15">
        <v>-79.099999999999994</v>
      </c>
      <c r="N350" s="15">
        <v>21.83</v>
      </c>
      <c r="O350" s="24">
        <v>328720</v>
      </c>
      <c r="P350" s="17">
        <v>779940</v>
      </c>
      <c r="Q350" s="16">
        <v>372699</v>
      </c>
      <c r="R350" s="19" t="s">
        <v>76</v>
      </c>
      <c r="S350" s="20" t="s">
        <v>39</v>
      </c>
      <c r="T350">
        <v>30962.35</v>
      </c>
    </row>
    <row r="351" spans="1:20" x14ac:dyDescent="0.25">
      <c r="A351" t="str">
        <f>(COUNTIF($K$2:K351,K351))&amp;K351</f>
        <v>2131100</v>
      </c>
      <c r="B351" s="34" t="s">
        <v>87</v>
      </c>
      <c r="C351" s="13" t="s">
        <v>40</v>
      </c>
      <c r="D351" s="14" t="s">
        <v>76</v>
      </c>
      <c r="E351" s="16">
        <v>376446</v>
      </c>
      <c r="F351" s="17">
        <v>506940</v>
      </c>
      <c r="G351" s="24">
        <v>137020</v>
      </c>
      <c r="H351" s="15">
        <v>21.72</v>
      </c>
      <c r="I351" s="15">
        <v>4.0999999999999996</v>
      </c>
      <c r="J351" s="15">
        <v>144.35</v>
      </c>
      <c r="K351" s="18">
        <v>31100</v>
      </c>
      <c r="L351" s="15">
        <v>268.2</v>
      </c>
      <c r="M351" s="15">
        <v>-85.25</v>
      </c>
      <c r="N351" s="15">
        <v>22.13</v>
      </c>
      <c r="O351" s="24">
        <v>39420</v>
      </c>
      <c r="P351" s="17">
        <v>143680</v>
      </c>
      <c r="Q351" s="16">
        <v>84373</v>
      </c>
      <c r="R351" s="19" t="s">
        <v>76</v>
      </c>
      <c r="S351" s="20" t="s">
        <v>39</v>
      </c>
      <c r="T351">
        <v>30962.35</v>
      </c>
    </row>
    <row r="352" spans="1:20" x14ac:dyDescent="0.25">
      <c r="A352" t="str">
        <f>(COUNTIF($K$2:K352,K352))&amp;K352</f>
        <v>2131200</v>
      </c>
      <c r="B352" s="34" t="s">
        <v>87</v>
      </c>
      <c r="C352" s="13" t="s">
        <v>39</v>
      </c>
      <c r="D352" s="14" t="s">
        <v>76</v>
      </c>
      <c r="E352" s="16">
        <v>574555</v>
      </c>
      <c r="F352" s="17">
        <v>702960</v>
      </c>
      <c r="G352" s="24">
        <v>143560</v>
      </c>
      <c r="H352" s="15">
        <v>21.97</v>
      </c>
      <c r="I352" s="15">
        <v>-2.0499999999999998</v>
      </c>
      <c r="J352" s="15">
        <v>108.8</v>
      </c>
      <c r="K352" s="18">
        <v>31200</v>
      </c>
      <c r="L352" s="15">
        <v>330.95</v>
      </c>
      <c r="M352" s="15">
        <v>-94.3</v>
      </c>
      <c r="N352" s="15">
        <v>22.32</v>
      </c>
      <c r="O352" s="24">
        <v>13060</v>
      </c>
      <c r="P352" s="17">
        <v>118160</v>
      </c>
      <c r="Q352" s="16">
        <v>47893</v>
      </c>
      <c r="R352" s="19" t="s">
        <v>76</v>
      </c>
      <c r="S352" s="20" t="s">
        <v>39</v>
      </c>
      <c r="T352">
        <v>30962.35</v>
      </c>
    </row>
    <row r="353" spans="1:20" x14ac:dyDescent="0.25">
      <c r="A353" t="str">
        <f>(COUNTIF($K$2:K353,K353))&amp;K353</f>
        <v>2131300</v>
      </c>
      <c r="B353" s="34" t="s">
        <v>87</v>
      </c>
      <c r="C353" s="13" t="s">
        <v>39</v>
      </c>
      <c r="D353" s="14" t="s">
        <v>76</v>
      </c>
      <c r="E353" s="16">
        <v>407271</v>
      </c>
      <c r="F353" s="17">
        <v>619860</v>
      </c>
      <c r="G353" s="24">
        <v>172180</v>
      </c>
      <c r="H353" s="15">
        <v>22.04</v>
      </c>
      <c r="I353" s="15">
        <v>-4.55</v>
      </c>
      <c r="J353" s="15">
        <v>81</v>
      </c>
      <c r="K353" s="18">
        <v>31300</v>
      </c>
      <c r="L353" s="15">
        <v>404.55</v>
      </c>
      <c r="M353" s="15">
        <v>-104.15</v>
      </c>
      <c r="N353" s="15">
        <v>23.12</v>
      </c>
      <c r="O353" s="24">
        <v>-7800</v>
      </c>
      <c r="P353" s="17">
        <v>95380</v>
      </c>
      <c r="Q353" s="16">
        <v>12667</v>
      </c>
      <c r="R353" s="19" t="s">
        <v>77</v>
      </c>
      <c r="S353" s="20" t="s">
        <v>37</v>
      </c>
      <c r="T353">
        <v>30962.35</v>
      </c>
    </row>
    <row r="354" spans="1:20" x14ac:dyDescent="0.25">
      <c r="A354" t="str">
        <f>(COUNTIF($K$2:K354,K354))&amp;K354</f>
        <v>2131400</v>
      </c>
      <c r="B354" s="34" t="s">
        <v>87</v>
      </c>
      <c r="C354" s="13" t="s">
        <v>39</v>
      </c>
      <c r="D354" s="14" t="s">
        <v>76</v>
      </c>
      <c r="E354" s="16">
        <v>360324</v>
      </c>
      <c r="F354" s="17">
        <v>544040</v>
      </c>
      <c r="G354" s="24">
        <v>150880</v>
      </c>
      <c r="H354" s="15">
        <v>22.16</v>
      </c>
      <c r="I354" s="15">
        <v>-6.85</v>
      </c>
      <c r="J354" s="15">
        <v>59</v>
      </c>
      <c r="K354" s="18">
        <v>31400</v>
      </c>
      <c r="L354" s="15">
        <v>477</v>
      </c>
      <c r="M354" s="15">
        <v>-104.95</v>
      </c>
      <c r="N354" s="15">
        <v>20.85</v>
      </c>
      <c r="O354" s="24">
        <v>4100</v>
      </c>
      <c r="P354" s="17">
        <v>54580</v>
      </c>
      <c r="Q354" s="16">
        <v>4194</v>
      </c>
      <c r="R354" s="19" t="s">
        <v>76</v>
      </c>
      <c r="S354" s="20" t="s">
        <v>39</v>
      </c>
      <c r="T354">
        <v>30962.35</v>
      </c>
    </row>
    <row r="355" spans="1:20" x14ac:dyDescent="0.25">
      <c r="A355" t="str">
        <f>(COUNTIF($K$2:K355,K355))&amp;K355</f>
        <v>2131500</v>
      </c>
      <c r="B355" s="34" t="s">
        <v>87</v>
      </c>
      <c r="C355" s="13" t="s">
        <v>39</v>
      </c>
      <c r="D355" s="14" t="s">
        <v>76</v>
      </c>
      <c r="E355" s="16">
        <v>532705</v>
      </c>
      <c r="F355" s="17">
        <v>1436080</v>
      </c>
      <c r="G355" s="24">
        <v>241720</v>
      </c>
      <c r="H355" s="15">
        <v>22.55</v>
      </c>
      <c r="I355" s="15">
        <v>-6.75</v>
      </c>
      <c r="J355" s="15">
        <v>43.2</v>
      </c>
      <c r="K355" s="18">
        <v>31500</v>
      </c>
      <c r="L355" s="15">
        <v>575.75</v>
      </c>
      <c r="M355" s="15">
        <v>-91.55</v>
      </c>
      <c r="N355" s="15">
        <v>23.56</v>
      </c>
      <c r="O355" s="24">
        <v>2540</v>
      </c>
      <c r="P355" s="17">
        <v>470640</v>
      </c>
      <c r="Q355" s="16">
        <v>6668</v>
      </c>
      <c r="R355" s="19" t="s">
        <v>76</v>
      </c>
      <c r="S355" s="20" t="s">
        <v>39</v>
      </c>
      <c r="T355">
        <v>30962.35</v>
      </c>
    </row>
    <row r="356" spans="1:20" x14ac:dyDescent="0.25">
      <c r="A356" t="str">
        <f>(COUNTIF($K$2:K356,K356))&amp;K356</f>
        <v>2131600</v>
      </c>
      <c r="B356" s="34" t="s">
        <v>87</v>
      </c>
      <c r="C356" s="13" t="s">
        <v>39</v>
      </c>
      <c r="D356" s="14" t="s">
        <v>76</v>
      </c>
      <c r="E356" s="16">
        <v>209887</v>
      </c>
      <c r="F356" s="17">
        <v>356180</v>
      </c>
      <c r="G356" s="24">
        <v>71960</v>
      </c>
      <c r="H356" s="15">
        <v>22.71</v>
      </c>
      <c r="I356" s="15">
        <v>-7.5</v>
      </c>
      <c r="J356" s="15">
        <v>30.25</v>
      </c>
      <c r="K356" s="18">
        <v>31600</v>
      </c>
      <c r="L356" s="15">
        <v>647</v>
      </c>
      <c r="M356" s="15">
        <v>-113.85</v>
      </c>
      <c r="N356" s="15">
        <v>21</v>
      </c>
      <c r="O356" s="24">
        <v>-20</v>
      </c>
      <c r="P356" s="17">
        <v>17640</v>
      </c>
      <c r="Q356" s="16">
        <v>294</v>
      </c>
      <c r="R356" s="19" t="s">
        <v>77</v>
      </c>
      <c r="S356" s="20" t="s">
        <v>37</v>
      </c>
      <c r="T356">
        <v>30962.35</v>
      </c>
    </row>
    <row r="357" spans="1:20" x14ac:dyDescent="0.25">
      <c r="A357" t="str">
        <f>(COUNTIF($K$2:K357,K357))&amp;K357</f>
        <v>2131700</v>
      </c>
      <c r="B357" s="34" t="s">
        <v>87</v>
      </c>
      <c r="C357" s="13" t="s">
        <v>39</v>
      </c>
      <c r="D357" s="14" t="s">
        <v>76</v>
      </c>
      <c r="E357" s="16">
        <v>138930</v>
      </c>
      <c r="F357" s="17">
        <v>376120</v>
      </c>
      <c r="G357" s="24">
        <v>18160</v>
      </c>
      <c r="H357" s="15">
        <v>23.07</v>
      </c>
      <c r="I357" s="15">
        <v>-6.7</v>
      </c>
      <c r="J357" s="15">
        <v>21.45</v>
      </c>
      <c r="K357" s="18">
        <v>31700</v>
      </c>
      <c r="L357" s="15">
        <v>748.05</v>
      </c>
      <c r="M357" s="15">
        <v>-95.65</v>
      </c>
      <c r="N357" s="15">
        <v>28.3</v>
      </c>
      <c r="O357" s="24">
        <v>-1240</v>
      </c>
      <c r="P357" s="17">
        <v>10100</v>
      </c>
      <c r="Q357" s="16">
        <v>319</v>
      </c>
      <c r="R357" s="19" t="s">
        <v>77</v>
      </c>
      <c r="S357" s="20" t="s">
        <v>37</v>
      </c>
      <c r="T357">
        <v>30962.35</v>
      </c>
    </row>
    <row r="358" spans="1:20" x14ac:dyDescent="0.25">
      <c r="A358" t="str">
        <f>(COUNTIF($K$2:K358,K358))&amp;K358</f>
        <v>21PCR</v>
      </c>
      <c r="B358" s="34" t="s">
        <v>87</v>
      </c>
      <c r="C358" s="41">
        <v>0.83667617257000093</v>
      </c>
      <c r="E358" s="33"/>
      <c r="F358" s="39">
        <v>6339920</v>
      </c>
      <c r="G358" s="40"/>
      <c r="H358" s="38"/>
      <c r="I358" s="38"/>
      <c r="J358" s="38"/>
      <c r="K358" s="56" t="s">
        <v>57</v>
      </c>
      <c r="L358" s="38"/>
      <c r="M358" s="38"/>
      <c r="N358" s="38"/>
      <c r="P358" s="40">
        <v>5304460</v>
      </c>
      <c r="Q358" s="33"/>
      <c r="R358" s="38"/>
      <c r="S358" s="38"/>
    </row>
    <row r="359" spans="1:20" x14ac:dyDescent="0.25">
      <c r="A359" t="str">
        <f>(COUNTIF($K$2:K359,K359))&amp;K359</f>
        <v>2230200</v>
      </c>
      <c r="B359" s="34" t="s">
        <v>88</v>
      </c>
      <c r="C359" s="13" t="s">
        <v>74</v>
      </c>
      <c r="D359" s="14" t="s">
        <v>76</v>
      </c>
      <c r="E359" s="16">
        <v>168</v>
      </c>
      <c r="F359" s="17">
        <v>1440</v>
      </c>
      <c r="G359" s="24">
        <v>1020</v>
      </c>
      <c r="H359" s="15">
        <v>30.62</v>
      </c>
      <c r="I359" s="15">
        <v>100.2</v>
      </c>
      <c r="J359" s="15">
        <v>821.15</v>
      </c>
      <c r="K359" s="18">
        <v>30200</v>
      </c>
      <c r="L359" s="15">
        <v>18.649999999999999</v>
      </c>
      <c r="M359" s="15">
        <v>-21.5</v>
      </c>
      <c r="N359" s="15">
        <v>24.49</v>
      </c>
      <c r="O359" s="24">
        <v>27940</v>
      </c>
      <c r="P359" s="17">
        <v>242000</v>
      </c>
      <c r="Q359" s="16">
        <v>156329</v>
      </c>
      <c r="R359" s="19" t="s">
        <v>76</v>
      </c>
      <c r="S359" s="20" t="s">
        <v>39</v>
      </c>
      <c r="T359">
        <v>30977.55</v>
      </c>
    </row>
    <row r="360" spans="1:20" x14ac:dyDescent="0.25">
      <c r="A360" t="str">
        <f>(COUNTIF($K$2:K360,K360))&amp;K360</f>
        <v>2230300</v>
      </c>
      <c r="B360" s="34" t="s">
        <v>88</v>
      </c>
      <c r="C360" s="13" t="s">
        <v>40</v>
      </c>
      <c r="D360" s="14" t="s">
        <v>76</v>
      </c>
      <c r="E360" s="16">
        <v>596</v>
      </c>
      <c r="F360" s="17">
        <v>4840</v>
      </c>
      <c r="G360" s="24">
        <v>2680</v>
      </c>
      <c r="H360" s="15">
        <v>21.52</v>
      </c>
      <c r="I360" s="15">
        <v>77.45</v>
      </c>
      <c r="J360" s="15">
        <v>707.1</v>
      </c>
      <c r="K360" s="18">
        <v>30300</v>
      </c>
      <c r="L360" s="15">
        <v>25.85</v>
      </c>
      <c r="M360" s="15">
        <v>-26.8</v>
      </c>
      <c r="N360" s="15">
        <v>23.95</v>
      </c>
      <c r="O360" s="24">
        <v>87400</v>
      </c>
      <c r="P360" s="17">
        <v>233700</v>
      </c>
      <c r="Q360" s="16">
        <v>200106</v>
      </c>
      <c r="R360" s="19" t="s">
        <v>76</v>
      </c>
      <c r="S360" s="20" t="s">
        <v>39</v>
      </c>
      <c r="T360">
        <v>30977.55</v>
      </c>
    </row>
    <row r="361" spans="1:20" x14ac:dyDescent="0.25">
      <c r="A361" t="str">
        <f>(COUNTIF($K$2:K361,K361))&amp;K361</f>
        <v>2230400</v>
      </c>
      <c r="B361" s="34" t="s">
        <v>88</v>
      </c>
      <c r="C361" s="13" t="s">
        <v>40</v>
      </c>
      <c r="D361" s="14" t="s">
        <v>76</v>
      </c>
      <c r="E361" s="16">
        <v>897</v>
      </c>
      <c r="F361" s="17">
        <v>1980</v>
      </c>
      <c r="G361" s="24">
        <v>580</v>
      </c>
      <c r="H361" s="15">
        <v>24.78</v>
      </c>
      <c r="I361" s="15">
        <v>66.599999999999994</v>
      </c>
      <c r="J361" s="15">
        <v>619.95000000000005</v>
      </c>
      <c r="K361" s="18">
        <v>30400</v>
      </c>
      <c r="L361" s="15">
        <v>35.799999999999997</v>
      </c>
      <c r="M361" s="15">
        <v>-33.950000000000003</v>
      </c>
      <c r="N361" s="15">
        <v>23.55</v>
      </c>
      <c r="O361" s="24">
        <v>154180</v>
      </c>
      <c r="P361" s="17">
        <v>285500</v>
      </c>
      <c r="Q361" s="16">
        <v>296442</v>
      </c>
      <c r="R361" s="19" t="s">
        <v>76</v>
      </c>
      <c r="S361" s="20" t="s">
        <v>39</v>
      </c>
      <c r="T361">
        <v>30977.55</v>
      </c>
    </row>
    <row r="362" spans="1:20" x14ac:dyDescent="0.25">
      <c r="A362" t="str">
        <f>(COUNTIF($K$2:K362,K362))&amp;K362</f>
        <v>2230500</v>
      </c>
      <c r="B362" s="34" t="s">
        <v>88</v>
      </c>
      <c r="C362" s="13" t="s">
        <v>40</v>
      </c>
      <c r="D362" s="14" t="s">
        <v>76</v>
      </c>
      <c r="E362" s="16">
        <v>13275</v>
      </c>
      <c r="F362" s="17">
        <v>56140</v>
      </c>
      <c r="G362" s="24">
        <v>8120</v>
      </c>
      <c r="H362" s="15">
        <v>22.47</v>
      </c>
      <c r="I362" s="15">
        <v>63.5</v>
      </c>
      <c r="J362" s="15">
        <v>537.04999999999995</v>
      </c>
      <c r="K362" s="18">
        <v>30500</v>
      </c>
      <c r="L362" s="15">
        <v>49.7</v>
      </c>
      <c r="M362" s="15">
        <v>-42.55</v>
      </c>
      <c r="N362" s="15">
        <v>23.3</v>
      </c>
      <c r="O362" s="24">
        <v>330220</v>
      </c>
      <c r="P362" s="17">
        <v>868560</v>
      </c>
      <c r="Q362" s="16">
        <v>637566</v>
      </c>
      <c r="R362" s="19" t="s">
        <v>76</v>
      </c>
      <c r="S362" s="20" t="s">
        <v>39</v>
      </c>
      <c r="T362">
        <v>30977.55</v>
      </c>
    </row>
    <row r="363" spans="1:20" x14ac:dyDescent="0.25">
      <c r="A363" t="str">
        <f>(COUNTIF($K$2:K363,K363))&amp;K363</f>
        <v>2230600</v>
      </c>
      <c r="B363" s="34" t="s">
        <v>88</v>
      </c>
      <c r="C363" s="13" t="s">
        <v>40</v>
      </c>
      <c r="D363" s="14" t="s">
        <v>76</v>
      </c>
      <c r="E363" s="16">
        <v>10574</v>
      </c>
      <c r="F363" s="17">
        <v>19680</v>
      </c>
      <c r="G363" s="24">
        <v>3300</v>
      </c>
      <c r="H363" s="15">
        <v>21.6</v>
      </c>
      <c r="I363" s="15">
        <v>53.1</v>
      </c>
      <c r="J363" s="15">
        <v>456.65</v>
      </c>
      <c r="K363" s="18">
        <v>30600</v>
      </c>
      <c r="L363" s="15">
        <v>67.7</v>
      </c>
      <c r="M363" s="15">
        <v>-50.55</v>
      </c>
      <c r="N363" s="15">
        <v>22.92</v>
      </c>
      <c r="O363" s="24">
        <v>246540</v>
      </c>
      <c r="P363" s="17">
        <v>420360</v>
      </c>
      <c r="Q363" s="16">
        <v>368658</v>
      </c>
      <c r="R363" s="19" t="s">
        <v>76</v>
      </c>
      <c r="S363" s="20" t="s">
        <v>39</v>
      </c>
      <c r="T363">
        <v>30977.55</v>
      </c>
    </row>
    <row r="364" spans="1:20" x14ac:dyDescent="0.25">
      <c r="A364" t="str">
        <f>(COUNTIF($K$2:K364,K364))&amp;K364</f>
        <v>2230700</v>
      </c>
      <c r="B364" s="34" t="s">
        <v>88</v>
      </c>
      <c r="C364" s="13" t="s">
        <v>40</v>
      </c>
      <c r="D364" s="14" t="s">
        <v>76</v>
      </c>
      <c r="E364" s="16">
        <v>47395</v>
      </c>
      <c r="F364" s="17">
        <v>54900</v>
      </c>
      <c r="G364" s="24">
        <v>26700</v>
      </c>
      <c r="H364" s="15">
        <v>22.19</v>
      </c>
      <c r="I364" s="15">
        <v>51.4</v>
      </c>
      <c r="J364" s="15">
        <v>383.85</v>
      </c>
      <c r="K364" s="18">
        <v>30700</v>
      </c>
      <c r="L364" s="15">
        <v>91</v>
      </c>
      <c r="M364" s="15">
        <v>-61.2</v>
      </c>
      <c r="N364" s="15">
        <v>22.61</v>
      </c>
      <c r="O364" s="24">
        <v>304140</v>
      </c>
      <c r="P364" s="17">
        <v>476620</v>
      </c>
      <c r="Q364" s="16">
        <v>435956</v>
      </c>
      <c r="R364" s="19" t="s">
        <v>76</v>
      </c>
      <c r="S364" s="20" t="s">
        <v>39</v>
      </c>
      <c r="T364">
        <v>30977.55</v>
      </c>
    </row>
    <row r="365" spans="1:20" x14ac:dyDescent="0.25">
      <c r="A365" t="str">
        <f>(COUNTIF($K$2:K365,K365))&amp;K365</f>
        <v>2230800</v>
      </c>
      <c r="B365" s="34" t="s">
        <v>88</v>
      </c>
      <c r="C365" s="13" t="s">
        <v>40</v>
      </c>
      <c r="D365" s="14" t="s">
        <v>76</v>
      </c>
      <c r="E365" s="16">
        <v>154351</v>
      </c>
      <c r="F365" s="17">
        <v>208360</v>
      </c>
      <c r="G365" s="24">
        <v>65740</v>
      </c>
      <c r="H365" s="15">
        <v>21.94</v>
      </c>
      <c r="I365" s="15">
        <v>38.85</v>
      </c>
      <c r="J365" s="15">
        <v>312.5</v>
      </c>
      <c r="K365" s="18">
        <v>30800</v>
      </c>
      <c r="L365" s="15">
        <v>121.1</v>
      </c>
      <c r="M365" s="15">
        <v>-70.05</v>
      </c>
      <c r="N365" s="15">
        <v>22.43</v>
      </c>
      <c r="O365" s="24">
        <v>307520</v>
      </c>
      <c r="P365" s="17">
        <v>565160</v>
      </c>
      <c r="Q365" s="16">
        <v>446963</v>
      </c>
      <c r="R365" s="19" t="s">
        <v>76</v>
      </c>
      <c r="S365" s="20" t="s">
        <v>39</v>
      </c>
      <c r="T365">
        <v>30977.55</v>
      </c>
    </row>
    <row r="366" spans="1:20" x14ac:dyDescent="0.25">
      <c r="A366" t="str">
        <f>(COUNTIF($K$2:K366,K366))&amp;K366</f>
        <v>2230900</v>
      </c>
      <c r="B366" s="34" t="s">
        <v>88</v>
      </c>
      <c r="C366" s="13" t="s">
        <v>40</v>
      </c>
      <c r="D366" s="14" t="s">
        <v>76</v>
      </c>
      <c r="E366" s="16">
        <v>274437</v>
      </c>
      <c r="F366" s="17">
        <v>393000</v>
      </c>
      <c r="G366" s="24">
        <v>172800</v>
      </c>
      <c r="H366" s="15">
        <v>21.65</v>
      </c>
      <c r="I366" s="15">
        <v>28.3</v>
      </c>
      <c r="J366" s="15">
        <v>249.15</v>
      </c>
      <c r="K366" s="18">
        <v>30900</v>
      </c>
      <c r="L366" s="15">
        <v>156.65</v>
      </c>
      <c r="M366" s="15">
        <v>-79.849999999999994</v>
      </c>
      <c r="N366" s="15">
        <v>22.1</v>
      </c>
      <c r="O366" s="24">
        <v>313720</v>
      </c>
      <c r="P366" s="17">
        <v>522440</v>
      </c>
      <c r="Q366" s="16">
        <v>381892</v>
      </c>
      <c r="R366" s="19" t="s">
        <v>76</v>
      </c>
      <c r="S366" s="20" t="s">
        <v>39</v>
      </c>
      <c r="T366">
        <v>30977.55</v>
      </c>
    </row>
    <row r="367" spans="1:20" ht="15.75" x14ac:dyDescent="0.25">
      <c r="A367" t="str">
        <f>(COUNTIF($K$2:K367,K367))&amp;K367</f>
        <v>2231000</v>
      </c>
      <c r="B367" s="34" t="s">
        <v>88</v>
      </c>
      <c r="C367" s="13" t="s">
        <v>40</v>
      </c>
      <c r="D367" s="14" t="s">
        <v>76</v>
      </c>
      <c r="E367" s="16">
        <v>605831</v>
      </c>
      <c r="F367" s="17">
        <v>1057400</v>
      </c>
      <c r="G367" s="24">
        <v>279140</v>
      </c>
      <c r="H367" s="15">
        <v>21.62</v>
      </c>
      <c r="I367" s="15">
        <v>17.55</v>
      </c>
      <c r="J367" s="15">
        <v>195.35</v>
      </c>
      <c r="K367" s="21">
        <v>31000</v>
      </c>
      <c r="L367" s="15">
        <v>202.55</v>
      </c>
      <c r="M367" s="15">
        <v>-89.4</v>
      </c>
      <c r="N367" s="15">
        <v>21.83</v>
      </c>
      <c r="O367" s="24">
        <v>328720</v>
      </c>
      <c r="P367" s="17">
        <v>779940</v>
      </c>
      <c r="Q367" s="16">
        <v>374510</v>
      </c>
      <c r="R367" s="19" t="s">
        <v>76</v>
      </c>
      <c r="S367" s="20" t="s">
        <v>39</v>
      </c>
      <c r="T367">
        <v>30977.55</v>
      </c>
    </row>
    <row r="368" spans="1:20" x14ac:dyDescent="0.25">
      <c r="A368" t="str">
        <f>(COUNTIF($K$2:K368,K368))&amp;K368</f>
        <v>2231100</v>
      </c>
      <c r="B368" s="34" t="s">
        <v>88</v>
      </c>
      <c r="C368" s="13" t="s">
        <v>40</v>
      </c>
      <c r="D368" s="14" t="s">
        <v>76</v>
      </c>
      <c r="E368" s="16">
        <v>377580</v>
      </c>
      <c r="F368" s="17">
        <v>506940</v>
      </c>
      <c r="G368" s="24">
        <v>137020</v>
      </c>
      <c r="H368" s="15">
        <v>21.72</v>
      </c>
      <c r="I368" s="15">
        <v>8.9499999999999993</v>
      </c>
      <c r="J368" s="15">
        <v>149.19999999999999</v>
      </c>
      <c r="K368" s="18">
        <v>31100</v>
      </c>
      <c r="L368" s="15">
        <v>257.95</v>
      </c>
      <c r="M368" s="15">
        <v>-95.5</v>
      </c>
      <c r="N368" s="15">
        <v>22.13</v>
      </c>
      <c r="O368" s="24">
        <v>39420</v>
      </c>
      <c r="P368" s="17">
        <v>143680</v>
      </c>
      <c r="Q368" s="16">
        <v>84654</v>
      </c>
      <c r="R368" s="19" t="s">
        <v>76</v>
      </c>
      <c r="S368" s="20" t="s">
        <v>39</v>
      </c>
      <c r="T368">
        <v>30977.55</v>
      </c>
    </row>
    <row r="369" spans="1:20" x14ac:dyDescent="0.25">
      <c r="A369" t="str">
        <f>(COUNTIF($K$2:K369,K369))&amp;K369</f>
        <v>2231200</v>
      </c>
      <c r="B369" s="34" t="s">
        <v>88</v>
      </c>
      <c r="C369" s="13" t="s">
        <v>40</v>
      </c>
      <c r="D369" s="14" t="s">
        <v>76</v>
      </c>
      <c r="E369" s="16">
        <v>576640</v>
      </c>
      <c r="F369" s="17">
        <v>702960</v>
      </c>
      <c r="G369" s="24">
        <v>143560</v>
      </c>
      <c r="H369" s="15">
        <v>21.97</v>
      </c>
      <c r="I369" s="15">
        <v>2.95</v>
      </c>
      <c r="J369" s="15">
        <v>113.8</v>
      </c>
      <c r="K369" s="18">
        <v>31200</v>
      </c>
      <c r="L369" s="15">
        <v>319.85000000000002</v>
      </c>
      <c r="M369" s="15">
        <v>-105.4</v>
      </c>
      <c r="N369" s="15">
        <v>22.32</v>
      </c>
      <c r="O369" s="24">
        <v>13060</v>
      </c>
      <c r="P369" s="17">
        <v>118160</v>
      </c>
      <c r="Q369" s="16">
        <v>48266</v>
      </c>
      <c r="R369" s="19" t="s">
        <v>76</v>
      </c>
      <c r="S369" s="20" t="s">
        <v>39</v>
      </c>
      <c r="T369">
        <v>30977.55</v>
      </c>
    </row>
    <row r="370" spans="1:20" x14ac:dyDescent="0.25">
      <c r="A370" t="str">
        <f>(COUNTIF($K$2:K370,K370))&amp;K370</f>
        <v>2231300</v>
      </c>
      <c r="B370" s="34" t="s">
        <v>88</v>
      </c>
      <c r="C370" s="13" t="s">
        <v>39</v>
      </c>
      <c r="D370" s="14" t="s">
        <v>76</v>
      </c>
      <c r="E370" s="16">
        <v>408658</v>
      </c>
      <c r="F370" s="17">
        <v>619860</v>
      </c>
      <c r="G370" s="24">
        <v>172180</v>
      </c>
      <c r="H370" s="15">
        <v>22.04</v>
      </c>
      <c r="I370" s="15">
        <v>-2.0499999999999998</v>
      </c>
      <c r="J370" s="15">
        <v>83.5</v>
      </c>
      <c r="K370" s="18">
        <v>31300</v>
      </c>
      <c r="L370" s="15">
        <v>395</v>
      </c>
      <c r="M370" s="15">
        <v>-113.7</v>
      </c>
      <c r="N370" s="15">
        <v>23.12</v>
      </c>
      <c r="O370" s="24">
        <v>-7800</v>
      </c>
      <c r="P370" s="17">
        <v>95380</v>
      </c>
      <c r="Q370" s="16">
        <v>12792</v>
      </c>
      <c r="R370" s="19" t="s">
        <v>77</v>
      </c>
      <c r="S370" s="20" t="s">
        <v>37</v>
      </c>
      <c r="T370">
        <v>30977.55</v>
      </c>
    </row>
    <row r="371" spans="1:20" x14ac:dyDescent="0.25">
      <c r="A371" t="str">
        <f>(COUNTIF($K$2:K371,K371))&amp;K371</f>
        <v>2231400</v>
      </c>
      <c r="B371" s="34" t="s">
        <v>88</v>
      </c>
      <c r="C371" s="13" t="s">
        <v>39</v>
      </c>
      <c r="D371" s="14" t="s">
        <v>76</v>
      </c>
      <c r="E371" s="16">
        <v>361474</v>
      </c>
      <c r="F371" s="17">
        <v>544040</v>
      </c>
      <c r="G371" s="24">
        <v>150880</v>
      </c>
      <c r="H371" s="15">
        <v>22.16</v>
      </c>
      <c r="I371" s="15">
        <v>-4.6500000000000004</v>
      </c>
      <c r="J371" s="15">
        <v>61.2</v>
      </c>
      <c r="K371" s="18">
        <v>31400</v>
      </c>
      <c r="L371" s="15">
        <v>477</v>
      </c>
      <c r="M371" s="15">
        <v>-104.95</v>
      </c>
      <c r="N371" s="15">
        <v>20.85</v>
      </c>
      <c r="O371" s="24">
        <v>4100</v>
      </c>
      <c r="P371" s="17">
        <v>54580</v>
      </c>
      <c r="Q371" s="16">
        <v>4194</v>
      </c>
      <c r="R371" s="19" t="s">
        <v>76</v>
      </c>
      <c r="S371" s="20" t="s">
        <v>39</v>
      </c>
      <c r="T371">
        <v>30977.55</v>
      </c>
    </row>
    <row r="372" spans="1:20" x14ac:dyDescent="0.25">
      <c r="A372" t="str">
        <f>(COUNTIF($K$2:K372,K372))&amp;K372</f>
        <v>2231500</v>
      </c>
      <c r="B372" s="34" t="s">
        <v>88</v>
      </c>
      <c r="C372" s="13" t="s">
        <v>39</v>
      </c>
      <c r="D372" s="14" t="s">
        <v>76</v>
      </c>
      <c r="E372" s="16">
        <v>534270</v>
      </c>
      <c r="F372" s="17">
        <v>1436080</v>
      </c>
      <c r="G372" s="24">
        <v>241720</v>
      </c>
      <c r="H372" s="15">
        <v>22.55</v>
      </c>
      <c r="I372" s="15">
        <v>-5.25</v>
      </c>
      <c r="J372" s="15">
        <v>44.7</v>
      </c>
      <c r="K372" s="18">
        <v>31500</v>
      </c>
      <c r="L372" s="15">
        <v>564.85</v>
      </c>
      <c r="M372" s="15">
        <v>-102.45</v>
      </c>
      <c r="N372" s="15">
        <v>23.56</v>
      </c>
      <c r="O372" s="24">
        <v>2540</v>
      </c>
      <c r="P372" s="17">
        <v>470640</v>
      </c>
      <c r="Q372" s="16">
        <v>6670</v>
      </c>
      <c r="R372" s="19" t="s">
        <v>76</v>
      </c>
      <c r="S372" s="20" t="s">
        <v>39</v>
      </c>
      <c r="T372">
        <v>30977.55</v>
      </c>
    </row>
    <row r="373" spans="1:20" x14ac:dyDescent="0.25">
      <c r="A373" t="str">
        <f>(COUNTIF($K$2:K373,K373))&amp;K373</f>
        <v>2231600</v>
      </c>
      <c r="B373" s="34" t="s">
        <v>88</v>
      </c>
      <c r="C373" s="13" t="s">
        <v>39</v>
      </c>
      <c r="D373" s="14" t="s">
        <v>76</v>
      </c>
      <c r="E373" s="16">
        <v>210792</v>
      </c>
      <c r="F373" s="17">
        <v>356180</v>
      </c>
      <c r="G373" s="24">
        <v>71960</v>
      </c>
      <c r="H373" s="15">
        <v>22.71</v>
      </c>
      <c r="I373" s="15">
        <v>-6.15</v>
      </c>
      <c r="J373" s="15">
        <v>31.6</v>
      </c>
      <c r="K373" s="18">
        <v>31600</v>
      </c>
      <c r="L373" s="15">
        <v>650</v>
      </c>
      <c r="M373" s="15">
        <v>-110.85</v>
      </c>
      <c r="N373" s="15">
        <v>21</v>
      </c>
      <c r="O373" s="24">
        <v>20</v>
      </c>
      <c r="P373" s="17">
        <v>17680</v>
      </c>
      <c r="Q373" s="16">
        <v>295</v>
      </c>
      <c r="R373" s="19" t="s">
        <v>76</v>
      </c>
      <c r="S373" s="20" t="s">
        <v>39</v>
      </c>
      <c r="T373">
        <v>30977.55</v>
      </c>
    </row>
    <row r="374" spans="1:20" x14ac:dyDescent="0.25">
      <c r="A374" t="str">
        <f>(COUNTIF($K$2:K374,K374))&amp;K374</f>
        <v>2231700</v>
      </c>
      <c r="B374" s="34" t="s">
        <v>88</v>
      </c>
      <c r="C374" s="13" t="s">
        <v>39</v>
      </c>
      <c r="D374" s="14" t="s">
        <v>76</v>
      </c>
      <c r="E374" s="16">
        <v>139137</v>
      </c>
      <c r="F374" s="17">
        <v>376120</v>
      </c>
      <c r="G374" s="24">
        <v>18160</v>
      </c>
      <c r="H374" s="15">
        <v>23.07</v>
      </c>
      <c r="I374" s="15">
        <v>-5.85</v>
      </c>
      <c r="J374" s="15">
        <v>22.3</v>
      </c>
      <c r="K374" s="18">
        <v>31700</v>
      </c>
      <c r="L374" s="15">
        <v>748.05</v>
      </c>
      <c r="M374" s="15">
        <v>-95.65</v>
      </c>
      <c r="N374" s="15">
        <v>28.3</v>
      </c>
      <c r="O374" s="24">
        <v>-1240</v>
      </c>
      <c r="P374" s="17">
        <v>10100</v>
      </c>
      <c r="Q374" s="16">
        <v>319</v>
      </c>
      <c r="R374" s="19" t="s">
        <v>77</v>
      </c>
      <c r="S374" s="20" t="s">
        <v>37</v>
      </c>
      <c r="T374">
        <v>30977.55</v>
      </c>
    </row>
    <row r="375" spans="1:20" x14ac:dyDescent="0.25">
      <c r="A375" t="str">
        <f>(COUNTIF($K$2:K375,K375))&amp;K375</f>
        <v>22PCR</v>
      </c>
      <c r="B375" s="34" t="s">
        <v>88</v>
      </c>
      <c r="C375" s="41">
        <v>0.83668248179787763</v>
      </c>
      <c r="E375" s="33"/>
      <c r="F375" s="39">
        <v>6339920</v>
      </c>
      <c r="G375" s="40"/>
      <c r="H375" s="38"/>
      <c r="I375" s="38"/>
      <c r="J375" s="38"/>
      <c r="K375" s="56" t="s">
        <v>57</v>
      </c>
      <c r="L375" s="38"/>
      <c r="M375" s="38"/>
      <c r="N375" s="38"/>
      <c r="P375" s="40">
        <v>5304500</v>
      </c>
      <c r="Q375" s="33"/>
      <c r="R375" s="38"/>
      <c r="S375" s="38"/>
    </row>
    <row r="376" spans="1:20" x14ac:dyDescent="0.25">
      <c r="A376" t="str">
        <f>(COUNTIF($K$2:K376,K376))&amp;K376</f>
        <v>2330200</v>
      </c>
      <c r="B376" s="34" t="s">
        <v>88</v>
      </c>
      <c r="C376" s="13" t="s">
        <v>74</v>
      </c>
      <c r="D376" s="14" t="s">
        <v>76</v>
      </c>
      <c r="E376" s="16">
        <v>168</v>
      </c>
      <c r="F376" s="17">
        <v>1440</v>
      </c>
      <c r="G376" s="24">
        <v>1020</v>
      </c>
      <c r="H376" s="15">
        <v>30.62</v>
      </c>
      <c r="I376" s="15">
        <v>100.2</v>
      </c>
      <c r="J376" s="15">
        <v>821.15</v>
      </c>
      <c r="K376" s="18">
        <v>30200</v>
      </c>
      <c r="L376" s="15">
        <v>18.649999999999999</v>
      </c>
      <c r="M376" s="15">
        <v>-21.5</v>
      </c>
      <c r="N376" s="15">
        <v>24.49</v>
      </c>
      <c r="O376" s="24">
        <v>27940</v>
      </c>
      <c r="P376" s="17">
        <v>242000</v>
      </c>
      <c r="Q376" s="16">
        <v>156329</v>
      </c>
      <c r="R376" s="19" t="s">
        <v>76</v>
      </c>
      <c r="S376" s="20" t="s">
        <v>39</v>
      </c>
      <c r="T376">
        <v>30977.55</v>
      </c>
    </row>
    <row r="377" spans="1:20" x14ac:dyDescent="0.25">
      <c r="A377" t="str">
        <f>(COUNTIF($K$2:K377,K377))&amp;K377</f>
        <v>2330300</v>
      </c>
      <c r="B377" s="34" t="s">
        <v>88</v>
      </c>
      <c r="C377" s="13" t="s">
        <v>40</v>
      </c>
      <c r="D377" s="14" t="s">
        <v>76</v>
      </c>
      <c r="E377" s="16">
        <v>596</v>
      </c>
      <c r="F377" s="17">
        <v>4840</v>
      </c>
      <c r="G377" s="24">
        <v>2680</v>
      </c>
      <c r="H377" s="15">
        <v>21.52</v>
      </c>
      <c r="I377" s="15">
        <v>77.45</v>
      </c>
      <c r="J377" s="15">
        <v>707.1</v>
      </c>
      <c r="K377" s="18">
        <v>30300</v>
      </c>
      <c r="L377" s="15">
        <v>25.85</v>
      </c>
      <c r="M377" s="15">
        <v>-26.8</v>
      </c>
      <c r="N377" s="15">
        <v>23.95</v>
      </c>
      <c r="O377" s="24">
        <v>87400</v>
      </c>
      <c r="P377" s="17">
        <v>233700</v>
      </c>
      <c r="Q377" s="16">
        <v>200106</v>
      </c>
      <c r="R377" s="19" t="s">
        <v>76</v>
      </c>
      <c r="S377" s="20" t="s">
        <v>39</v>
      </c>
      <c r="T377">
        <v>30977.55</v>
      </c>
    </row>
    <row r="378" spans="1:20" x14ac:dyDescent="0.25">
      <c r="A378" t="str">
        <f>(COUNTIF($K$2:K378,K378))&amp;K378</f>
        <v>2330400</v>
      </c>
      <c r="B378" s="34" t="s">
        <v>88</v>
      </c>
      <c r="C378" s="13" t="s">
        <v>40</v>
      </c>
      <c r="D378" s="14" t="s">
        <v>76</v>
      </c>
      <c r="E378" s="16">
        <v>897</v>
      </c>
      <c r="F378" s="17">
        <v>1980</v>
      </c>
      <c r="G378" s="24">
        <v>580</v>
      </c>
      <c r="H378" s="15">
        <v>24.78</v>
      </c>
      <c r="I378" s="15">
        <v>66.599999999999994</v>
      </c>
      <c r="J378" s="15">
        <v>619.95000000000005</v>
      </c>
      <c r="K378" s="18">
        <v>30400</v>
      </c>
      <c r="L378" s="15">
        <v>35.799999999999997</v>
      </c>
      <c r="M378" s="15">
        <v>-33.950000000000003</v>
      </c>
      <c r="N378" s="15">
        <v>23.55</v>
      </c>
      <c r="O378" s="24">
        <v>154180</v>
      </c>
      <c r="P378" s="17">
        <v>285500</v>
      </c>
      <c r="Q378" s="16">
        <v>296442</v>
      </c>
      <c r="R378" s="19" t="s">
        <v>76</v>
      </c>
      <c r="S378" s="20" t="s">
        <v>39</v>
      </c>
      <c r="T378">
        <v>30977.55</v>
      </c>
    </row>
    <row r="379" spans="1:20" x14ac:dyDescent="0.25">
      <c r="A379" t="str">
        <f>(COUNTIF($K$2:K379,K379))&amp;K379</f>
        <v>2330500</v>
      </c>
      <c r="B379" s="34" t="s">
        <v>88</v>
      </c>
      <c r="C379" s="13" t="s">
        <v>40</v>
      </c>
      <c r="D379" s="14" t="s">
        <v>76</v>
      </c>
      <c r="E379" s="16">
        <v>13275</v>
      </c>
      <c r="F379" s="17">
        <v>56140</v>
      </c>
      <c r="G379" s="24">
        <v>8120</v>
      </c>
      <c r="H379" s="15">
        <v>22.47</v>
      </c>
      <c r="I379" s="15">
        <v>63.5</v>
      </c>
      <c r="J379" s="15">
        <v>537.04999999999995</v>
      </c>
      <c r="K379" s="18">
        <v>30500</v>
      </c>
      <c r="L379" s="15">
        <v>49.7</v>
      </c>
      <c r="M379" s="15">
        <v>-42.55</v>
      </c>
      <c r="N379" s="15">
        <v>23.3</v>
      </c>
      <c r="O379" s="24">
        <v>330220</v>
      </c>
      <c r="P379" s="17">
        <v>868560</v>
      </c>
      <c r="Q379" s="16">
        <v>637566</v>
      </c>
      <c r="R379" s="19" t="s">
        <v>76</v>
      </c>
      <c r="S379" s="20" t="s">
        <v>39</v>
      </c>
      <c r="T379">
        <v>30977.55</v>
      </c>
    </row>
    <row r="380" spans="1:20" x14ac:dyDescent="0.25">
      <c r="A380" t="str">
        <f>(COUNTIF($K$2:K380,K380))&amp;K380</f>
        <v>2330600</v>
      </c>
      <c r="B380" s="34" t="s">
        <v>88</v>
      </c>
      <c r="C380" s="13" t="s">
        <v>40</v>
      </c>
      <c r="D380" s="14" t="s">
        <v>76</v>
      </c>
      <c r="E380" s="16">
        <v>10574</v>
      </c>
      <c r="F380" s="17">
        <v>19680</v>
      </c>
      <c r="G380" s="24">
        <v>3300</v>
      </c>
      <c r="H380" s="15">
        <v>21.6</v>
      </c>
      <c r="I380" s="15">
        <v>53.1</v>
      </c>
      <c r="J380" s="15">
        <v>456.65</v>
      </c>
      <c r="K380" s="18">
        <v>30600</v>
      </c>
      <c r="L380" s="15">
        <v>67.7</v>
      </c>
      <c r="M380" s="15">
        <v>-50.55</v>
      </c>
      <c r="N380" s="15">
        <v>22.92</v>
      </c>
      <c r="O380" s="24">
        <v>246540</v>
      </c>
      <c r="P380" s="17">
        <v>420360</v>
      </c>
      <c r="Q380" s="16">
        <v>368658</v>
      </c>
      <c r="R380" s="19" t="s">
        <v>76</v>
      </c>
      <c r="S380" s="20" t="s">
        <v>39</v>
      </c>
      <c r="T380">
        <v>30977.55</v>
      </c>
    </row>
    <row r="381" spans="1:20" x14ac:dyDescent="0.25">
      <c r="A381" t="str">
        <f>(COUNTIF($K$2:K381,K381))&amp;K381</f>
        <v>2330700</v>
      </c>
      <c r="B381" s="34" t="s">
        <v>88</v>
      </c>
      <c r="C381" s="13" t="s">
        <v>40</v>
      </c>
      <c r="D381" s="14" t="s">
        <v>76</v>
      </c>
      <c r="E381" s="16">
        <v>47395</v>
      </c>
      <c r="F381" s="17">
        <v>54900</v>
      </c>
      <c r="G381" s="24">
        <v>26700</v>
      </c>
      <c r="H381" s="15">
        <v>22.19</v>
      </c>
      <c r="I381" s="15">
        <v>51.4</v>
      </c>
      <c r="J381" s="15">
        <v>383.85</v>
      </c>
      <c r="K381" s="18">
        <v>30700</v>
      </c>
      <c r="L381" s="15">
        <v>91</v>
      </c>
      <c r="M381" s="15">
        <v>-61.2</v>
      </c>
      <c r="N381" s="15">
        <v>22.61</v>
      </c>
      <c r="O381" s="24">
        <v>304140</v>
      </c>
      <c r="P381" s="17">
        <v>476620</v>
      </c>
      <c r="Q381" s="16">
        <v>435956</v>
      </c>
      <c r="R381" s="19" t="s">
        <v>76</v>
      </c>
      <c r="S381" s="20" t="s">
        <v>39</v>
      </c>
      <c r="T381">
        <v>30977.55</v>
      </c>
    </row>
    <row r="382" spans="1:20" x14ac:dyDescent="0.25">
      <c r="A382" t="str">
        <f>(COUNTIF($K$2:K382,K382))&amp;K382</f>
        <v>2330800</v>
      </c>
      <c r="B382" s="34" t="s">
        <v>88</v>
      </c>
      <c r="C382" s="13" t="s">
        <v>40</v>
      </c>
      <c r="D382" s="14" t="s">
        <v>76</v>
      </c>
      <c r="E382" s="16">
        <v>154351</v>
      </c>
      <c r="F382" s="17">
        <v>208360</v>
      </c>
      <c r="G382" s="24">
        <v>65740</v>
      </c>
      <c r="H382" s="15">
        <v>21.94</v>
      </c>
      <c r="I382" s="15">
        <v>38.85</v>
      </c>
      <c r="J382" s="15">
        <v>312.5</v>
      </c>
      <c r="K382" s="18">
        <v>30800</v>
      </c>
      <c r="L382" s="15">
        <v>121.1</v>
      </c>
      <c r="M382" s="15">
        <v>-70.05</v>
      </c>
      <c r="N382" s="15">
        <v>22.43</v>
      </c>
      <c r="O382" s="24">
        <v>307520</v>
      </c>
      <c r="P382" s="17">
        <v>565160</v>
      </c>
      <c r="Q382" s="16">
        <v>446963</v>
      </c>
      <c r="R382" s="19" t="s">
        <v>76</v>
      </c>
      <c r="S382" s="20" t="s">
        <v>39</v>
      </c>
      <c r="T382">
        <v>30977.55</v>
      </c>
    </row>
    <row r="383" spans="1:20" x14ac:dyDescent="0.25">
      <c r="A383" t="str">
        <f>(COUNTIF($K$2:K383,K383))&amp;K383</f>
        <v>2330900</v>
      </c>
      <c r="B383" s="34" t="s">
        <v>88</v>
      </c>
      <c r="C383" s="13" t="s">
        <v>40</v>
      </c>
      <c r="D383" s="14" t="s">
        <v>76</v>
      </c>
      <c r="E383" s="16">
        <v>274437</v>
      </c>
      <c r="F383" s="17">
        <v>393000</v>
      </c>
      <c r="G383" s="24">
        <v>172800</v>
      </c>
      <c r="H383" s="15">
        <v>21.65</v>
      </c>
      <c r="I383" s="15">
        <v>28.3</v>
      </c>
      <c r="J383" s="15">
        <v>249.15</v>
      </c>
      <c r="K383" s="18">
        <v>30900</v>
      </c>
      <c r="L383" s="15">
        <v>156.65</v>
      </c>
      <c r="M383" s="15">
        <v>-79.849999999999994</v>
      </c>
      <c r="N383" s="15">
        <v>22.1</v>
      </c>
      <c r="O383" s="24">
        <v>313720</v>
      </c>
      <c r="P383" s="17">
        <v>522440</v>
      </c>
      <c r="Q383" s="16">
        <v>381892</v>
      </c>
      <c r="R383" s="19" t="s">
        <v>76</v>
      </c>
      <c r="S383" s="20" t="s">
        <v>39</v>
      </c>
      <c r="T383">
        <v>30977.55</v>
      </c>
    </row>
    <row r="384" spans="1:20" ht="15.75" x14ac:dyDescent="0.25">
      <c r="A384" t="str">
        <f>(COUNTIF($K$2:K384,K384))&amp;K384</f>
        <v>2331000</v>
      </c>
      <c r="B384" s="34" t="s">
        <v>88</v>
      </c>
      <c r="C384" s="13" t="s">
        <v>40</v>
      </c>
      <c r="D384" s="14" t="s">
        <v>76</v>
      </c>
      <c r="E384" s="16">
        <v>605831</v>
      </c>
      <c r="F384" s="17">
        <v>1057400</v>
      </c>
      <c r="G384" s="24">
        <v>279140</v>
      </c>
      <c r="H384" s="15">
        <v>21.62</v>
      </c>
      <c r="I384" s="15">
        <v>17.55</v>
      </c>
      <c r="J384" s="15">
        <v>195.35</v>
      </c>
      <c r="K384" s="21">
        <v>31000</v>
      </c>
      <c r="L384" s="15">
        <v>202.55</v>
      </c>
      <c r="M384" s="15">
        <v>-89.4</v>
      </c>
      <c r="N384" s="15">
        <v>21.83</v>
      </c>
      <c r="O384" s="24">
        <v>328720</v>
      </c>
      <c r="P384" s="17">
        <v>779940</v>
      </c>
      <c r="Q384" s="16">
        <v>374510</v>
      </c>
      <c r="R384" s="19" t="s">
        <v>76</v>
      </c>
      <c r="S384" s="20" t="s">
        <v>39</v>
      </c>
      <c r="T384">
        <v>30977.55</v>
      </c>
    </row>
    <row r="385" spans="1:20" x14ac:dyDescent="0.25">
      <c r="A385" t="str">
        <f>(COUNTIF($K$2:K385,K385))&amp;K385</f>
        <v>2331100</v>
      </c>
      <c r="B385" s="34" t="s">
        <v>88</v>
      </c>
      <c r="C385" s="13" t="s">
        <v>40</v>
      </c>
      <c r="D385" s="14" t="s">
        <v>76</v>
      </c>
      <c r="E385" s="16">
        <v>377580</v>
      </c>
      <c r="F385" s="17">
        <v>506940</v>
      </c>
      <c r="G385" s="24">
        <v>137020</v>
      </c>
      <c r="H385" s="15">
        <v>21.72</v>
      </c>
      <c r="I385" s="15">
        <v>8.9499999999999993</v>
      </c>
      <c r="J385" s="15">
        <v>149.19999999999999</v>
      </c>
      <c r="K385" s="18">
        <v>31100</v>
      </c>
      <c r="L385" s="15">
        <v>257.95</v>
      </c>
      <c r="M385" s="15">
        <v>-95.5</v>
      </c>
      <c r="N385" s="15">
        <v>22.13</v>
      </c>
      <c r="O385" s="24">
        <v>39420</v>
      </c>
      <c r="P385" s="17">
        <v>143680</v>
      </c>
      <c r="Q385" s="16">
        <v>84654</v>
      </c>
      <c r="R385" s="19" t="s">
        <v>76</v>
      </c>
      <c r="S385" s="20" t="s">
        <v>39</v>
      </c>
      <c r="T385">
        <v>30977.55</v>
      </c>
    </row>
    <row r="386" spans="1:20" x14ac:dyDescent="0.25">
      <c r="A386" t="str">
        <f>(COUNTIF($K$2:K386,K386))&amp;K386</f>
        <v>2331200</v>
      </c>
      <c r="B386" s="34" t="s">
        <v>88</v>
      </c>
      <c r="C386" s="13" t="s">
        <v>40</v>
      </c>
      <c r="D386" s="14" t="s">
        <v>76</v>
      </c>
      <c r="E386" s="16">
        <v>576640</v>
      </c>
      <c r="F386" s="17">
        <v>702960</v>
      </c>
      <c r="G386" s="24">
        <v>143560</v>
      </c>
      <c r="H386" s="15">
        <v>21.97</v>
      </c>
      <c r="I386" s="15">
        <v>2.95</v>
      </c>
      <c r="J386" s="15">
        <v>113.8</v>
      </c>
      <c r="K386" s="18">
        <v>31200</v>
      </c>
      <c r="L386" s="15">
        <v>319.85000000000002</v>
      </c>
      <c r="M386" s="15">
        <v>-105.4</v>
      </c>
      <c r="N386" s="15">
        <v>22.32</v>
      </c>
      <c r="O386" s="24">
        <v>13060</v>
      </c>
      <c r="P386" s="17">
        <v>118160</v>
      </c>
      <c r="Q386" s="16">
        <v>48266</v>
      </c>
      <c r="R386" s="19" t="s">
        <v>76</v>
      </c>
      <c r="S386" s="20" t="s">
        <v>39</v>
      </c>
      <c r="T386">
        <v>30977.55</v>
      </c>
    </row>
    <row r="387" spans="1:20" x14ac:dyDescent="0.25">
      <c r="A387" t="str">
        <f>(COUNTIF($K$2:K387,K387))&amp;K387</f>
        <v>2331300</v>
      </c>
      <c r="B387" s="34" t="s">
        <v>88</v>
      </c>
      <c r="C387" s="13" t="s">
        <v>39</v>
      </c>
      <c r="D387" s="14" t="s">
        <v>76</v>
      </c>
      <c r="E387" s="16">
        <v>408658</v>
      </c>
      <c r="F387" s="17">
        <v>619860</v>
      </c>
      <c r="G387" s="24">
        <v>172180</v>
      </c>
      <c r="H387" s="15">
        <v>22.04</v>
      </c>
      <c r="I387" s="15">
        <v>-2.0499999999999998</v>
      </c>
      <c r="J387" s="15">
        <v>83.5</v>
      </c>
      <c r="K387" s="18">
        <v>31300</v>
      </c>
      <c r="L387" s="15">
        <v>395</v>
      </c>
      <c r="M387" s="15">
        <v>-113.7</v>
      </c>
      <c r="N387" s="15">
        <v>23.12</v>
      </c>
      <c r="O387" s="24">
        <v>-7800</v>
      </c>
      <c r="P387" s="17">
        <v>95380</v>
      </c>
      <c r="Q387" s="16">
        <v>12792</v>
      </c>
      <c r="R387" s="19" t="s">
        <v>77</v>
      </c>
      <c r="S387" s="20" t="s">
        <v>37</v>
      </c>
      <c r="T387">
        <v>30977.55</v>
      </c>
    </row>
    <row r="388" spans="1:20" x14ac:dyDescent="0.25">
      <c r="A388" t="str">
        <f>(COUNTIF($K$2:K388,K388))&amp;K388</f>
        <v>2331400</v>
      </c>
      <c r="B388" s="34" t="s">
        <v>88</v>
      </c>
      <c r="C388" s="13" t="s">
        <v>39</v>
      </c>
      <c r="D388" s="14" t="s">
        <v>76</v>
      </c>
      <c r="E388" s="16">
        <v>361474</v>
      </c>
      <c r="F388" s="17">
        <v>544040</v>
      </c>
      <c r="G388" s="24">
        <v>150880</v>
      </c>
      <c r="H388" s="15">
        <v>22.16</v>
      </c>
      <c r="I388" s="15">
        <v>-4.6500000000000004</v>
      </c>
      <c r="J388" s="15">
        <v>61.2</v>
      </c>
      <c r="K388" s="18">
        <v>31400</v>
      </c>
      <c r="L388" s="15">
        <v>477</v>
      </c>
      <c r="M388" s="15">
        <v>-104.95</v>
      </c>
      <c r="N388" s="15">
        <v>20.85</v>
      </c>
      <c r="O388" s="24">
        <v>4100</v>
      </c>
      <c r="P388" s="17">
        <v>54580</v>
      </c>
      <c r="Q388" s="16">
        <v>4194</v>
      </c>
      <c r="R388" s="19" t="s">
        <v>76</v>
      </c>
      <c r="S388" s="20" t="s">
        <v>39</v>
      </c>
      <c r="T388">
        <v>30977.55</v>
      </c>
    </row>
    <row r="389" spans="1:20" x14ac:dyDescent="0.25">
      <c r="A389" t="str">
        <f>(COUNTIF($K$2:K389,K389))&amp;K389</f>
        <v>2331500</v>
      </c>
      <c r="B389" s="34" t="s">
        <v>88</v>
      </c>
      <c r="C389" s="13" t="s">
        <v>39</v>
      </c>
      <c r="D389" s="14" t="s">
        <v>76</v>
      </c>
      <c r="E389" s="16">
        <v>534270</v>
      </c>
      <c r="F389" s="17">
        <v>1436080</v>
      </c>
      <c r="G389" s="24">
        <v>241720</v>
      </c>
      <c r="H389" s="15">
        <v>22.55</v>
      </c>
      <c r="I389" s="15">
        <v>-5.25</v>
      </c>
      <c r="J389" s="15">
        <v>44.7</v>
      </c>
      <c r="K389" s="18">
        <v>31500</v>
      </c>
      <c r="L389" s="15">
        <v>564.85</v>
      </c>
      <c r="M389" s="15">
        <v>-102.45</v>
      </c>
      <c r="N389" s="15">
        <v>23.56</v>
      </c>
      <c r="O389" s="24">
        <v>2540</v>
      </c>
      <c r="P389" s="17">
        <v>470640</v>
      </c>
      <c r="Q389" s="16">
        <v>6670</v>
      </c>
      <c r="R389" s="19" t="s">
        <v>76</v>
      </c>
      <c r="S389" s="20" t="s">
        <v>39</v>
      </c>
      <c r="T389">
        <v>30977.55</v>
      </c>
    </row>
    <row r="390" spans="1:20" x14ac:dyDescent="0.25">
      <c r="A390" t="str">
        <f>(COUNTIF($K$2:K390,K390))&amp;K390</f>
        <v>2331600</v>
      </c>
      <c r="B390" s="34" t="s">
        <v>88</v>
      </c>
      <c r="C390" s="13" t="s">
        <v>39</v>
      </c>
      <c r="D390" s="14" t="s">
        <v>76</v>
      </c>
      <c r="E390" s="16">
        <v>210792</v>
      </c>
      <c r="F390" s="17">
        <v>356180</v>
      </c>
      <c r="G390" s="24">
        <v>71960</v>
      </c>
      <c r="H390" s="15">
        <v>22.71</v>
      </c>
      <c r="I390" s="15">
        <v>-6.15</v>
      </c>
      <c r="J390" s="15">
        <v>31.6</v>
      </c>
      <c r="K390" s="18">
        <v>31600</v>
      </c>
      <c r="L390" s="15">
        <v>650</v>
      </c>
      <c r="M390" s="15">
        <v>-110.85</v>
      </c>
      <c r="N390" s="15">
        <v>21</v>
      </c>
      <c r="O390" s="24">
        <v>20</v>
      </c>
      <c r="P390" s="17">
        <v>17680</v>
      </c>
      <c r="Q390" s="16">
        <v>295</v>
      </c>
      <c r="R390" s="19" t="s">
        <v>76</v>
      </c>
      <c r="S390" s="20" t="s">
        <v>39</v>
      </c>
      <c r="T390">
        <v>30977.55</v>
      </c>
    </row>
    <row r="391" spans="1:20" x14ac:dyDescent="0.25">
      <c r="A391" t="str">
        <f>(COUNTIF($K$2:K391,K391))&amp;K391</f>
        <v>2331700</v>
      </c>
      <c r="B391" s="34" t="s">
        <v>88</v>
      </c>
      <c r="C391" s="13" t="s">
        <v>39</v>
      </c>
      <c r="D391" s="14" t="s">
        <v>76</v>
      </c>
      <c r="E391" s="16">
        <v>139137</v>
      </c>
      <c r="F391" s="17">
        <v>376120</v>
      </c>
      <c r="G391" s="24">
        <v>18160</v>
      </c>
      <c r="H391" s="15">
        <v>23.07</v>
      </c>
      <c r="I391" s="15">
        <v>-5.85</v>
      </c>
      <c r="J391" s="15">
        <v>22.3</v>
      </c>
      <c r="K391" s="18">
        <v>31700</v>
      </c>
      <c r="L391" s="15">
        <v>748.05</v>
      </c>
      <c r="M391" s="15">
        <v>-95.65</v>
      </c>
      <c r="N391" s="15">
        <v>28.3</v>
      </c>
      <c r="O391" s="24">
        <v>-1240</v>
      </c>
      <c r="P391" s="17">
        <v>10100</v>
      </c>
      <c r="Q391" s="16">
        <v>319</v>
      </c>
      <c r="R391" s="19" t="s">
        <v>77</v>
      </c>
      <c r="S391" s="20" t="s">
        <v>37</v>
      </c>
      <c r="T391">
        <v>30977.55</v>
      </c>
    </row>
    <row r="392" spans="1:20" x14ac:dyDescent="0.25">
      <c r="A392" t="str">
        <f>(COUNTIF($K$2:K392,K392))&amp;K392</f>
        <v>23PCR</v>
      </c>
      <c r="B392" s="34" t="s">
        <v>88</v>
      </c>
      <c r="C392" s="41">
        <v>0.83668248179787763</v>
      </c>
      <c r="E392" s="33"/>
      <c r="F392" s="39">
        <v>6339920</v>
      </c>
      <c r="G392" s="40"/>
      <c r="H392" s="38"/>
      <c r="I392" s="38"/>
      <c r="J392" s="38"/>
      <c r="K392" s="56" t="s">
        <v>57</v>
      </c>
      <c r="L392" s="38"/>
      <c r="M392" s="38"/>
      <c r="N392" s="38"/>
      <c r="P392" s="40">
        <v>5304500</v>
      </c>
      <c r="Q392" s="33"/>
      <c r="R392" s="38"/>
      <c r="S392" s="38"/>
    </row>
    <row r="393" spans="1:20" x14ac:dyDescent="0.25">
      <c r="A393" t="str">
        <f>(COUNTIF($K$2:K393,K393))&amp;K393</f>
        <v>2430200</v>
      </c>
      <c r="B393" s="34" t="s">
        <v>89</v>
      </c>
      <c r="C393" s="13" t="s">
        <v>74</v>
      </c>
      <c r="D393" s="14" t="s">
        <v>76</v>
      </c>
      <c r="E393" s="16">
        <v>168</v>
      </c>
      <c r="F393" s="17">
        <v>1440</v>
      </c>
      <c r="G393" s="24">
        <v>1020</v>
      </c>
      <c r="H393" s="15">
        <v>30.62</v>
      </c>
      <c r="I393" s="15">
        <v>100.2</v>
      </c>
      <c r="J393" s="15">
        <v>821.15</v>
      </c>
      <c r="K393" s="18">
        <v>30200</v>
      </c>
      <c r="L393" s="15">
        <v>19.350000000000001</v>
      </c>
      <c r="M393" s="15">
        <v>-20.8</v>
      </c>
      <c r="N393" s="15">
        <v>24.49</v>
      </c>
      <c r="O393" s="24">
        <v>28120</v>
      </c>
      <c r="P393" s="17">
        <v>242180</v>
      </c>
      <c r="Q393" s="16">
        <v>157179</v>
      </c>
      <c r="R393" s="19" t="s">
        <v>76</v>
      </c>
      <c r="S393" s="20" t="s">
        <v>39</v>
      </c>
      <c r="T393">
        <v>30974.7</v>
      </c>
    </row>
    <row r="394" spans="1:20" x14ac:dyDescent="0.25">
      <c r="A394" t="str">
        <f>(COUNTIF($K$2:K394,K394))&amp;K394</f>
        <v>2430300</v>
      </c>
      <c r="B394" s="34" t="s">
        <v>89</v>
      </c>
      <c r="C394" s="13" t="s">
        <v>40</v>
      </c>
      <c r="D394" s="14" t="s">
        <v>76</v>
      </c>
      <c r="E394" s="16">
        <v>596</v>
      </c>
      <c r="F394" s="17">
        <v>4840</v>
      </c>
      <c r="G394" s="24">
        <v>2680</v>
      </c>
      <c r="H394" s="15">
        <v>21.52</v>
      </c>
      <c r="I394" s="15">
        <v>77.45</v>
      </c>
      <c r="J394" s="15">
        <v>707.1</v>
      </c>
      <c r="K394" s="18">
        <v>30300</v>
      </c>
      <c r="L394" s="15">
        <v>27.05</v>
      </c>
      <c r="M394" s="15">
        <v>-25.6</v>
      </c>
      <c r="N394" s="15">
        <v>23.95</v>
      </c>
      <c r="O394" s="24">
        <v>87780</v>
      </c>
      <c r="P394" s="17">
        <v>234080</v>
      </c>
      <c r="Q394" s="16">
        <v>201314</v>
      </c>
      <c r="R394" s="19" t="s">
        <v>76</v>
      </c>
      <c r="S394" s="20" t="s">
        <v>39</v>
      </c>
      <c r="T394">
        <v>30974.7</v>
      </c>
    </row>
    <row r="395" spans="1:20" x14ac:dyDescent="0.25">
      <c r="A395" t="str">
        <f>(COUNTIF($K$2:K395,K395))&amp;K395</f>
        <v>2430400</v>
      </c>
      <c r="B395" s="34" t="s">
        <v>89</v>
      </c>
      <c r="C395" s="13" t="s">
        <v>40</v>
      </c>
      <c r="D395" s="14" t="s">
        <v>76</v>
      </c>
      <c r="E395" s="16">
        <v>901</v>
      </c>
      <c r="F395" s="17">
        <v>2140</v>
      </c>
      <c r="G395" s="24">
        <v>740</v>
      </c>
      <c r="H395" s="15">
        <v>24.78</v>
      </c>
      <c r="I395" s="15">
        <v>64.900000000000006</v>
      </c>
      <c r="J395" s="15">
        <v>618.25</v>
      </c>
      <c r="K395" s="18">
        <v>30400</v>
      </c>
      <c r="L395" s="15">
        <v>37.25</v>
      </c>
      <c r="M395" s="15">
        <v>-32.5</v>
      </c>
      <c r="N395" s="15">
        <v>23.55</v>
      </c>
      <c r="O395" s="24">
        <v>154280</v>
      </c>
      <c r="P395" s="17">
        <v>285600</v>
      </c>
      <c r="Q395" s="16">
        <v>297952</v>
      </c>
      <c r="R395" s="19" t="s">
        <v>76</v>
      </c>
      <c r="S395" s="20" t="s">
        <v>39</v>
      </c>
      <c r="T395">
        <v>30974.7</v>
      </c>
    </row>
    <row r="396" spans="1:20" x14ac:dyDescent="0.25">
      <c r="A396" t="str">
        <f>(COUNTIF($K$2:K396,K396))&amp;K396</f>
        <v>2430500</v>
      </c>
      <c r="B396" s="34" t="s">
        <v>89</v>
      </c>
      <c r="C396" s="13" t="s">
        <v>40</v>
      </c>
      <c r="D396" s="14" t="s">
        <v>76</v>
      </c>
      <c r="E396" s="16">
        <v>13325</v>
      </c>
      <c r="F396" s="17">
        <v>57320</v>
      </c>
      <c r="G396" s="24">
        <v>9300</v>
      </c>
      <c r="H396" s="15">
        <v>22.47</v>
      </c>
      <c r="I396" s="15">
        <v>49.45</v>
      </c>
      <c r="J396" s="15">
        <v>523</v>
      </c>
      <c r="K396" s="18">
        <v>30500</v>
      </c>
      <c r="L396" s="15">
        <v>51.5</v>
      </c>
      <c r="M396" s="15">
        <v>-40.75</v>
      </c>
      <c r="N396" s="15">
        <v>23.3</v>
      </c>
      <c r="O396" s="24">
        <v>329800</v>
      </c>
      <c r="P396" s="17">
        <v>868140</v>
      </c>
      <c r="Q396" s="16">
        <v>642827</v>
      </c>
      <c r="R396" s="19" t="s">
        <v>76</v>
      </c>
      <c r="S396" s="20" t="s">
        <v>39</v>
      </c>
      <c r="T396">
        <v>30974.7</v>
      </c>
    </row>
    <row r="397" spans="1:20" x14ac:dyDescent="0.25">
      <c r="A397" t="str">
        <f>(COUNTIF($K$2:K397,K397))&amp;K397</f>
        <v>2430600</v>
      </c>
      <c r="B397" s="34" t="s">
        <v>89</v>
      </c>
      <c r="C397" s="13" t="s">
        <v>40</v>
      </c>
      <c r="D397" s="14" t="s">
        <v>76</v>
      </c>
      <c r="E397" s="16">
        <v>10684</v>
      </c>
      <c r="F397" s="17">
        <v>19640</v>
      </c>
      <c r="G397" s="24">
        <v>3260</v>
      </c>
      <c r="H397" s="15">
        <v>21.6</v>
      </c>
      <c r="I397" s="15">
        <v>45.5</v>
      </c>
      <c r="J397" s="15">
        <v>449.05</v>
      </c>
      <c r="K397" s="18">
        <v>30600</v>
      </c>
      <c r="L397" s="15">
        <v>70.099999999999994</v>
      </c>
      <c r="M397" s="15">
        <v>-48.15</v>
      </c>
      <c r="N397" s="15">
        <v>22.92</v>
      </c>
      <c r="O397" s="24">
        <v>247700</v>
      </c>
      <c r="P397" s="17">
        <v>421520</v>
      </c>
      <c r="Q397" s="16">
        <v>370549</v>
      </c>
      <c r="R397" s="19" t="s">
        <v>76</v>
      </c>
      <c r="S397" s="20" t="s">
        <v>39</v>
      </c>
      <c r="T397">
        <v>30974.7</v>
      </c>
    </row>
    <row r="398" spans="1:20" x14ac:dyDescent="0.25">
      <c r="A398" t="str">
        <f>(COUNTIF($K$2:K398,K398))&amp;K398</f>
        <v>2430700</v>
      </c>
      <c r="B398" s="34" t="s">
        <v>89</v>
      </c>
      <c r="C398" s="13" t="s">
        <v>40</v>
      </c>
      <c r="D398" s="14" t="s">
        <v>76</v>
      </c>
      <c r="E398" s="16">
        <v>47476</v>
      </c>
      <c r="F398" s="17">
        <v>55360</v>
      </c>
      <c r="G398" s="24">
        <v>27160</v>
      </c>
      <c r="H398" s="15">
        <v>22.19</v>
      </c>
      <c r="I398" s="15">
        <v>42.55</v>
      </c>
      <c r="J398" s="15">
        <v>375</v>
      </c>
      <c r="K398" s="18">
        <v>30700</v>
      </c>
      <c r="L398" s="15">
        <v>94</v>
      </c>
      <c r="M398" s="15">
        <v>-58.2</v>
      </c>
      <c r="N398" s="15">
        <v>22.61</v>
      </c>
      <c r="O398" s="24">
        <v>300900</v>
      </c>
      <c r="P398" s="17">
        <v>473380</v>
      </c>
      <c r="Q398" s="16">
        <v>438443</v>
      </c>
      <c r="R398" s="19" t="s">
        <v>76</v>
      </c>
      <c r="S398" s="20" t="s">
        <v>39</v>
      </c>
      <c r="T398">
        <v>30974.7</v>
      </c>
    </row>
    <row r="399" spans="1:20" x14ac:dyDescent="0.25">
      <c r="A399" t="str">
        <f>(COUNTIF($K$2:K399,K399))&amp;K399</f>
        <v>2430800</v>
      </c>
      <c r="B399" s="34" t="s">
        <v>89</v>
      </c>
      <c r="C399" s="13" t="s">
        <v>40</v>
      </c>
      <c r="D399" s="14" t="s">
        <v>76</v>
      </c>
      <c r="E399" s="16">
        <v>154847</v>
      </c>
      <c r="F399" s="17">
        <v>208100</v>
      </c>
      <c r="G399" s="24">
        <v>65480</v>
      </c>
      <c r="H399" s="15">
        <v>21.94</v>
      </c>
      <c r="I399" s="15">
        <v>31.2</v>
      </c>
      <c r="J399" s="15">
        <v>304.85000000000002</v>
      </c>
      <c r="K399" s="18">
        <v>30800</v>
      </c>
      <c r="L399" s="15">
        <v>124.55</v>
      </c>
      <c r="M399" s="15">
        <v>-66.599999999999994</v>
      </c>
      <c r="N399" s="15">
        <v>22.43</v>
      </c>
      <c r="O399" s="24">
        <v>313800</v>
      </c>
      <c r="P399" s="17">
        <v>571440</v>
      </c>
      <c r="Q399" s="16">
        <v>449758</v>
      </c>
      <c r="R399" s="19" t="s">
        <v>76</v>
      </c>
      <c r="S399" s="20" t="s">
        <v>39</v>
      </c>
      <c r="T399">
        <v>30974.7</v>
      </c>
    </row>
    <row r="400" spans="1:20" x14ac:dyDescent="0.25">
      <c r="A400" t="str">
        <f>(COUNTIF($K$2:K400,K400))&amp;K400</f>
        <v>2430900</v>
      </c>
      <c r="B400" s="34" t="s">
        <v>89</v>
      </c>
      <c r="C400" s="13" t="s">
        <v>40</v>
      </c>
      <c r="D400" s="14" t="s">
        <v>76</v>
      </c>
      <c r="E400" s="16">
        <v>275662</v>
      </c>
      <c r="F400" s="17">
        <v>392660</v>
      </c>
      <c r="G400" s="24">
        <v>172460</v>
      </c>
      <c r="H400" s="15">
        <v>21.65</v>
      </c>
      <c r="I400" s="15">
        <v>22</v>
      </c>
      <c r="J400" s="15">
        <v>242.85</v>
      </c>
      <c r="K400" s="18">
        <v>30900</v>
      </c>
      <c r="L400" s="15">
        <v>162.44999999999999</v>
      </c>
      <c r="M400" s="15">
        <v>-74.05</v>
      </c>
      <c r="N400" s="15">
        <v>22.1</v>
      </c>
      <c r="O400" s="24">
        <v>313640</v>
      </c>
      <c r="P400" s="17">
        <v>522360</v>
      </c>
      <c r="Q400" s="16">
        <v>383981</v>
      </c>
      <c r="R400" s="19" t="s">
        <v>76</v>
      </c>
      <c r="S400" s="20" t="s">
        <v>39</v>
      </c>
      <c r="T400">
        <v>30974.7</v>
      </c>
    </row>
    <row r="401" spans="1:20" ht="15.75" x14ac:dyDescent="0.25">
      <c r="A401" t="str">
        <f>(COUNTIF($K$2:K401,K401))&amp;K401</f>
        <v>2431000</v>
      </c>
      <c r="B401" s="34" t="s">
        <v>89</v>
      </c>
      <c r="C401" s="13" t="s">
        <v>40</v>
      </c>
      <c r="D401" s="14" t="s">
        <v>76</v>
      </c>
      <c r="E401" s="16">
        <v>609699</v>
      </c>
      <c r="F401" s="17">
        <v>1073060</v>
      </c>
      <c r="G401" s="24">
        <v>294800</v>
      </c>
      <c r="H401" s="15">
        <v>21.62</v>
      </c>
      <c r="I401" s="15">
        <v>12.25</v>
      </c>
      <c r="J401" s="15">
        <v>190.05</v>
      </c>
      <c r="K401" s="21">
        <v>31000</v>
      </c>
      <c r="L401" s="15">
        <v>208.65</v>
      </c>
      <c r="M401" s="15">
        <v>-83.3</v>
      </c>
      <c r="N401" s="15">
        <v>21.83</v>
      </c>
      <c r="O401" s="24">
        <v>329740</v>
      </c>
      <c r="P401" s="17">
        <v>780960</v>
      </c>
      <c r="Q401" s="16">
        <v>377324</v>
      </c>
      <c r="R401" s="19" t="s">
        <v>76</v>
      </c>
      <c r="S401" s="20" t="s">
        <v>39</v>
      </c>
      <c r="T401">
        <v>30974.7</v>
      </c>
    </row>
    <row r="402" spans="1:20" x14ac:dyDescent="0.25">
      <c r="A402" t="str">
        <f>(COUNTIF($K$2:K402,K402))&amp;K402</f>
        <v>2431100</v>
      </c>
      <c r="B402" s="34" t="s">
        <v>89</v>
      </c>
      <c r="C402" s="13" t="s">
        <v>40</v>
      </c>
      <c r="D402" s="14" t="s">
        <v>76</v>
      </c>
      <c r="E402" s="16">
        <v>379894</v>
      </c>
      <c r="F402" s="17">
        <v>504280</v>
      </c>
      <c r="G402" s="24">
        <v>134360</v>
      </c>
      <c r="H402" s="15">
        <v>21.72</v>
      </c>
      <c r="I402" s="15">
        <v>5.55</v>
      </c>
      <c r="J402" s="15">
        <v>145.80000000000001</v>
      </c>
      <c r="K402" s="18">
        <v>31100</v>
      </c>
      <c r="L402" s="15">
        <v>265.95</v>
      </c>
      <c r="M402" s="15">
        <v>-87.5</v>
      </c>
      <c r="N402" s="15">
        <v>22.13</v>
      </c>
      <c r="O402" s="24">
        <v>51880</v>
      </c>
      <c r="P402" s="17">
        <v>156140</v>
      </c>
      <c r="Q402" s="16">
        <v>85900</v>
      </c>
      <c r="R402" s="19" t="s">
        <v>76</v>
      </c>
      <c r="S402" s="20" t="s">
        <v>39</v>
      </c>
      <c r="T402">
        <v>30974.7</v>
      </c>
    </row>
    <row r="403" spans="1:20" x14ac:dyDescent="0.25">
      <c r="A403" t="str">
        <f>(COUNTIF($K$2:K403,K403))&amp;K403</f>
        <v>2431200</v>
      </c>
      <c r="B403" s="34" t="s">
        <v>89</v>
      </c>
      <c r="C403" s="13" t="s">
        <v>39</v>
      </c>
      <c r="D403" s="14" t="s">
        <v>76</v>
      </c>
      <c r="E403" s="16">
        <v>580266</v>
      </c>
      <c r="F403" s="17">
        <v>709700</v>
      </c>
      <c r="G403" s="24">
        <v>150300</v>
      </c>
      <c r="H403" s="15">
        <v>21.97</v>
      </c>
      <c r="I403" s="15">
        <v>-0.25</v>
      </c>
      <c r="J403" s="15">
        <v>110.6</v>
      </c>
      <c r="K403" s="18">
        <v>31200</v>
      </c>
      <c r="L403" s="15">
        <v>329.55</v>
      </c>
      <c r="M403" s="15">
        <v>-95.7</v>
      </c>
      <c r="N403" s="15">
        <v>22.32</v>
      </c>
      <c r="O403" s="24">
        <v>12960</v>
      </c>
      <c r="P403" s="17">
        <v>118060</v>
      </c>
      <c r="Q403" s="16">
        <v>48641</v>
      </c>
      <c r="R403" s="19" t="s">
        <v>76</v>
      </c>
      <c r="S403" s="20" t="s">
        <v>39</v>
      </c>
      <c r="T403">
        <v>30974.7</v>
      </c>
    </row>
    <row r="404" spans="1:20" x14ac:dyDescent="0.25">
      <c r="A404" t="str">
        <f>(COUNTIF($K$2:K404,K404))&amp;K404</f>
        <v>2431300</v>
      </c>
      <c r="B404" s="34" t="s">
        <v>89</v>
      </c>
      <c r="C404" s="13" t="s">
        <v>39</v>
      </c>
      <c r="D404" s="14" t="s">
        <v>76</v>
      </c>
      <c r="E404" s="16">
        <v>411281</v>
      </c>
      <c r="F404" s="17">
        <v>625120</v>
      </c>
      <c r="G404" s="24">
        <v>177440</v>
      </c>
      <c r="H404" s="15">
        <v>22.04</v>
      </c>
      <c r="I404" s="15">
        <v>-3.25</v>
      </c>
      <c r="J404" s="15">
        <v>82.3</v>
      </c>
      <c r="K404" s="18">
        <v>31300</v>
      </c>
      <c r="L404" s="15">
        <v>408</v>
      </c>
      <c r="M404" s="15">
        <v>-100.7</v>
      </c>
      <c r="N404" s="15">
        <v>23.12</v>
      </c>
      <c r="O404" s="24">
        <v>-7080</v>
      </c>
      <c r="P404" s="17">
        <v>96100</v>
      </c>
      <c r="Q404" s="16">
        <v>12920</v>
      </c>
      <c r="R404" s="19" t="s">
        <v>77</v>
      </c>
      <c r="S404" s="20" t="s">
        <v>37</v>
      </c>
      <c r="T404">
        <v>30974.7</v>
      </c>
    </row>
    <row r="405" spans="1:20" x14ac:dyDescent="0.25">
      <c r="A405" t="str">
        <f>(COUNTIF($K$2:K405,K405))&amp;K405</f>
        <v>2431400</v>
      </c>
      <c r="B405" s="34" t="s">
        <v>89</v>
      </c>
      <c r="C405" s="13" t="s">
        <v>39</v>
      </c>
      <c r="D405" s="14" t="s">
        <v>76</v>
      </c>
      <c r="E405" s="16">
        <v>363507</v>
      </c>
      <c r="F405" s="17">
        <v>540900</v>
      </c>
      <c r="G405" s="24">
        <v>147740</v>
      </c>
      <c r="H405" s="15">
        <v>22.16</v>
      </c>
      <c r="I405" s="15">
        <v>-6.3</v>
      </c>
      <c r="J405" s="15">
        <v>59.55</v>
      </c>
      <c r="K405" s="18">
        <v>31400</v>
      </c>
      <c r="L405" s="15">
        <v>486.15</v>
      </c>
      <c r="M405" s="15">
        <v>-95.8</v>
      </c>
      <c r="N405" s="15">
        <v>20.85</v>
      </c>
      <c r="O405" s="24">
        <v>4280</v>
      </c>
      <c r="P405" s="17">
        <v>54760</v>
      </c>
      <c r="Q405" s="16">
        <v>4201</v>
      </c>
      <c r="R405" s="19" t="s">
        <v>76</v>
      </c>
      <c r="S405" s="20" t="s">
        <v>39</v>
      </c>
      <c r="T405">
        <v>30974.7</v>
      </c>
    </row>
    <row r="406" spans="1:20" x14ac:dyDescent="0.25">
      <c r="A406" t="str">
        <f>(COUNTIF($K$2:K406,K406))&amp;K406</f>
        <v>2431500</v>
      </c>
      <c r="B406" s="34" t="s">
        <v>89</v>
      </c>
      <c r="C406" s="13" t="s">
        <v>39</v>
      </c>
      <c r="D406" s="14" t="s">
        <v>76</v>
      </c>
      <c r="E406" s="16">
        <v>537032</v>
      </c>
      <c r="F406" s="17">
        <v>1441820</v>
      </c>
      <c r="G406" s="24">
        <v>247460</v>
      </c>
      <c r="H406" s="15">
        <v>22.55</v>
      </c>
      <c r="I406" s="15">
        <v>-6.45</v>
      </c>
      <c r="J406" s="15">
        <v>43.5</v>
      </c>
      <c r="K406" s="18">
        <v>31500</v>
      </c>
      <c r="L406" s="15">
        <v>568.29999999999995</v>
      </c>
      <c r="M406" s="15">
        <v>-99</v>
      </c>
      <c r="N406" s="15">
        <v>23.56</v>
      </c>
      <c r="O406" s="24">
        <v>3640</v>
      </c>
      <c r="P406" s="17">
        <v>471740</v>
      </c>
      <c r="Q406" s="16">
        <v>6736</v>
      </c>
      <c r="R406" s="19" t="s">
        <v>76</v>
      </c>
      <c r="S406" s="20" t="s">
        <v>39</v>
      </c>
      <c r="T406">
        <v>30974.7</v>
      </c>
    </row>
    <row r="407" spans="1:20" x14ac:dyDescent="0.25">
      <c r="A407" t="str">
        <f>(COUNTIF($K$2:K407,K407))&amp;K407</f>
        <v>2431600</v>
      </c>
      <c r="B407" s="34" t="s">
        <v>89</v>
      </c>
      <c r="C407" s="13" t="s">
        <v>39</v>
      </c>
      <c r="D407" s="14" t="s">
        <v>76</v>
      </c>
      <c r="E407" s="16">
        <v>212355</v>
      </c>
      <c r="F407" s="17">
        <v>358020</v>
      </c>
      <c r="G407" s="24">
        <v>73800</v>
      </c>
      <c r="H407" s="15">
        <v>22.71</v>
      </c>
      <c r="I407" s="15">
        <v>-7.15</v>
      </c>
      <c r="J407" s="15">
        <v>30.6</v>
      </c>
      <c r="K407" s="18">
        <v>31600</v>
      </c>
      <c r="L407" s="15">
        <v>650</v>
      </c>
      <c r="M407" s="15">
        <v>-110.85</v>
      </c>
      <c r="N407" s="15">
        <v>21</v>
      </c>
      <c r="O407" s="24">
        <v>20</v>
      </c>
      <c r="P407" s="17">
        <v>17680</v>
      </c>
      <c r="Q407" s="16">
        <v>295</v>
      </c>
      <c r="R407" s="19" t="s">
        <v>76</v>
      </c>
      <c r="S407" s="20" t="s">
        <v>39</v>
      </c>
      <c r="T407">
        <v>30974.7</v>
      </c>
    </row>
    <row r="408" spans="1:20" x14ac:dyDescent="0.25">
      <c r="A408" t="str">
        <f>(COUNTIF($K$2:K408,K408))&amp;K408</f>
        <v>2431700</v>
      </c>
      <c r="B408" s="34" t="s">
        <v>89</v>
      </c>
      <c r="C408" s="13" t="s">
        <v>39</v>
      </c>
      <c r="D408" s="14" t="s">
        <v>76</v>
      </c>
      <c r="E408" s="16">
        <v>139939</v>
      </c>
      <c r="F408" s="17">
        <v>382200</v>
      </c>
      <c r="G408" s="24">
        <v>24240</v>
      </c>
      <c r="H408" s="15">
        <v>23.07</v>
      </c>
      <c r="I408" s="15">
        <v>-6.65</v>
      </c>
      <c r="J408" s="15">
        <v>21.5</v>
      </c>
      <c r="K408" s="18">
        <v>31700</v>
      </c>
      <c r="L408" s="15">
        <v>748.05</v>
      </c>
      <c r="M408" s="15">
        <v>-95.65</v>
      </c>
      <c r="N408" s="15">
        <v>28.3</v>
      </c>
      <c r="O408" s="24">
        <v>-1240</v>
      </c>
      <c r="P408" s="17">
        <v>10100</v>
      </c>
      <c r="Q408" s="16">
        <v>319</v>
      </c>
      <c r="R408" s="19" t="s">
        <v>77</v>
      </c>
      <c r="S408" s="20" t="s">
        <v>37</v>
      </c>
      <c r="T408">
        <v>30974.7</v>
      </c>
    </row>
    <row r="409" spans="1:20" x14ac:dyDescent="0.25">
      <c r="A409" t="str">
        <f>(COUNTIF($K$2:K409,K409))&amp;K409</f>
        <v>24PCR</v>
      </c>
      <c r="B409" s="34" t="s">
        <v>89</v>
      </c>
      <c r="C409" s="41">
        <v>0.83496534203180384</v>
      </c>
      <c r="E409" s="33"/>
      <c r="F409" s="39">
        <v>6376600</v>
      </c>
      <c r="G409" s="40"/>
      <c r="H409" s="38"/>
      <c r="I409" s="38"/>
      <c r="J409" s="38"/>
      <c r="K409" s="56" t="s">
        <v>57</v>
      </c>
      <c r="L409" s="38"/>
      <c r="M409" s="38"/>
      <c r="N409" s="38"/>
      <c r="P409" s="40">
        <v>5324240</v>
      </c>
      <c r="Q409" s="33"/>
      <c r="R409" s="38"/>
      <c r="S409" s="38"/>
    </row>
    <row r="410" spans="1:20" x14ac:dyDescent="0.25">
      <c r="A410" t="str">
        <f>(COUNTIF($K$2:K410,K410))&amp;K410</f>
        <v>2530200</v>
      </c>
      <c r="B410" s="34" t="s">
        <v>89</v>
      </c>
      <c r="C410" s="13" t="s">
        <v>74</v>
      </c>
      <c r="D410" s="14" t="s">
        <v>76</v>
      </c>
      <c r="E410" s="16">
        <v>168</v>
      </c>
      <c r="F410" s="17">
        <v>1440</v>
      </c>
      <c r="G410" s="24">
        <v>1020</v>
      </c>
      <c r="H410" s="15">
        <v>30.62</v>
      </c>
      <c r="I410" s="15">
        <v>100.2</v>
      </c>
      <c r="J410" s="15">
        <v>821.15</v>
      </c>
      <c r="K410" s="18">
        <v>30200</v>
      </c>
      <c r="L410" s="15">
        <v>19.350000000000001</v>
      </c>
      <c r="M410" s="15">
        <v>-20.8</v>
      </c>
      <c r="N410" s="15">
        <v>24.49</v>
      </c>
      <c r="O410" s="24">
        <v>28120</v>
      </c>
      <c r="P410" s="17">
        <v>242180</v>
      </c>
      <c r="Q410" s="16">
        <v>157179</v>
      </c>
      <c r="R410" s="19" t="s">
        <v>76</v>
      </c>
      <c r="S410" s="20" t="s">
        <v>39</v>
      </c>
      <c r="T410">
        <v>30974.7</v>
      </c>
    </row>
    <row r="411" spans="1:20" x14ac:dyDescent="0.25">
      <c r="A411" t="str">
        <f>(COUNTIF($K$2:K411,K411))&amp;K411</f>
        <v>2530300</v>
      </c>
      <c r="B411" s="34" t="s">
        <v>89</v>
      </c>
      <c r="C411" s="13" t="s">
        <v>40</v>
      </c>
      <c r="D411" s="14" t="s">
        <v>76</v>
      </c>
      <c r="E411" s="16">
        <v>596</v>
      </c>
      <c r="F411" s="17">
        <v>4840</v>
      </c>
      <c r="G411" s="24">
        <v>2680</v>
      </c>
      <c r="H411" s="15">
        <v>21.52</v>
      </c>
      <c r="I411" s="15">
        <v>77.45</v>
      </c>
      <c r="J411" s="15">
        <v>707.1</v>
      </c>
      <c r="K411" s="18">
        <v>30300</v>
      </c>
      <c r="L411" s="15">
        <v>27.05</v>
      </c>
      <c r="M411" s="15">
        <v>-25.6</v>
      </c>
      <c r="N411" s="15">
        <v>23.95</v>
      </c>
      <c r="O411" s="24">
        <v>87780</v>
      </c>
      <c r="P411" s="17">
        <v>234080</v>
      </c>
      <c r="Q411" s="16">
        <v>201314</v>
      </c>
      <c r="R411" s="19" t="s">
        <v>76</v>
      </c>
      <c r="S411" s="20" t="s">
        <v>39</v>
      </c>
      <c r="T411">
        <v>30974.7</v>
      </c>
    </row>
    <row r="412" spans="1:20" x14ac:dyDescent="0.25">
      <c r="A412" t="str">
        <f>(COUNTIF($K$2:K412,K412))&amp;K412</f>
        <v>2530400</v>
      </c>
      <c r="B412" s="34" t="s">
        <v>89</v>
      </c>
      <c r="C412" s="13" t="s">
        <v>40</v>
      </c>
      <c r="D412" s="14" t="s">
        <v>76</v>
      </c>
      <c r="E412" s="16">
        <v>901</v>
      </c>
      <c r="F412" s="17">
        <v>2140</v>
      </c>
      <c r="G412" s="24">
        <v>740</v>
      </c>
      <c r="H412" s="15">
        <v>24.78</v>
      </c>
      <c r="I412" s="15">
        <v>64.900000000000006</v>
      </c>
      <c r="J412" s="15">
        <v>618.25</v>
      </c>
      <c r="K412" s="18">
        <v>30400</v>
      </c>
      <c r="L412" s="15">
        <v>37.25</v>
      </c>
      <c r="M412" s="15">
        <v>-32.5</v>
      </c>
      <c r="N412" s="15">
        <v>23.55</v>
      </c>
      <c r="O412" s="24">
        <v>154280</v>
      </c>
      <c r="P412" s="17">
        <v>285600</v>
      </c>
      <c r="Q412" s="16">
        <v>297952</v>
      </c>
      <c r="R412" s="19" t="s">
        <v>76</v>
      </c>
      <c r="S412" s="20" t="s">
        <v>39</v>
      </c>
      <c r="T412">
        <v>30974.7</v>
      </c>
    </row>
    <row r="413" spans="1:20" x14ac:dyDescent="0.25">
      <c r="A413" t="str">
        <f>(COUNTIF($K$2:K413,K413))&amp;K413</f>
        <v>2530500</v>
      </c>
      <c r="B413" s="34" t="s">
        <v>89</v>
      </c>
      <c r="C413" s="13" t="s">
        <v>40</v>
      </c>
      <c r="D413" s="14" t="s">
        <v>76</v>
      </c>
      <c r="E413" s="16">
        <v>13325</v>
      </c>
      <c r="F413" s="17">
        <v>57320</v>
      </c>
      <c r="G413" s="24">
        <v>9300</v>
      </c>
      <c r="H413" s="15">
        <v>22.47</v>
      </c>
      <c r="I413" s="15">
        <v>49.45</v>
      </c>
      <c r="J413" s="15">
        <v>523</v>
      </c>
      <c r="K413" s="18">
        <v>30500</v>
      </c>
      <c r="L413" s="15">
        <v>51.5</v>
      </c>
      <c r="M413" s="15">
        <v>-40.75</v>
      </c>
      <c r="N413" s="15">
        <v>23.3</v>
      </c>
      <c r="O413" s="24">
        <v>329800</v>
      </c>
      <c r="P413" s="17">
        <v>868140</v>
      </c>
      <c r="Q413" s="16">
        <v>642827</v>
      </c>
      <c r="R413" s="19" t="s">
        <v>76</v>
      </c>
      <c r="S413" s="20" t="s">
        <v>39</v>
      </c>
      <c r="T413">
        <v>30974.7</v>
      </c>
    </row>
    <row r="414" spans="1:20" x14ac:dyDescent="0.25">
      <c r="A414" t="str">
        <f>(COUNTIF($K$2:K414,K414))&amp;K414</f>
        <v>2530600</v>
      </c>
      <c r="B414" s="34" t="s">
        <v>89</v>
      </c>
      <c r="C414" s="13" t="s">
        <v>40</v>
      </c>
      <c r="D414" s="14" t="s">
        <v>76</v>
      </c>
      <c r="E414" s="16">
        <v>10684</v>
      </c>
      <c r="F414" s="17">
        <v>19640</v>
      </c>
      <c r="G414" s="24">
        <v>3260</v>
      </c>
      <c r="H414" s="15">
        <v>21.6</v>
      </c>
      <c r="I414" s="15">
        <v>45.5</v>
      </c>
      <c r="J414" s="15">
        <v>449.05</v>
      </c>
      <c r="K414" s="18">
        <v>30600</v>
      </c>
      <c r="L414" s="15">
        <v>70.099999999999994</v>
      </c>
      <c r="M414" s="15">
        <v>-48.15</v>
      </c>
      <c r="N414" s="15">
        <v>22.92</v>
      </c>
      <c r="O414" s="24">
        <v>247700</v>
      </c>
      <c r="P414" s="17">
        <v>421520</v>
      </c>
      <c r="Q414" s="16">
        <v>370549</v>
      </c>
      <c r="R414" s="19" t="s">
        <v>76</v>
      </c>
      <c r="S414" s="20" t="s">
        <v>39</v>
      </c>
      <c r="T414">
        <v>30974.7</v>
      </c>
    </row>
    <row r="415" spans="1:20" x14ac:dyDescent="0.25">
      <c r="A415" t="str">
        <f>(COUNTIF($K$2:K415,K415))&amp;K415</f>
        <v>2530700</v>
      </c>
      <c r="B415" s="34" t="s">
        <v>89</v>
      </c>
      <c r="C415" s="13" t="s">
        <v>40</v>
      </c>
      <c r="D415" s="14" t="s">
        <v>76</v>
      </c>
      <c r="E415" s="16">
        <v>47476</v>
      </c>
      <c r="F415" s="17">
        <v>55360</v>
      </c>
      <c r="G415" s="24">
        <v>27160</v>
      </c>
      <c r="H415" s="15">
        <v>22.19</v>
      </c>
      <c r="I415" s="15">
        <v>42.55</v>
      </c>
      <c r="J415" s="15">
        <v>375</v>
      </c>
      <c r="K415" s="18">
        <v>30700</v>
      </c>
      <c r="L415" s="15">
        <v>94</v>
      </c>
      <c r="M415" s="15">
        <v>-58.2</v>
      </c>
      <c r="N415" s="15">
        <v>22.61</v>
      </c>
      <c r="O415" s="24">
        <v>300900</v>
      </c>
      <c r="P415" s="17">
        <v>473380</v>
      </c>
      <c r="Q415" s="16">
        <v>438443</v>
      </c>
      <c r="R415" s="19" t="s">
        <v>76</v>
      </c>
      <c r="S415" s="20" t="s">
        <v>39</v>
      </c>
      <c r="T415">
        <v>30974.7</v>
      </c>
    </row>
    <row r="416" spans="1:20" x14ac:dyDescent="0.25">
      <c r="A416" t="str">
        <f>(COUNTIF($K$2:K416,K416))&amp;K416</f>
        <v>2530800</v>
      </c>
      <c r="B416" s="34" t="s">
        <v>89</v>
      </c>
      <c r="C416" s="13" t="s">
        <v>40</v>
      </c>
      <c r="D416" s="14" t="s">
        <v>76</v>
      </c>
      <c r="E416" s="16">
        <v>154847</v>
      </c>
      <c r="F416" s="17">
        <v>208100</v>
      </c>
      <c r="G416" s="24">
        <v>65480</v>
      </c>
      <c r="H416" s="15">
        <v>21.94</v>
      </c>
      <c r="I416" s="15">
        <v>31.2</v>
      </c>
      <c r="J416" s="15">
        <v>304.85000000000002</v>
      </c>
      <c r="K416" s="18">
        <v>30800</v>
      </c>
      <c r="L416" s="15">
        <v>124.55</v>
      </c>
      <c r="M416" s="15">
        <v>-66.599999999999994</v>
      </c>
      <c r="N416" s="15">
        <v>22.43</v>
      </c>
      <c r="O416" s="24">
        <v>313800</v>
      </c>
      <c r="P416" s="17">
        <v>571440</v>
      </c>
      <c r="Q416" s="16">
        <v>449758</v>
      </c>
      <c r="R416" s="19" t="s">
        <v>76</v>
      </c>
      <c r="S416" s="20" t="s">
        <v>39</v>
      </c>
      <c r="T416">
        <v>30974.7</v>
      </c>
    </row>
    <row r="417" spans="1:20" x14ac:dyDescent="0.25">
      <c r="A417" t="str">
        <f>(COUNTIF($K$2:K417,K417))&amp;K417</f>
        <v>2530900</v>
      </c>
      <c r="B417" s="34" t="s">
        <v>89</v>
      </c>
      <c r="C417" s="13" t="s">
        <v>40</v>
      </c>
      <c r="D417" s="14" t="s">
        <v>76</v>
      </c>
      <c r="E417" s="16">
        <v>275662</v>
      </c>
      <c r="F417" s="17">
        <v>392660</v>
      </c>
      <c r="G417" s="24">
        <v>172460</v>
      </c>
      <c r="H417" s="15">
        <v>21.65</v>
      </c>
      <c r="I417" s="15">
        <v>22</v>
      </c>
      <c r="J417" s="15">
        <v>242.85</v>
      </c>
      <c r="K417" s="18">
        <v>30900</v>
      </c>
      <c r="L417" s="15">
        <v>162.44999999999999</v>
      </c>
      <c r="M417" s="15">
        <v>-74.05</v>
      </c>
      <c r="N417" s="15">
        <v>22.1</v>
      </c>
      <c r="O417" s="24">
        <v>313640</v>
      </c>
      <c r="P417" s="17">
        <v>522360</v>
      </c>
      <c r="Q417" s="16">
        <v>383981</v>
      </c>
      <c r="R417" s="19" t="s">
        <v>76</v>
      </c>
      <c r="S417" s="20" t="s">
        <v>39</v>
      </c>
      <c r="T417">
        <v>30974.7</v>
      </c>
    </row>
    <row r="418" spans="1:20" ht="15.75" x14ac:dyDescent="0.25">
      <c r="A418" t="str">
        <f>(COUNTIF($K$2:K418,K418))&amp;K418</f>
        <v>2531000</v>
      </c>
      <c r="B418" s="34" t="s">
        <v>89</v>
      </c>
      <c r="C418" s="13" t="s">
        <v>40</v>
      </c>
      <c r="D418" s="14" t="s">
        <v>76</v>
      </c>
      <c r="E418" s="16">
        <v>609699</v>
      </c>
      <c r="F418" s="17">
        <v>1073060</v>
      </c>
      <c r="G418" s="24">
        <v>294800</v>
      </c>
      <c r="H418" s="15">
        <v>21.62</v>
      </c>
      <c r="I418" s="15">
        <v>12.25</v>
      </c>
      <c r="J418" s="15">
        <v>190.05</v>
      </c>
      <c r="K418" s="21">
        <v>31000</v>
      </c>
      <c r="L418" s="15">
        <v>208.65</v>
      </c>
      <c r="M418" s="15">
        <v>-83.3</v>
      </c>
      <c r="N418" s="15">
        <v>21.83</v>
      </c>
      <c r="O418" s="24">
        <v>329740</v>
      </c>
      <c r="P418" s="17">
        <v>780960</v>
      </c>
      <c r="Q418" s="16">
        <v>377324</v>
      </c>
      <c r="R418" s="19" t="s">
        <v>76</v>
      </c>
      <c r="S418" s="20" t="s">
        <v>39</v>
      </c>
      <c r="T418">
        <v>30974.7</v>
      </c>
    </row>
    <row r="419" spans="1:20" x14ac:dyDescent="0.25">
      <c r="A419" t="str">
        <f>(COUNTIF($K$2:K419,K419))&amp;K419</f>
        <v>2531100</v>
      </c>
      <c r="B419" s="34" t="s">
        <v>89</v>
      </c>
      <c r="C419" s="13" t="s">
        <v>40</v>
      </c>
      <c r="D419" s="14" t="s">
        <v>76</v>
      </c>
      <c r="E419" s="16">
        <v>379894</v>
      </c>
      <c r="F419" s="17">
        <v>504280</v>
      </c>
      <c r="G419" s="24">
        <v>134360</v>
      </c>
      <c r="H419" s="15">
        <v>21.72</v>
      </c>
      <c r="I419" s="15">
        <v>5.55</v>
      </c>
      <c r="J419" s="15">
        <v>145.80000000000001</v>
      </c>
      <c r="K419" s="18">
        <v>31100</v>
      </c>
      <c r="L419" s="15">
        <v>265.95</v>
      </c>
      <c r="M419" s="15">
        <v>-87.5</v>
      </c>
      <c r="N419" s="15">
        <v>22.13</v>
      </c>
      <c r="O419" s="24">
        <v>51880</v>
      </c>
      <c r="P419" s="17">
        <v>156140</v>
      </c>
      <c r="Q419" s="16">
        <v>85900</v>
      </c>
      <c r="R419" s="19" t="s">
        <v>76</v>
      </c>
      <c r="S419" s="20" t="s">
        <v>39</v>
      </c>
      <c r="T419">
        <v>30974.7</v>
      </c>
    </row>
    <row r="420" spans="1:20" x14ac:dyDescent="0.25">
      <c r="A420" t="str">
        <f>(COUNTIF($K$2:K420,K420))&amp;K420</f>
        <v>2531200</v>
      </c>
      <c r="B420" s="34" t="s">
        <v>89</v>
      </c>
      <c r="C420" s="13" t="s">
        <v>39</v>
      </c>
      <c r="D420" s="14" t="s">
        <v>76</v>
      </c>
      <c r="E420" s="16">
        <v>580266</v>
      </c>
      <c r="F420" s="17">
        <v>709700</v>
      </c>
      <c r="G420" s="24">
        <v>150300</v>
      </c>
      <c r="H420" s="15">
        <v>21.97</v>
      </c>
      <c r="I420" s="15">
        <v>-0.25</v>
      </c>
      <c r="J420" s="15">
        <v>110.6</v>
      </c>
      <c r="K420" s="18">
        <v>31200</v>
      </c>
      <c r="L420" s="15">
        <v>329.55</v>
      </c>
      <c r="M420" s="15">
        <v>-95.7</v>
      </c>
      <c r="N420" s="15">
        <v>22.32</v>
      </c>
      <c r="O420" s="24">
        <v>12960</v>
      </c>
      <c r="P420" s="17">
        <v>118060</v>
      </c>
      <c r="Q420" s="16">
        <v>48641</v>
      </c>
      <c r="R420" s="19" t="s">
        <v>76</v>
      </c>
      <c r="S420" s="20" t="s">
        <v>39</v>
      </c>
      <c r="T420">
        <v>30974.7</v>
      </c>
    </row>
    <row r="421" spans="1:20" x14ac:dyDescent="0.25">
      <c r="A421" t="str">
        <f>(COUNTIF($K$2:K421,K421))&amp;K421</f>
        <v>2531300</v>
      </c>
      <c r="B421" s="34" t="s">
        <v>89</v>
      </c>
      <c r="C421" s="13" t="s">
        <v>39</v>
      </c>
      <c r="D421" s="14" t="s">
        <v>76</v>
      </c>
      <c r="E421" s="16">
        <v>411281</v>
      </c>
      <c r="F421" s="17">
        <v>625120</v>
      </c>
      <c r="G421" s="24">
        <v>177440</v>
      </c>
      <c r="H421" s="15">
        <v>22.04</v>
      </c>
      <c r="I421" s="15">
        <v>-3.25</v>
      </c>
      <c r="J421" s="15">
        <v>82.3</v>
      </c>
      <c r="K421" s="18">
        <v>31300</v>
      </c>
      <c r="L421" s="15">
        <v>408</v>
      </c>
      <c r="M421" s="15">
        <v>-100.7</v>
      </c>
      <c r="N421" s="15">
        <v>23.12</v>
      </c>
      <c r="O421" s="24">
        <v>-7080</v>
      </c>
      <c r="P421" s="17">
        <v>96100</v>
      </c>
      <c r="Q421" s="16">
        <v>12920</v>
      </c>
      <c r="R421" s="19" t="s">
        <v>77</v>
      </c>
      <c r="S421" s="20" t="s">
        <v>37</v>
      </c>
      <c r="T421">
        <v>30974.7</v>
      </c>
    </row>
    <row r="422" spans="1:20" x14ac:dyDescent="0.25">
      <c r="A422" t="str">
        <f>(COUNTIF($K$2:K422,K422))&amp;K422</f>
        <v>2531400</v>
      </c>
      <c r="B422" s="34" t="s">
        <v>89</v>
      </c>
      <c r="C422" s="13" t="s">
        <v>39</v>
      </c>
      <c r="D422" s="14" t="s">
        <v>76</v>
      </c>
      <c r="E422" s="16">
        <v>363507</v>
      </c>
      <c r="F422" s="17">
        <v>540900</v>
      </c>
      <c r="G422" s="24">
        <v>147740</v>
      </c>
      <c r="H422" s="15">
        <v>22.16</v>
      </c>
      <c r="I422" s="15">
        <v>-6.3</v>
      </c>
      <c r="J422" s="15">
        <v>59.55</v>
      </c>
      <c r="K422" s="18">
        <v>31400</v>
      </c>
      <c r="L422" s="15">
        <v>486.15</v>
      </c>
      <c r="M422" s="15">
        <v>-95.8</v>
      </c>
      <c r="N422" s="15">
        <v>20.85</v>
      </c>
      <c r="O422" s="24">
        <v>4280</v>
      </c>
      <c r="P422" s="17">
        <v>54760</v>
      </c>
      <c r="Q422" s="16">
        <v>4201</v>
      </c>
      <c r="R422" s="19" t="s">
        <v>76</v>
      </c>
      <c r="S422" s="20" t="s">
        <v>39</v>
      </c>
      <c r="T422">
        <v>30974.7</v>
      </c>
    </row>
    <row r="423" spans="1:20" x14ac:dyDescent="0.25">
      <c r="A423" t="str">
        <f>(COUNTIF($K$2:K423,K423))&amp;K423</f>
        <v>2531500</v>
      </c>
      <c r="B423" s="34" t="s">
        <v>89</v>
      </c>
      <c r="C423" s="13" t="s">
        <v>39</v>
      </c>
      <c r="D423" s="14" t="s">
        <v>76</v>
      </c>
      <c r="E423" s="16">
        <v>537032</v>
      </c>
      <c r="F423" s="17">
        <v>1441820</v>
      </c>
      <c r="G423" s="24">
        <v>247460</v>
      </c>
      <c r="H423" s="15">
        <v>22.55</v>
      </c>
      <c r="I423" s="15">
        <v>-6.45</v>
      </c>
      <c r="J423" s="15">
        <v>43.5</v>
      </c>
      <c r="K423" s="18">
        <v>31500</v>
      </c>
      <c r="L423" s="15">
        <v>568.29999999999995</v>
      </c>
      <c r="M423" s="15">
        <v>-99</v>
      </c>
      <c r="N423" s="15">
        <v>23.56</v>
      </c>
      <c r="O423" s="24">
        <v>3640</v>
      </c>
      <c r="P423" s="17">
        <v>471740</v>
      </c>
      <c r="Q423" s="16">
        <v>6736</v>
      </c>
      <c r="R423" s="19" t="s">
        <v>76</v>
      </c>
      <c r="S423" s="20" t="s">
        <v>39</v>
      </c>
      <c r="T423">
        <v>30974.7</v>
      </c>
    </row>
    <row r="424" spans="1:20" x14ac:dyDescent="0.25">
      <c r="A424" t="str">
        <f>(COUNTIF($K$2:K424,K424))&amp;K424</f>
        <v>2531600</v>
      </c>
      <c r="B424" s="34" t="s">
        <v>89</v>
      </c>
      <c r="C424" s="13" t="s">
        <v>39</v>
      </c>
      <c r="D424" s="14" t="s">
        <v>76</v>
      </c>
      <c r="E424" s="16">
        <v>212355</v>
      </c>
      <c r="F424" s="17">
        <v>358020</v>
      </c>
      <c r="G424" s="24">
        <v>73800</v>
      </c>
      <c r="H424" s="15">
        <v>22.71</v>
      </c>
      <c r="I424" s="15">
        <v>-7.15</v>
      </c>
      <c r="J424" s="15">
        <v>30.6</v>
      </c>
      <c r="K424" s="18">
        <v>31600</v>
      </c>
      <c r="L424" s="15">
        <v>650</v>
      </c>
      <c r="M424" s="15">
        <v>-110.85</v>
      </c>
      <c r="N424" s="15">
        <v>21</v>
      </c>
      <c r="O424" s="24">
        <v>20</v>
      </c>
      <c r="P424" s="17">
        <v>17680</v>
      </c>
      <c r="Q424" s="16">
        <v>295</v>
      </c>
      <c r="R424" s="19" t="s">
        <v>76</v>
      </c>
      <c r="S424" s="20" t="s">
        <v>39</v>
      </c>
      <c r="T424">
        <v>30974.7</v>
      </c>
    </row>
    <row r="425" spans="1:20" x14ac:dyDescent="0.25">
      <c r="A425" t="str">
        <f>(COUNTIF($K$2:K425,K425))&amp;K425</f>
        <v>2531700</v>
      </c>
      <c r="B425" s="34" t="s">
        <v>89</v>
      </c>
      <c r="C425" s="13" t="s">
        <v>39</v>
      </c>
      <c r="D425" s="14" t="s">
        <v>76</v>
      </c>
      <c r="E425" s="16">
        <v>139939</v>
      </c>
      <c r="F425" s="17">
        <v>382200</v>
      </c>
      <c r="G425" s="24">
        <v>24240</v>
      </c>
      <c r="H425" s="15">
        <v>23.07</v>
      </c>
      <c r="I425" s="15">
        <v>-6.65</v>
      </c>
      <c r="J425" s="15">
        <v>21.5</v>
      </c>
      <c r="K425" s="18">
        <v>31700</v>
      </c>
      <c r="L425" s="15">
        <v>748.05</v>
      </c>
      <c r="M425" s="15">
        <v>-95.65</v>
      </c>
      <c r="N425" s="15">
        <v>28.3</v>
      </c>
      <c r="O425" s="24">
        <v>-1240</v>
      </c>
      <c r="P425" s="17">
        <v>10100</v>
      </c>
      <c r="Q425" s="16">
        <v>319</v>
      </c>
      <c r="R425" s="19" t="s">
        <v>77</v>
      </c>
      <c r="S425" s="20" t="s">
        <v>37</v>
      </c>
      <c r="T425">
        <v>30974.7</v>
      </c>
    </row>
    <row r="426" spans="1:20" x14ac:dyDescent="0.25">
      <c r="A426" t="str">
        <f>(COUNTIF($K$2:K426,K426))&amp;K426</f>
        <v>25PCR</v>
      </c>
      <c r="B426" s="34" t="s">
        <v>89</v>
      </c>
      <c r="C426" s="41">
        <v>0.83496534203180384</v>
      </c>
      <c r="E426" s="33"/>
      <c r="F426" s="39">
        <v>6376600</v>
      </c>
      <c r="G426" s="40"/>
      <c r="H426" s="38"/>
      <c r="I426" s="38"/>
      <c r="J426" s="38"/>
      <c r="K426" s="56" t="s">
        <v>57</v>
      </c>
      <c r="L426" s="38"/>
      <c r="M426" s="38"/>
      <c r="N426" s="38"/>
      <c r="P426" s="40">
        <v>5324240</v>
      </c>
      <c r="Q426" s="33"/>
      <c r="R426" s="38"/>
      <c r="S426" s="38"/>
    </row>
    <row r="427" spans="1:20" x14ac:dyDescent="0.25">
      <c r="A427" t="str">
        <f>(COUNTIF($K$2:K427,K427))&amp;K427</f>
        <v>2630200</v>
      </c>
      <c r="B427" s="34" t="s">
        <v>89</v>
      </c>
      <c r="C427" s="13" t="s">
        <v>74</v>
      </c>
      <c r="D427" s="14" t="s">
        <v>76</v>
      </c>
      <c r="E427" s="16">
        <v>168</v>
      </c>
      <c r="F427" s="17">
        <v>1440</v>
      </c>
      <c r="G427" s="24">
        <v>1020</v>
      </c>
      <c r="H427" s="15">
        <v>30.62</v>
      </c>
      <c r="I427" s="15">
        <v>100.2</v>
      </c>
      <c r="J427" s="15">
        <v>821.15</v>
      </c>
      <c r="K427" s="18">
        <v>30200</v>
      </c>
      <c r="L427" s="15">
        <v>19.350000000000001</v>
      </c>
      <c r="M427" s="15">
        <v>-20.8</v>
      </c>
      <c r="N427" s="15">
        <v>24.49</v>
      </c>
      <c r="O427" s="24">
        <v>28120</v>
      </c>
      <c r="P427" s="17">
        <v>242180</v>
      </c>
      <c r="Q427" s="16">
        <v>157179</v>
      </c>
      <c r="R427" s="19" t="s">
        <v>76</v>
      </c>
      <c r="S427" s="20" t="s">
        <v>39</v>
      </c>
      <c r="T427">
        <v>30974.7</v>
      </c>
    </row>
    <row r="428" spans="1:20" x14ac:dyDescent="0.25">
      <c r="A428" t="str">
        <f>(COUNTIF($K$2:K428,K428))&amp;K428</f>
        <v>2630300</v>
      </c>
      <c r="B428" s="34" t="s">
        <v>89</v>
      </c>
      <c r="C428" s="13" t="s">
        <v>40</v>
      </c>
      <c r="D428" s="14" t="s">
        <v>76</v>
      </c>
      <c r="E428" s="16">
        <v>596</v>
      </c>
      <c r="F428" s="17">
        <v>4840</v>
      </c>
      <c r="G428" s="24">
        <v>2680</v>
      </c>
      <c r="H428" s="15">
        <v>21.52</v>
      </c>
      <c r="I428" s="15">
        <v>77.45</v>
      </c>
      <c r="J428" s="15">
        <v>707.1</v>
      </c>
      <c r="K428" s="18">
        <v>30300</v>
      </c>
      <c r="L428" s="15">
        <v>27.05</v>
      </c>
      <c r="M428" s="15">
        <v>-25.6</v>
      </c>
      <c r="N428" s="15">
        <v>23.95</v>
      </c>
      <c r="O428" s="24">
        <v>87780</v>
      </c>
      <c r="P428" s="17">
        <v>234080</v>
      </c>
      <c r="Q428" s="16">
        <v>201314</v>
      </c>
      <c r="R428" s="19" t="s">
        <v>76</v>
      </c>
      <c r="S428" s="20" t="s">
        <v>39</v>
      </c>
      <c r="T428">
        <v>30974.7</v>
      </c>
    </row>
    <row r="429" spans="1:20" x14ac:dyDescent="0.25">
      <c r="A429" t="str">
        <f>(COUNTIF($K$2:K429,K429))&amp;K429</f>
        <v>2630400</v>
      </c>
      <c r="B429" s="34" t="s">
        <v>89</v>
      </c>
      <c r="C429" s="13" t="s">
        <v>40</v>
      </c>
      <c r="D429" s="14" t="s">
        <v>76</v>
      </c>
      <c r="E429" s="16">
        <v>901</v>
      </c>
      <c r="F429" s="17">
        <v>2140</v>
      </c>
      <c r="G429" s="24">
        <v>740</v>
      </c>
      <c r="H429" s="15">
        <v>24.78</v>
      </c>
      <c r="I429" s="15">
        <v>64.900000000000006</v>
      </c>
      <c r="J429" s="15">
        <v>618.25</v>
      </c>
      <c r="K429" s="18">
        <v>30400</v>
      </c>
      <c r="L429" s="15">
        <v>37.25</v>
      </c>
      <c r="M429" s="15">
        <v>-32.5</v>
      </c>
      <c r="N429" s="15">
        <v>23.55</v>
      </c>
      <c r="O429" s="24">
        <v>154280</v>
      </c>
      <c r="P429" s="17">
        <v>285600</v>
      </c>
      <c r="Q429" s="16">
        <v>297952</v>
      </c>
      <c r="R429" s="19" t="s">
        <v>76</v>
      </c>
      <c r="S429" s="20" t="s">
        <v>39</v>
      </c>
      <c r="T429">
        <v>30974.7</v>
      </c>
    </row>
    <row r="430" spans="1:20" x14ac:dyDescent="0.25">
      <c r="A430" t="str">
        <f>(COUNTIF($K$2:K430,K430))&amp;K430</f>
        <v>2630500</v>
      </c>
      <c r="B430" s="34" t="s">
        <v>89</v>
      </c>
      <c r="C430" s="13" t="s">
        <v>40</v>
      </c>
      <c r="D430" s="14" t="s">
        <v>76</v>
      </c>
      <c r="E430" s="16">
        <v>13325</v>
      </c>
      <c r="F430" s="17">
        <v>57320</v>
      </c>
      <c r="G430" s="24">
        <v>9300</v>
      </c>
      <c r="H430" s="15">
        <v>22.47</v>
      </c>
      <c r="I430" s="15">
        <v>49.45</v>
      </c>
      <c r="J430" s="15">
        <v>523</v>
      </c>
      <c r="K430" s="18">
        <v>30500</v>
      </c>
      <c r="L430" s="15">
        <v>51.5</v>
      </c>
      <c r="M430" s="15">
        <v>-40.75</v>
      </c>
      <c r="N430" s="15">
        <v>23.3</v>
      </c>
      <c r="O430" s="24">
        <v>329800</v>
      </c>
      <c r="P430" s="17">
        <v>868140</v>
      </c>
      <c r="Q430" s="16">
        <v>642827</v>
      </c>
      <c r="R430" s="19" t="s">
        <v>76</v>
      </c>
      <c r="S430" s="20" t="s">
        <v>39</v>
      </c>
      <c r="T430">
        <v>30974.7</v>
      </c>
    </row>
    <row r="431" spans="1:20" x14ac:dyDescent="0.25">
      <c r="A431" t="str">
        <f>(COUNTIF($K$2:K431,K431))&amp;K431</f>
        <v>2630600</v>
      </c>
      <c r="B431" s="34" t="s">
        <v>89</v>
      </c>
      <c r="C431" s="13" t="s">
        <v>40</v>
      </c>
      <c r="D431" s="14" t="s">
        <v>76</v>
      </c>
      <c r="E431" s="16">
        <v>10684</v>
      </c>
      <c r="F431" s="17">
        <v>19640</v>
      </c>
      <c r="G431" s="24">
        <v>3260</v>
      </c>
      <c r="H431" s="15">
        <v>21.6</v>
      </c>
      <c r="I431" s="15">
        <v>45.5</v>
      </c>
      <c r="J431" s="15">
        <v>449.05</v>
      </c>
      <c r="K431" s="18">
        <v>30600</v>
      </c>
      <c r="L431" s="15">
        <v>70.099999999999994</v>
      </c>
      <c r="M431" s="15">
        <v>-48.15</v>
      </c>
      <c r="N431" s="15">
        <v>22.92</v>
      </c>
      <c r="O431" s="24">
        <v>247700</v>
      </c>
      <c r="P431" s="17">
        <v>421520</v>
      </c>
      <c r="Q431" s="16">
        <v>370549</v>
      </c>
      <c r="R431" s="19" t="s">
        <v>76</v>
      </c>
      <c r="S431" s="20" t="s">
        <v>39</v>
      </c>
      <c r="T431">
        <v>30974.7</v>
      </c>
    </row>
    <row r="432" spans="1:20" x14ac:dyDescent="0.25">
      <c r="A432" t="str">
        <f>(COUNTIF($K$2:K432,K432))&amp;K432</f>
        <v>2630700</v>
      </c>
      <c r="B432" s="34" t="s">
        <v>89</v>
      </c>
      <c r="C432" s="13" t="s">
        <v>40</v>
      </c>
      <c r="D432" s="14" t="s">
        <v>76</v>
      </c>
      <c r="E432" s="16">
        <v>47476</v>
      </c>
      <c r="F432" s="17">
        <v>55360</v>
      </c>
      <c r="G432" s="24">
        <v>27160</v>
      </c>
      <c r="H432" s="15">
        <v>22.19</v>
      </c>
      <c r="I432" s="15">
        <v>42.55</v>
      </c>
      <c r="J432" s="15">
        <v>375</v>
      </c>
      <c r="K432" s="18">
        <v>30700</v>
      </c>
      <c r="L432" s="15">
        <v>94</v>
      </c>
      <c r="M432" s="15">
        <v>-58.2</v>
      </c>
      <c r="N432" s="15">
        <v>22.61</v>
      </c>
      <c r="O432" s="24">
        <v>300900</v>
      </c>
      <c r="P432" s="17">
        <v>473380</v>
      </c>
      <c r="Q432" s="16">
        <v>438443</v>
      </c>
      <c r="R432" s="19" t="s">
        <v>76</v>
      </c>
      <c r="S432" s="20" t="s">
        <v>39</v>
      </c>
      <c r="T432">
        <v>30974.7</v>
      </c>
    </row>
    <row r="433" spans="1:20" x14ac:dyDescent="0.25">
      <c r="A433" t="str">
        <f>(COUNTIF($K$2:K433,K433))&amp;K433</f>
        <v>2630800</v>
      </c>
      <c r="B433" s="34" t="s">
        <v>89</v>
      </c>
      <c r="C433" s="13" t="s">
        <v>40</v>
      </c>
      <c r="D433" s="14" t="s">
        <v>76</v>
      </c>
      <c r="E433" s="16">
        <v>154847</v>
      </c>
      <c r="F433" s="17">
        <v>208100</v>
      </c>
      <c r="G433" s="24">
        <v>65480</v>
      </c>
      <c r="H433" s="15">
        <v>21.94</v>
      </c>
      <c r="I433" s="15">
        <v>31.2</v>
      </c>
      <c r="J433" s="15">
        <v>304.85000000000002</v>
      </c>
      <c r="K433" s="18">
        <v>30800</v>
      </c>
      <c r="L433" s="15">
        <v>124.55</v>
      </c>
      <c r="M433" s="15">
        <v>-66.599999999999994</v>
      </c>
      <c r="N433" s="15">
        <v>22.43</v>
      </c>
      <c r="O433" s="24">
        <v>313800</v>
      </c>
      <c r="P433" s="17">
        <v>571440</v>
      </c>
      <c r="Q433" s="16">
        <v>449758</v>
      </c>
      <c r="R433" s="19" t="s">
        <v>76</v>
      </c>
      <c r="S433" s="20" t="s">
        <v>39</v>
      </c>
      <c r="T433">
        <v>30974.7</v>
      </c>
    </row>
    <row r="434" spans="1:20" x14ac:dyDescent="0.25">
      <c r="A434" t="str">
        <f>(COUNTIF($K$2:K434,K434))&amp;K434</f>
        <v>2630900</v>
      </c>
      <c r="B434" s="34" t="s">
        <v>89</v>
      </c>
      <c r="C434" s="13" t="s">
        <v>40</v>
      </c>
      <c r="D434" s="14" t="s">
        <v>76</v>
      </c>
      <c r="E434" s="16">
        <v>275662</v>
      </c>
      <c r="F434" s="17">
        <v>392660</v>
      </c>
      <c r="G434" s="24">
        <v>172460</v>
      </c>
      <c r="H434" s="15">
        <v>21.65</v>
      </c>
      <c r="I434" s="15">
        <v>22</v>
      </c>
      <c r="J434" s="15">
        <v>242.85</v>
      </c>
      <c r="K434" s="18">
        <v>30900</v>
      </c>
      <c r="L434" s="15">
        <v>162.44999999999999</v>
      </c>
      <c r="M434" s="15">
        <v>-74.05</v>
      </c>
      <c r="N434" s="15">
        <v>22.1</v>
      </c>
      <c r="O434" s="24">
        <v>313640</v>
      </c>
      <c r="P434" s="17">
        <v>522360</v>
      </c>
      <c r="Q434" s="16">
        <v>383981</v>
      </c>
      <c r="R434" s="19" t="s">
        <v>76</v>
      </c>
      <c r="S434" s="20" t="s">
        <v>39</v>
      </c>
      <c r="T434">
        <v>30974.7</v>
      </c>
    </row>
    <row r="435" spans="1:20" ht="15.75" x14ac:dyDescent="0.25">
      <c r="A435" t="str">
        <f>(COUNTIF($K$2:K435,K435))&amp;K435</f>
        <v>2631000</v>
      </c>
      <c r="B435" s="34" t="s">
        <v>89</v>
      </c>
      <c r="C435" s="13" t="s">
        <v>40</v>
      </c>
      <c r="D435" s="14" t="s">
        <v>76</v>
      </c>
      <c r="E435" s="16">
        <v>609699</v>
      </c>
      <c r="F435" s="17">
        <v>1073060</v>
      </c>
      <c r="G435" s="24">
        <v>294800</v>
      </c>
      <c r="H435" s="15">
        <v>21.62</v>
      </c>
      <c r="I435" s="15">
        <v>12.25</v>
      </c>
      <c r="J435" s="15">
        <v>190.05</v>
      </c>
      <c r="K435" s="21">
        <v>31000</v>
      </c>
      <c r="L435" s="15">
        <v>208.65</v>
      </c>
      <c r="M435" s="15">
        <v>-83.3</v>
      </c>
      <c r="N435" s="15">
        <v>21.83</v>
      </c>
      <c r="O435" s="24">
        <v>329740</v>
      </c>
      <c r="P435" s="17">
        <v>780960</v>
      </c>
      <c r="Q435" s="16">
        <v>377324</v>
      </c>
      <c r="R435" s="19" t="s">
        <v>76</v>
      </c>
      <c r="S435" s="20" t="s">
        <v>39</v>
      </c>
      <c r="T435">
        <v>30974.7</v>
      </c>
    </row>
    <row r="436" spans="1:20" x14ac:dyDescent="0.25">
      <c r="A436" t="str">
        <f>(COUNTIF($K$2:K436,K436))&amp;K436</f>
        <v>2631100</v>
      </c>
      <c r="B436" s="34" t="s">
        <v>89</v>
      </c>
      <c r="C436" s="13" t="s">
        <v>40</v>
      </c>
      <c r="D436" s="14" t="s">
        <v>76</v>
      </c>
      <c r="E436" s="16">
        <v>379894</v>
      </c>
      <c r="F436" s="17">
        <v>504280</v>
      </c>
      <c r="G436" s="24">
        <v>134360</v>
      </c>
      <c r="H436" s="15">
        <v>21.72</v>
      </c>
      <c r="I436" s="15">
        <v>5.55</v>
      </c>
      <c r="J436" s="15">
        <v>145.80000000000001</v>
      </c>
      <c r="K436" s="18">
        <v>31100</v>
      </c>
      <c r="L436" s="15">
        <v>265.95</v>
      </c>
      <c r="M436" s="15">
        <v>-87.5</v>
      </c>
      <c r="N436" s="15">
        <v>22.13</v>
      </c>
      <c r="O436" s="24">
        <v>51880</v>
      </c>
      <c r="P436" s="17">
        <v>156140</v>
      </c>
      <c r="Q436" s="16">
        <v>85900</v>
      </c>
      <c r="R436" s="19" t="s">
        <v>76</v>
      </c>
      <c r="S436" s="20" t="s">
        <v>39</v>
      </c>
      <c r="T436">
        <v>30974.7</v>
      </c>
    </row>
    <row r="437" spans="1:20" x14ac:dyDescent="0.25">
      <c r="A437" t="str">
        <f>(COUNTIF($K$2:K437,K437))&amp;K437</f>
        <v>2631200</v>
      </c>
      <c r="B437" s="34" t="s">
        <v>89</v>
      </c>
      <c r="C437" s="13" t="s">
        <v>39</v>
      </c>
      <c r="D437" s="14" t="s">
        <v>76</v>
      </c>
      <c r="E437" s="16">
        <v>580266</v>
      </c>
      <c r="F437" s="17">
        <v>709700</v>
      </c>
      <c r="G437" s="24">
        <v>150300</v>
      </c>
      <c r="H437" s="15">
        <v>21.97</v>
      </c>
      <c r="I437" s="15">
        <v>-0.25</v>
      </c>
      <c r="J437" s="15">
        <v>110.6</v>
      </c>
      <c r="K437" s="18">
        <v>31200</v>
      </c>
      <c r="L437" s="15">
        <v>329.55</v>
      </c>
      <c r="M437" s="15">
        <v>-95.7</v>
      </c>
      <c r="N437" s="15">
        <v>22.32</v>
      </c>
      <c r="O437" s="24">
        <v>12960</v>
      </c>
      <c r="P437" s="17">
        <v>118060</v>
      </c>
      <c r="Q437" s="16">
        <v>48641</v>
      </c>
      <c r="R437" s="19" t="s">
        <v>76</v>
      </c>
      <c r="S437" s="20" t="s">
        <v>39</v>
      </c>
      <c r="T437">
        <v>30974.7</v>
      </c>
    </row>
    <row r="438" spans="1:20" x14ac:dyDescent="0.25">
      <c r="A438" t="str">
        <f>(COUNTIF($K$2:K438,K438))&amp;K438</f>
        <v>2631300</v>
      </c>
      <c r="B438" s="34" t="s">
        <v>89</v>
      </c>
      <c r="C438" s="13" t="s">
        <v>39</v>
      </c>
      <c r="D438" s="14" t="s">
        <v>76</v>
      </c>
      <c r="E438" s="16">
        <v>411281</v>
      </c>
      <c r="F438" s="17">
        <v>625120</v>
      </c>
      <c r="G438" s="24">
        <v>177440</v>
      </c>
      <c r="H438" s="15">
        <v>22.04</v>
      </c>
      <c r="I438" s="15">
        <v>-3.25</v>
      </c>
      <c r="J438" s="15">
        <v>82.3</v>
      </c>
      <c r="K438" s="18">
        <v>31300</v>
      </c>
      <c r="L438" s="15">
        <v>408</v>
      </c>
      <c r="M438" s="15">
        <v>-100.7</v>
      </c>
      <c r="N438" s="15">
        <v>23.12</v>
      </c>
      <c r="O438" s="24">
        <v>-7080</v>
      </c>
      <c r="P438" s="17">
        <v>96100</v>
      </c>
      <c r="Q438" s="16">
        <v>12920</v>
      </c>
      <c r="R438" s="19" t="s">
        <v>77</v>
      </c>
      <c r="S438" s="20" t="s">
        <v>37</v>
      </c>
      <c r="T438">
        <v>30974.7</v>
      </c>
    </row>
    <row r="439" spans="1:20" x14ac:dyDescent="0.25">
      <c r="A439" t="str">
        <f>(COUNTIF($K$2:K439,K439))&amp;K439</f>
        <v>2631400</v>
      </c>
      <c r="B439" s="34" t="s">
        <v>89</v>
      </c>
      <c r="C439" s="13" t="s">
        <v>39</v>
      </c>
      <c r="D439" s="14" t="s">
        <v>76</v>
      </c>
      <c r="E439" s="16">
        <v>363507</v>
      </c>
      <c r="F439" s="17">
        <v>540900</v>
      </c>
      <c r="G439" s="24">
        <v>147740</v>
      </c>
      <c r="H439" s="15">
        <v>22.16</v>
      </c>
      <c r="I439" s="15">
        <v>-6.3</v>
      </c>
      <c r="J439" s="15">
        <v>59.55</v>
      </c>
      <c r="K439" s="18">
        <v>31400</v>
      </c>
      <c r="L439" s="15">
        <v>486.15</v>
      </c>
      <c r="M439" s="15">
        <v>-95.8</v>
      </c>
      <c r="N439" s="15">
        <v>20.85</v>
      </c>
      <c r="O439" s="24">
        <v>4280</v>
      </c>
      <c r="P439" s="17">
        <v>54760</v>
      </c>
      <c r="Q439" s="16">
        <v>4201</v>
      </c>
      <c r="R439" s="19" t="s">
        <v>76</v>
      </c>
      <c r="S439" s="20" t="s">
        <v>39</v>
      </c>
      <c r="T439">
        <v>30974.7</v>
      </c>
    </row>
    <row r="440" spans="1:20" x14ac:dyDescent="0.25">
      <c r="A440" t="str">
        <f>(COUNTIF($K$2:K440,K440))&amp;K440</f>
        <v>2631500</v>
      </c>
      <c r="B440" s="34" t="s">
        <v>89</v>
      </c>
      <c r="C440" s="13" t="s">
        <v>39</v>
      </c>
      <c r="D440" s="14" t="s">
        <v>76</v>
      </c>
      <c r="E440" s="16">
        <v>537032</v>
      </c>
      <c r="F440" s="17">
        <v>1441820</v>
      </c>
      <c r="G440" s="24">
        <v>247460</v>
      </c>
      <c r="H440" s="15">
        <v>22.55</v>
      </c>
      <c r="I440" s="15">
        <v>-6.45</v>
      </c>
      <c r="J440" s="15">
        <v>43.5</v>
      </c>
      <c r="K440" s="18">
        <v>31500</v>
      </c>
      <c r="L440" s="15">
        <v>568.29999999999995</v>
      </c>
      <c r="M440" s="15">
        <v>-99</v>
      </c>
      <c r="N440" s="15">
        <v>23.56</v>
      </c>
      <c r="O440" s="24">
        <v>3640</v>
      </c>
      <c r="P440" s="17">
        <v>471740</v>
      </c>
      <c r="Q440" s="16">
        <v>6736</v>
      </c>
      <c r="R440" s="19" t="s">
        <v>76</v>
      </c>
      <c r="S440" s="20" t="s">
        <v>39</v>
      </c>
      <c r="T440">
        <v>30974.7</v>
      </c>
    </row>
    <row r="441" spans="1:20" x14ac:dyDescent="0.25">
      <c r="A441" t="str">
        <f>(COUNTIF($K$2:K441,K441))&amp;K441</f>
        <v>2631600</v>
      </c>
      <c r="B441" s="34" t="s">
        <v>89</v>
      </c>
      <c r="C441" s="13" t="s">
        <v>39</v>
      </c>
      <c r="D441" s="14" t="s">
        <v>76</v>
      </c>
      <c r="E441" s="16">
        <v>212355</v>
      </c>
      <c r="F441" s="17">
        <v>358020</v>
      </c>
      <c r="G441" s="24">
        <v>73800</v>
      </c>
      <c r="H441" s="15">
        <v>22.71</v>
      </c>
      <c r="I441" s="15">
        <v>-7.15</v>
      </c>
      <c r="J441" s="15">
        <v>30.6</v>
      </c>
      <c r="K441" s="18">
        <v>31600</v>
      </c>
      <c r="L441" s="15">
        <v>650</v>
      </c>
      <c r="M441" s="15">
        <v>-110.85</v>
      </c>
      <c r="N441" s="15">
        <v>21</v>
      </c>
      <c r="O441" s="24">
        <v>20</v>
      </c>
      <c r="P441" s="17">
        <v>17680</v>
      </c>
      <c r="Q441" s="16">
        <v>295</v>
      </c>
      <c r="R441" s="19" t="s">
        <v>76</v>
      </c>
      <c r="S441" s="20" t="s">
        <v>39</v>
      </c>
      <c r="T441">
        <v>30974.7</v>
      </c>
    </row>
    <row r="442" spans="1:20" x14ac:dyDescent="0.25">
      <c r="A442" t="str">
        <f>(COUNTIF($K$2:K442,K442))&amp;K442</f>
        <v>2631700</v>
      </c>
      <c r="B442" s="34" t="s">
        <v>89</v>
      </c>
      <c r="C442" s="13" t="s">
        <v>39</v>
      </c>
      <c r="D442" s="14" t="s">
        <v>76</v>
      </c>
      <c r="E442" s="16">
        <v>139939</v>
      </c>
      <c r="F442" s="17">
        <v>382200</v>
      </c>
      <c r="G442" s="24">
        <v>24240</v>
      </c>
      <c r="H442" s="15">
        <v>23.07</v>
      </c>
      <c r="I442" s="15">
        <v>-6.65</v>
      </c>
      <c r="J442" s="15">
        <v>21.5</v>
      </c>
      <c r="K442" s="18">
        <v>31700</v>
      </c>
      <c r="L442" s="15">
        <v>748.05</v>
      </c>
      <c r="M442" s="15">
        <v>-95.65</v>
      </c>
      <c r="N442" s="15">
        <v>28.3</v>
      </c>
      <c r="O442" s="24">
        <v>-1240</v>
      </c>
      <c r="P442" s="17">
        <v>10100</v>
      </c>
      <c r="Q442" s="16">
        <v>319</v>
      </c>
      <c r="R442" s="19" t="s">
        <v>77</v>
      </c>
      <c r="S442" s="20" t="s">
        <v>37</v>
      </c>
      <c r="T442">
        <v>30974.7</v>
      </c>
    </row>
    <row r="443" spans="1:20" x14ac:dyDescent="0.25">
      <c r="A443" t="str">
        <f>(COUNTIF($K$2:K443,K443))&amp;K443</f>
        <v>26PCR</v>
      </c>
      <c r="B443" s="34" t="s">
        <v>89</v>
      </c>
      <c r="C443" s="41">
        <v>0.83496534203180384</v>
      </c>
      <c r="E443" s="33"/>
      <c r="F443" s="39">
        <v>6376600</v>
      </c>
      <c r="G443" s="40"/>
      <c r="H443" s="38"/>
      <c r="I443" s="38"/>
      <c r="J443" s="38"/>
      <c r="K443" s="56" t="s">
        <v>57</v>
      </c>
      <c r="L443" s="38"/>
      <c r="M443" s="38"/>
      <c r="N443" s="38"/>
      <c r="P443" s="40">
        <v>5324240</v>
      </c>
      <c r="Q443" s="33"/>
      <c r="R443" s="38"/>
      <c r="S443" s="38"/>
    </row>
    <row r="444" spans="1:20" x14ac:dyDescent="0.25">
      <c r="A444" t="str">
        <f>(COUNTIF($K$2:K444,K444))&amp;K444</f>
        <v>2730200</v>
      </c>
      <c r="B444" s="34" t="s">
        <v>91</v>
      </c>
      <c r="C444" s="13" t="s">
        <v>74</v>
      </c>
      <c r="D444" s="14" t="s">
        <v>76</v>
      </c>
      <c r="E444" s="16">
        <v>168</v>
      </c>
      <c r="F444" s="17">
        <v>1440</v>
      </c>
      <c r="G444" s="24">
        <v>1020</v>
      </c>
      <c r="H444" s="15">
        <v>27.63</v>
      </c>
      <c r="I444" s="15">
        <v>100.2</v>
      </c>
      <c r="J444" s="15">
        <v>821.15</v>
      </c>
      <c r="K444" s="18">
        <v>30200</v>
      </c>
      <c r="L444" s="15">
        <v>20.7</v>
      </c>
      <c r="M444" s="15">
        <v>-19.45</v>
      </c>
      <c r="N444" s="15">
        <v>24.46</v>
      </c>
      <c r="O444" s="24">
        <v>27900</v>
      </c>
      <c r="P444" s="17">
        <v>241960</v>
      </c>
      <c r="Q444" s="16">
        <v>158498</v>
      </c>
      <c r="R444" s="19" t="s">
        <v>76</v>
      </c>
      <c r="S444" s="20" t="s">
        <v>39</v>
      </c>
      <c r="T444">
        <v>30966.15</v>
      </c>
    </row>
    <row r="445" spans="1:20" x14ac:dyDescent="0.25">
      <c r="A445" t="str">
        <f>(COUNTIF($K$2:K445,K445))&amp;K445</f>
        <v>2730300</v>
      </c>
      <c r="B445" s="34" t="s">
        <v>91</v>
      </c>
      <c r="C445" s="13" t="s">
        <v>40</v>
      </c>
      <c r="D445" s="14" t="s">
        <v>76</v>
      </c>
      <c r="E445" s="16">
        <v>599</v>
      </c>
      <c r="F445" s="17">
        <v>4860</v>
      </c>
      <c r="G445" s="24">
        <v>2700</v>
      </c>
      <c r="H445" s="15">
        <v>21.31</v>
      </c>
      <c r="I445" s="15">
        <v>59.25</v>
      </c>
      <c r="J445" s="15">
        <v>688.9</v>
      </c>
      <c r="K445" s="18">
        <v>30300</v>
      </c>
      <c r="L445" s="15">
        <v>29.1</v>
      </c>
      <c r="M445" s="15">
        <v>-23.55</v>
      </c>
      <c r="N445" s="15">
        <v>24.06</v>
      </c>
      <c r="O445" s="24">
        <v>86100</v>
      </c>
      <c r="P445" s="17">
        <v>232400</v>
      </c>
      <c r="Q445" s="16">
        <v>202706</v>
      </c>
      <c r="R445" s="19" t="s">
        <v>76</v>
      </c>
      <c r="S445" s="20" t="s">
        <v>39</v>
      </c>
      <c r="T445">
        <v>30966.15</v>
      </c>
    </row>
    <row r="446" spans="1:20" x14ac:dyDescent="0.25">
      <c r="A446" t="str">
        <f>(COUNTIF($K$2:K446,K446))&amp;K446</f>
        <v>2730400</v>
      </c>
      <c r="B446" s="34" t="s">
        <v>91</v>
      </c>
      <c r="C446" s="13" t="s">
        <v>40</v>
      </c>
      <c r="D446" s="14" t="s">
        <v>76</v>
      </c>
      <c r="E446" s="16">
        <v>907</v>
      </c>
      <c r="F446" s="17">
        <v>2280</v>
      </c>
      <c r="G446" s="24">
        <v>880</v>
      </c>
      <c r="H446" s="15">
        <v>24.88</v>
      </c>
      <c r="I446" s="15">
        <v>60.65</v>
      </c>
      <c r="J446" s="15">
        <v>614</v>
      </c>
      <c r="K446" s="18">
        <v>30400</v>
      </c>
      <c r="L446" s="15">
        <v>40.15</v>
      </c>
      <c r="M446" s="15">
        <v>-29.6</v>
      </c>
      <c r="N446" s="15">
        <v>23.57</v>
      </c>
      <c r="O446" s="24">
        <v>154760</v>
      </c>
      <c r="P446" s="17">
        <v>286080</v>
      </c>
      <c r="Q446" s="16">
        <v>299789</v>
      </c>
      <c r="R446" s="19" t="s">
        <v>76</v>
      </c>
      <c r="S446" s="20" t="s">
        <v>39</v>
      </c>
      <c r="T446">
        <v>30966.15</v>
      </c>
    </row>
    <row r="447" spans="1:20" x14ac:dyDescent="0.25">
      <c r="A447" t="str">
        <f>(COUNTIF($K$2:K447,K447))&amp;K447</f>
        <v>2730500</v>
      </c>
      <c r="B447" s="34" t="s">
        <v>91</v>
      </c>
      <c r="C447" s="13" t="s">
        <v>40</v>
      </c>
      <c r="D447" s="14" t="s">
        <v>76</v>
      </c>
      <c r="E447" s="16">
        <v>13343</v>
      </c>
      <c r="F447" s="17">
        <v>57600</v>
      </c>
      <c r="G447" s="24">
        <v>9580</v>
      </c>
      <c r="H447" s="15">
        <v>22.2</v>
      </c>
      <c r="I447" s="15">
        <v>43.55</v>
      </c>
      <c r="J447" s="15">
        <v>517.1</v>
      </c>
      <c r="K447" s="18">
        <v>30500</v>
      </c>
      <c r="L447" s="15">
        <v>54.95</v>
      </c>
      <c r="M447" s="15">
        <v>-37.299999999999997</v>
      </c>
      <c r="N447" s="15">
        <v>23.26</v>
      </c>
      <c r="O447" s="24">
        <v>331060</v>
      </c>
      <c r="P447" s="17">
        <v>869400</v>
      </c>
      <c r="Q447" s="16">
        <v>648532</v>
      </c>
      <c r="R447" s="19" t="s">
        <v>76</v>
      </c>
      <c r="S447" s="20" t="s">
        <v>39</v>
      </c>
      <c r="T447">
        <v>30966.15</v>
      </c>
    </row>
    <row r="448" spans="1:20" x14ac:dyDescent="0.25">
      <c r="A448" t="str">
        <f>(COUNTIF($K$2:K448,K448))&amp;K448</f>
        <v>2730600</v>
      </c>
      <c r="B448" s="34" t="s">
        <v>91</v>
      </c>
      <c r="C448" s="13" t="s">
        <v>40</v>
      </c>
      <c r="D448" s="14" t="s">
        <v>76</v>
      </c>
      <c r="E448" s="16">
        <v>10755</v>
      </c>
      <c r="F448" s="17">
        <v>20080</v>
      </c>
      <c r="G448" s="24">
        <v>3700</v>
      </c>
      <c r="H448" s="15">
        <v>22.95</v>
      </c>
      <c r="I448" s="15">
        <v>37.35</v>
      </c>
      <c r="J448" s="15">
        <v>440.9</v>
      </c>
      <c r="K448" s="18">
        <v>30600</v>
      </c>
      <c r="L448" s="15">
        <v>74.599999999999994</v>
      </c>
      <c r="M448" s="15">
        <v>-43.65</v>
      </c>
      <c r="N448" s="15">
        <v>22.94</v>
      </c>
      <c r="O448" s="24">
        <v>251480</v>
      </c>
      <c r="P448" s="17">
        <v>425300</v>
      </c>
      <c r="Q448" s="16">
        <v>372692</v>
      </c>
      <c r="R448" s="19" t="s">
        <v>76</v>
      </c>
      <c r="S448" s="20" t="s">
        <v>39</v>
      </c>
      <c r="T448">
        <v>30966.15</v>
      </c>
    </row>
    <row r="449" spans="1:20" x14ac:dyDescent="0.25">
      <c r="A449" t="str">
        <f>(COUNTIF($K$2:K449,K449))&amp;K449</f>
        <v>2730700</v>
      </c>
      <c r="B449" s="34" t="s">
        <v>91</v>
      </c>
      <c r="C449" s="13" t="s">
        <v>40</v>
      </c>
      <c r="D449" s="14" t="s">
        <v>76</v>
      </c>
      <c r="E449" s="16">
        <v>48095</v>
      </c>
      <c r="F449" s="17">
        <v>55900</v>
      </c>
      <c r="G449" s="24">
        <v>27700</v>
      </c>
      <c r="H449" s="15">
        <v>21.85</v>
      </c>
      <c r="I449" s="15">
        <v>28.25</v>
      </c>
      <c r="J449" s="15">
        <v>360.7</v>
      </c>
      <c r="K449" s="18">
        <v>30700</v>
      </c>
      <c r="L449" s="15">
        <v>99.85</v>
      </c>
      <c r="M449" s="15">
        <v>-52.35</v>
      </c>
      <c r="N449" s="15">
        <v>22.57</v>
      </c>
      <c r="O449" s="24">
        <v>304060</v>
      </c>
      <c r="P449" s="17">
        <v>476540</v>
      </c>
      <c r="Q449" s="16">
        <v>442093</v>
      </c>
      <c r="R449" s="19" t="s">
        <v>76</v>
      </c>
      <c r="S449" s="20" t="s">
        <v>39</v>
      </c>
      <c r="T449">
        <v>30966.15</v>
      </c>
    </row>
    <row r="450" spans="1:20" x14ac:dyDescent="0.25">
      <c r="A450" t="str">
        <f>(COUNTIF($K$2:K450,K450))&amp;K450</f>
        <v>2730800</v>
      </c>
      <c r="B450" s="34" t="s">
        <v>91</v>
      </c>
      <c r="C450" s="13" t="s">
        <v>40</v>
      </c>
      <c r="D450" s="14" t="s">
        <v>76</v>
      </c>
      <c r="E450" s="16">
        <v>155542</v>
      </c>
      <c r="F450" s="17">
        <v>208200</v>
      </c>
      <c r="G450" s="24">
        <v>65580</v>
      </c>
      <c r="H450" s="15">
        <v>21.82</v>
      </c>
      <c r="I450" s="15">
        <v>18.649999999999999</v>
      </c>
      <c r="J450" s="15">
        <v>292.3</v>
      </c>
      <c r="K450" s="18">
        <v>30800</v>
      </c>
      <c r="L450" s="15">
        <v>131.80000000000001</v>
      </c>
      <c r="M450" s="15">
        <v>-59.35</v>
      </c>
      <c r="N450" s="15">
        <v>22.28</v>
      </c>
      <c r="O450" s="24">
        <v>316700</v>
      </c>
      <c r="P450" s="17">
        <v>574340</v>
      </c>
      <c r="Q450" s="16">
        <v>453928</v>
      </c>
      <c r="R450" s="19" t="s">
        <v>76</v>
      </c>
      <c r="S450" s="20" t="s">
        <v>39</v>
      </c>
      <c r="T450">
        <v>30966.15</v>
      </c>
    </row>
    <row r="451" spans="1:20" x14ac:dyDescent="0.25">
      <c r="A451" t="str">
        <f>(COUNTIF($K$2:K451,K451))&amp;K451</f>
        <v>2730900</v>
      </c>
      <c r="B451" s="34" t="s">
        <v>91</v>
      </c>
      <c r="C451" s="13" t="s">
        <v>40</v>
      </c>
      <c r="D451" s="14" t="s">
        <v>76</v>
      </c>
      <c r="E451" s="16">
        <v>277020</v>
      </c>
      <c r="F451" s="17">
        <v>393380</v>
      </c>
      <c r="G451" s="24">
        <v>173180</v>
      </c>
      <c r="H451" s="15">
        <v>21.48</v>
      </c>
      <c r="I451" s="15">
        <v>12.15</v>
      </c>
      <c r="J451" s="15">
        <v>233</v>
      </c>
      <c r="K451" s="18">
        <v>30900</v>
      </c>
      <c r="L451" s="15">
        <v>171.2</v>
      </c>
      <c r="M451" s="15">
        <v>-65.3</v>
      </c>
      <c r="N451" s="15">
        <v>22.03</v>
      </c>
      <c r="O451" s="24">
        <v>313760</v>
      </c>
      <c r="P451" s="17">
        <v>522480</v>
      </c>
      <c r="Q451" s="16">
        <v>387005</v>
      </c>
      <c r="R451" s="19" t="s">
        <v>76</v>
      </c>
      <c r="S451" s="20" t="s">
        <v>39</v>
      </c>
      <c r="T451">
        <v>30966.15</v>
      </c>
    </row>
    <row r="452" spans="1:20" ht="15.75" x14ac:dyDescent="0.25">
      <c r="A452" t="str">
        <f>(COUNTIF($K$2:K452,K452))&amp;K452</f>
        <v>2731000</v>
      </c>
      <c r="B452" s="34" t="s">
        <v>91</v>
      </c>
      <c r="C452" s="13" t="s">
        <v>40</v>
      </c>
      <c r="D452" s="14" t="s">
        <v>76</v>
      </c>
      <c r="E452" s="16">
        <v>614557</v>
      </c>
      <c r="F452" s="17">
        <v>1075040</v>
      </c>
      <c r="G452" s="24">
        <v>296780</v>
      </c>
      <c r="H452" s="15">
        <v>21.62</v>
      </c>
      <c r="I452" s="15">
        <v>5.4</v>
      </c>
      <c r="J452" s="15">
        <v>183.2</v>
      </c>
      <c r="K452" s="21">
        <v>31000</v>
      </c>
      <c r="L452" s="15">
        <v>218.2</v>
      </c>
      <c r="M452" s="15">
        <v>-73.75</v>
      </c>
      <c r="N452" s="15">
        <v>21.96</v>
      </c>
      <c r="O452" s="24">
        <v>331920</v>
      </c>
      <c r="P452" s="17">
        <v>783140</v>
      </c>
      <c r="Q452" s="16">
        <v>380615</v>
      </c>
      <c r="R452" s="19" t="s">
        <v>76</v>
      </c>
      <c r="S452" s="20" t="s">
        <v>39</v>
      </c>
      <c r="T452">
        <v>30966.15</v>
      </c>
    </row>
    <row r="453" spans="1:20" x14ac:dyDescent="0.25">
      <c r="A453" t="str">
        <f>(COUNTIF($K$2:K453,K453))&amp;K453</f>
        <v>2731100</v>
      </c>
      <c r="B453" s="34" t="s">
        <v>91</v>
      </c>
      <c r="C453" s="13" t="s">
        <v>39</v>
      </c>
      <c r="D453" s="14" t="s">
        <v>76</v>
      </c>
      <c r="E453" s="16">
        <v>381974</v>
      </c>
      <c r="F453" s="17">
        <v>504360</v>
      </c>
      <c r="G453" s="24">
        <v>134440</v>
      </c>
      <c r="H453" s="15">
        <v>21.63</v>
      </c>
      <c r="I453" s="15">
        <v>-0.3</v>
      </c>
      <c r="J453" s="15">
        <v>139.94999999999999</v>
      </c>
      <c r="K453" s="18">
        <v>31100</v>
      </c>
      <c r="L453" s="15">
        <v>275.75</v>
      </c>
      <c r="M453" s="15">
        <v>-77.7</v>
      </c>
      <c r="N453" s="15">
        <v>22.1</v>
      </c>
      <c r="O453" s="24">
        <v>50900</v>
      </c>
      <c r="P453" s="17">
        <v>155160</v>
      </c>
      <c r="Q453" s="16">
        <v>86630</v>
      </c>
      <c r="R453" s="19" t="s">
        <v>76</v>
      </c>
      <c r="S453" s="20" t="s">
        <v>39</v>
      </c>
      <c r="T453">
        <v>30966.15</v>
      </c>
    </row>
    <row r="454" spans="1:20" x14ac:dyDescent="0.25">
      <c r="A454" t="str">
        <f>(COUNTIF($K$2:K454,K454))&amp;K454</f>
        <v>2731200</v>
      </c>
      <c r="B454" s="34" t="s">
        <v>91</v>
      </c>
      <c r="C454" s="13" t="s">
        <v>39</v>
      </c>
      <c r="D454" s="14" t="s">
        <v>76</v>
      </c>
      <c r="E454" s="16">
        <v>583803</v>
      </c>
      <c r="F454" s="17">
        <v>712080</v>
      </c>
      <c r="G454" s="24">
        <v>152680</v>
      </c>
      <c r="H454" s="15">
        <v>21.75</v>
      </c>
      <c r="I454" s="15">
        <v>-4.0999999999999996</v>
      </c>
      <c r="J454" s="15">
        <v>106.75</v>
      </c>
      <c r="K454" s="18">
        <v>31200</v>
      </c>
      <c r="L454" s="15">
        <v>342.25</v>
      </c>
      <c r="M454" s="15">
        <v>-83</v>
      </c>
      <c r="N454" s="15">
        <v>22.2</v>
      </c>
      <c r="O454" s="24">
        <v>15420</v>
      </c>
      <c r="P454" s="17">
        <v>120520</v>
      </c>
      <c r="Q454" s="16">
        <v>49269</v>
      </c>
      <c r="R454" s="19" t="s">
        <v>76</v>
      </c>
      <c r="S454" s="20" t="s">
        <v>39</v>
      </c>
      <c r="T454">
        <v>30966.15</v>
      </c>
    </row>
    <row r="455" spans="1:20" x14ac:dyDescent="0.25">
      <c r="A455" t="str">
        <f>(COUNTIF($K$2:K455,K455))&amp;K455</f>
        <v>2731300</v>
      </c>
      <c r="B455" s="34" t="s">
        <v>91</v>
      </c>
      <c r="C455" s="13" t="s">
        <v>39</v>
      </c>
      <c r="D455" s="14" t="s">
        <v>76</v>
      </c>
      <c r="E455" s="16">
        <v>414330</v>
      </c>
      <c r="F455" s="17">
        <v>633900</v>
      </c>
      <c r="G455" s="24">
        <v>186220</v>
      </c>
      <c r="H455" s="15">
        <v>21.86</v>
      </c>
      <c r="I455" s="15">
        <v>-6.8</v>
      </c>
      <c r="J455" s="15">
        <v>78.75</v>
      </c>
      <c r="K455" s="18">
        <v>31300</v>
      </c>
      <c r="L455" s="15">
        <v>414.3</v>
      </c>
      <c r="M455" s="15">
        <v>-94.4</v>
      </c>
      <c r="N455" s="15">
        <v>21.78</v>
      </c>
      <c r="O455" s="24">
        <v>-5440</v>
      </c>
      <c r="P455" s="17">
        <v>97740</v>
      </c>
      <c r="Q455" s="16">
        <v>13108</v>
      </c>
      <c r="R455" s="19" t="s">
        <v>77</v>
      </c>
      <c r="S455" s="20" t="s">
        <v>37</v>
      </c>
      <c r="T455">
        <v>30966.15</v>
      </c>
    </row>
    <row r="456" spans="1:20" x14ac:dyDescent="0.25">
      <c r="A456" t="str">
        <f>(COUNTIF($K$2:K456,K456))&amp;K456</f>
        <v>2731400</v>
      </c>
      <c r="B456" s="34" t="s">
        <v>91</v>
      </c>
      <c r="C456" s="13" t="s">
        <v>39</v>
      </c>
      <c r="D456" s="14" t="s">
        <v>76</v>
      </c>
      <c r="E456" s="16">
        <v>366184</v>
      </c>
      <c r="F456" s="17">
        <v>540720</v>
      </c>
      <c r="G456" s="24">
        <v>147560</v>
      </c>
      <c r="H456" s="15">
        <v>21.98</v>
      </c>
      <c r="I456" s="15">
        <v>-9.6999999999999993</v>
      </c>
      <c r="J456" s="15">
        <v>56.15</v>
      </c>
      <c r="K456" s="18">
        <v>31400</v>
      </c>
      <c r="L456" s="15">
        <v>494.6</v>
      </c>
      <c r="M456" s="15">
        <v>-87.35</v>
      </c>
      <c r="N456" s="15">
        <v>21.85</v>
      </c>
      <c r="O456" s="24">
        <v>4260</v>
      </c>
      <c r="P456" s="17">
        <v>54740</v>
      </c>
      <c r="Q456" s="16">
        <v>4243</v>
      </c>
      <c r="R456" s="19" t="s">
        <v>76</v>
      </c>
      <c r="S456" s="20" t="s">
        <v>39</v>
      </c>
      <c r="T456">
        <v>30966.15</v>
      </c>
    </row>
    <row r="457" spans="1:20" x14ac:dyDescent="0.25">
      <c r="A457" t="str">
        <f>(COUNTIF($K$2:K457,K457))&amp;K457</f>
        <v>2731500</v>
      </c>
      <c r="B457" s="34" t="s">
        <v>91</v>
      </c>
      <c r="C457" s="13" t="s">
        <v>39</v>
      </c>
      <c r="D457" s="14" t="s">
        <v>76</v>
      </c>
      <c r="E457" s="16">
        <v>540537</v>
      </c>
      <c r="F457" s="17">
        <v>1441560</v>
      </c>
      <c r="G457" s="24">
        <v>247200</v>
      </c>
      <c r="H457" s="15">
        <v>22.3</v>
      </c>
      <c r="I457" s="15">
        <v>-8.9499999999999993</v>
      </c>
      <c r="J457" s="15">
        <v>41</v>
      </c>
      <c r="K457" s="18">
        <v>31500</v>
      </c>
      <c r="L457" s="15">
        <v>580</v>
      </c>
      <c r="M457" s="15">
        <v>-87.3</v>
      </c>
      <c r="N457" s="15">
        <v>22.39</v>
      </c>
      <c r="O457" s="24">
        <v>3560</v>
      </c>
      <c r="P457" s="17">
        <v>471660</v>
      </c>
      <c r="Q457" s="16">
        <v>6865</v>
      </c>
      <c r="R457" s="19" t="s">
        <v>76</v>
      </c>
      <c r="S457" s="20" t="s">
        <v>39</v>
      </c>
      <c r="T457">
        <v>30966.15</v>
      </c>
    </row>
    <row r="458" spans="1:20" x14ac:dyDescent="0.25">
      <c r="A458" t="str">
        <f>(COUNTIF($K$2:K458,K458))&amp;K458</f>
        <v>2731600</v>
      </c>
      <c r="B458" s="34" t="s">
        <v>91</v>
      </c>
      <c r="C458" s="13" t="s">
        <v>39</v>
      </c>
      <c r="D458" s="14" t="s">
        <v>76</v>
      </c>
      <c r="E458" s="16">
        <v>213786</v>
      </c>
      <c r="F458" s="17">
        <v>359540</v>
      </c>
      <c r="G458" s="24">
        <v>75320</v>
      </c>
      <c r="H458" s="15">
        <v>22.39</v>
      </c>
      <c r="I458" s="15">
        <v>-9.15</v>
      </c>
      <c r="J458" s="15">
        <v>28.6</v>
      </c>
      <c r="K458" s="18">
        <v>31600</v>
      </c>
      <c r="L458" s="15">
        <v>665</v>
      </c>
      <c r="M458" s="15">
        <v>-95.85</v>
      </c>
      <c r="N458" s="15">
        <v>24.54</v>
      </c>
      <c r="O458" s="24" t="s">
        <v>14</v>
      </c>
      <c r="P458" s="17">
        <v>17660</v>
      </c>
      <c r="Q458" s="16">
        <v>304</v>
      </c>
      <c r="R458" s="19" t="s">
        <v>76</v>
      </c>
      <c r="S458" s="20" t="s">
        <v>39</v>
      </c>
      <c r="T458">
        <v>30966.15</v>
      </c>
    </row>
    <row r="459" spans="1:20" x14ac:dyDescent="0.25">
      <c r="A459" t="str">
        <f>(COUNTIF($K$2:K459,K459))&amp;K459</f>
        <v>2731700</v>
      </c>
      <c r="B459" s="34" t="s">
        <v>91</v>
      </c>
      <c r="C459" s="13" t="s">
        <v>39</v>
      </c>
      <c r="D459" s="14" t="s">
        <v>76</v>
      </c>
      <c r="E459" s="16">
        <v>141155</v>
      </c>
      <c r="F459" s="17">
        <v>384840</v>
      </c>
      <c r="G459" s="24">
        <v>26880</v>
      </c>
      <c r="H459" s="15">
        <v>22.67</v>
      </c>
      <c r="I459" s="15">
        <v>-8.15</v>
      </c>
      <c r="J459" s="15">
        <v>20</v>
      </c>
      <c r="K459" s="18">
        <v>31700</v>
      </c>
      <c r="L459" s="15">
        <v>748.05</v>
      </c>
      <c r="M459" s="15">
        <v>-95.65</v>
      </c>
      <c r="N459" s="15">
        <v>26.79</v>
      </c>
      <c r="O459" s="24">
        <v>-1240</v>
      </c>
      <c r="P459" s="17">
        <v>10100</v>
      </c>
      <c r="Q459" s="16">
        <v>319</v>
      </c>
      <c r="R459" s="19" t="s">
        <v>77</v>
      </c>
      <c r="S459" s="20" t="s">
        <v>37</v>
      </c>
      <c r="T459">
        <v>30966.15</v>
      </c>
    </row>
    <row r="460" spans="1:20" x14ac:dyDescent="0.25">
      <c r="A460" t="str">
        <f>(COUNTIF($K$2:K460,K460))&amp;K460</f>
        <v>27PCR</v>
      </c>
      <c r="B460" s="34" t="s">
        <v>91</v>
      </c>
      <c r="C460" s="41">
        <v>0.83480357360634672</v>
      </c>
      <c r="E460" s="33"/>
      <c r="F460" s="39">
        <v>6395780</v>
      </c>
      <c r="G460" s="40"/>
      <c r="H460" s="38"/>
      <c r="I460" s="38"/>
      <c r="J460" s="38"/>
      <c r="K460" s="56" t="s">
        <v>57</v>
      </c>
      <c r="L460" s="38"/>
      <c r="M460" s="38"/>
      <c r="N460" s="38"/>
      <c r="P460" s="40">
        <v>5339220</v>
      </c>
      <c r="Q460" s="33"/>
      <c r="R460" s="38"/>
      <c r="S460" s="38"/>
    </row>
    <row r="461" spans="1:20" x14ac:dyDescent="0.25">
      <c r="A461" t="str">
        <f>(COUNTIF($K$2:K461,K461))&amp;K461</f>
        <v>2830200</v>
      </c>
      <c r="B461" s="34" t="s">
        <v>91</v>
      </c>
      <c r="C461" s="13" t="s">
        <v>74</v>
      </c>
      <c r="D461" s="14" t="s">
        <v>76</v>
      </c>
      <c r="E461" s="16">
        <v>168</v>
      </c>
      <c r="F461" s="17">
        <v>1440</v>
      </c>
      <c r="G461" s="24">
        <v>1020</v>
      </c>
      <c r="H461" s="15">
        <v>27.63</v>
      </c>
      <c r="I461" s="15">
        <v>100.2</v>
      </c>
      <c r="J461" s="15">
        <v>821.15</v>
      </c>
      <c r="K461" s="18">
        <v>30200</v>
      </c>
      <c r="L461" s="15">
        <v>20.7</v>
      </c>
      <c r="M461" s="15">
        <v>-19.45</v>
      </c>
      <c r="N461" s="15">
        <v>24.46</v>
      </c>
      <c r="O461" s="24">
        <v>27900</v>
      </c>
      <c r="P461" s="17">
        <v>241960</v>
      </c>
      <c r="Q461" s="16">
        <v>158498</v>
      </c>
      <c r="R461" s="19" t="s">
        <v>76</v>
      </c>
      <c r="S461" s="20" t="s">
        <v>39</v>
      </c>
      <c r="T461">
        <v>30966.15</v>
      </c>
    </row>
    <row r="462" spans="1:20" x14ac:dyDescent="0.25">
      <c r="A462" t="str">
        <f>(COUNTIF($K$2:K462,K462))&amp;K462</f>
        <v>2830300</v>
      </c>
      <c r="B462" s="34" t="s">
        <v>91</v>
      </c>
      <c r="C462" s="13" t="s">
        <v>40</v>
      </c>
      <c r="D462" s="14" t="s">
        <v>76</v>
      </c>
      <c r="E462" s="16">
        <v>599</v>
      </c>
      <c r="F462" s="17">
        <v>4860</v>
      </c>
      <c r="G462" s="24">
        <v>2700</v>
      </c>
      <c r="H462" s="15">
        <v>21.31</v>
      </c>
      <c r="I462" s="15">
        <v>59.25</v>
      </c>
      <c r="J462" s="15">
        <v>688.9</v>
      </c>
      <c r="K462" s="18">
        <v>30300</v>
      </c>
      <c r="L462" s="15">
        <v>29.1</v>
      </c>
      <c r="M462" s="15">
        <v>-23.55</v>
      </c>
      <c r="N462" s="15">
        <v>24.06</v>
      </c>
      <c r="O462" s="24">
        <v>86100</v>
      </c>
      <c r="P462" s="17">
        <v>232400</v>
      </c>
      <c r="Q462" s="16">
        <v>202706</v>
      </c>
      <c r="R462" s="19" t="s">
        <v>76</v>
      </c>
      <c r="S462" s="20" t="s">
        <v>39</v>
      </c>
      <c r="T462">
        <v>30966.15</v>
      </c>
    </row>
    <row r="463" spans="1:20" x14ac:dyDescent="0.25">
      <c r="A463" t="str">
        <f>(COUNTIF($K$2:K463,K463))&amp;K463</f>
        <v>2830400</v>
      </c>
      <c r="B463" s="34" t="s">
        <v>91</v>
      </c>
      <c r="C463" s="13" t="s">
        <v>40</v>
      </c>
      <c r="D463" s="14" t="s">
        <v>76</v>
      </c>
      <c r="E463" s="16">
        <v>907</v>
      </c>
      <c r="F463" s="17">
        <v>2280</v>
      </c>
      <c r="G463" s="24">
        <v>880</v>
      </c>
      <c r="H463" s="15">
        <v>24.88</v>
      </c>
      <c r="I463" s="15">
        <v>60.65</v>
      </c>
      <c r="J463" s="15">
        <v>614</v>
      </c>
      <c r="K463" s="18">
        <v>30400</v>
      </c>
      <c r="L463" s="15">
        <v>40.15</v>
      </c>
      <c r="M463" s="15">
        <v>-29.6</v>
      </c>
      <c r="N463" s="15">
        <v>23.57</v>
      </c>
      <c r="O463" s="24">
        <v>154760</v>
      </c>
      <c r="P463" s="17">
        <v>286080</v>
      </c>
      <c r="Q463" s="16">
        <v>299789</v>
      </c>
      <c r="R463" s="19" t="s">
        <v>76</v>
      </c>
      <c r="S463" s="20" t="s">
        <v>39</v>
      </c>
      <c r="T463">
        <v>30966.15</v>
      </c>
    </row>
    <row r="464" spans="1:20" x14ac:dyDescent="0.25">
      <c r="A464" t="str">
        <f>(COUNTIF($K$2:K464,K464))&amp;K464</f>
        <v>2830500</v>
      </c>
      <c r="B464" s="34" t="s">
        <v>91</v>
      </c>
      <c r="C464" s="13" t="s">
        <v>40</v>
      </c>
      <c r="D464" s="14" t="s">
        <v>76</v>
      </c>
      <c r="E464" s="16">
        <v>13343</v>
      </c>
      <c r="F464" s="17">
        <v>57600</v>
      </c>
      <c r="G464" s="24">
        <v>9580</v>
      </c>
      <c r="H464" s="15">
        <v>22.2</v>
      </c>
      <c r="I464" s="15">
        <v>43.55</v>
      </c>
      <c r="J464" s="15">
        <v>517.1</v>
      </c>
      <c r="K464" s="18">
        <v>30500</v>
      </c>
      <c r="L464" s="15">
        <v>54.95</v>
      </c>
      <c r="M464" s="15">
        <v>-37.299999999999997</v>
      </c>
      <c r="N464" s="15">
        <v>23.26</v>
      </c>
      <c r="O464" s="24">
        <v>331060</v>
      </c>
      <c r="P464" s="17">
        <v>869400</v>
      </c>
      <c r="Q464" s="16">
        <v>648532</v>
      </c>
      <c r="R464" s="19" t="s">
        <v>76</v>
      </c>
      <c r="S464" s="20" t="s">
        <v>39</v>
      </c>
      <c r="T464">
        <v>30966.15</v>
      </c>
    </row>
    <row r="465" spans="1:20" x14ac:dyDescent="0.25">
      <c r="A465" t="str">
        <f>(COUNTIF($K$2:K465,K465))&amp;K465</f>
        <v>2830600</v>
      </c>
      <c r="B465" s="34" t="s">
        <v>91</v>
      </c>
      <c r="C465" s="13" t="s">
        <v>40</v>
      </c>
      <c r="D465" s="14" t="s">
        <v>76</v>
      </c>
      <c r="E465" s="16">
        <v>10755</v>
      </c>
      <c r="F465" s="17">
        <v>20080</v>
      </c>
      <c r="G465" s="24">
        <v>3700</v>
      </c>
      <c r="H465" s="15">
        <v>22.95</v>
      </c>
      <c r="I465" s="15">
        <v>37.35</v>
      </c>
      <c r="J465" s="15">
        <v>440.9</v>
      </c>
      <c r="K465" s="18">
        <v>30600</v>
      </c>
      <c r="L465" s="15">
        <v>74.599999999999994</v>
      </c>
      <c r="M465" s="15">
        <v>-43.65</v>
      </c>
      <c r="N465" s="15">
        <v>22.94</v>
      </c>
      <c r="O465" s="24">
        <v>251480</v>
      </c>
      <c r="P465" s="17">
        <v>425300</v>
      </c>
      <c r="Q465" s="16">
        <v>372692</v>
      </c>
      <c r="R465" s="19" t="s">
        <v>76</v>
      </c>
      <c r="S465" s="20" t="s">
        <v>39</v>
      </c>
      <c r="T465">
        <v>30966.15</v>
      </c>
    </row>
    <row r="466" spans="1:20" x14ac:dyDescent="0.25">
      <c r="A466" t="str">
        <f>(COUNTIF($K$2:K466,K466))&amp;K466</f>
        <v>2830700</v>
      </c>
      <c r="B466" s="34" t="s">
        <v>91</v>
      </c>
      <c r="C466" s="13" t="s">
        <v>40</v>
      </c>
      <c r="D466" s="14" t="s">
        <v>76</v>
      </c>
      <c r="E466" s="16">
        <v>48095</v>
      </c>
      <c r="F466" s="17">
        <v>55900</v>
      </c>
      <c r="G466" s="24">
        <v>27700</v>
      </c>
      <c r="H466" s="15">
        <v>21.85</v>
      </c>
      <c r="I466" s="15">
        <v>28.25</v>
      </c>
      <c r="J466" s="15">
        <v>360.7</v>
      </c>
      <c r="K466" s="18">
        <v>30700</v>
      </c>
      <c r="L466" s="15">
        <v>99.85</v>
      </c>
      <c r="M466" s="15">
        <v>-52.35</v>
      </c>
      <c r="N466" s="15">
        <v>22.57</v>
      </c>
      <c r="O466" s="24">
        <v>304060</v>
      </c>
      <c r="P466" s="17">
        <v>476540</v>
      </c>
      <c r="Q466" s="16">
        <v>442093</v>
      </c>
      <c r="R466" s="19" t="s">
        <v>76</v>
      </c>
      <c r="S466" s="20" t="s">
        <v>39</v>
      </c>
      <c r="T466">
        <v>30966.15</v>
      </c>
    </row>
    <row r="467" spans="1:20" x14ac:dyDescent="0.25">
      <c r="A467" t="str">
        <f>(COUNTIF($K$2:K467,K467))&amp;K467</f>
        <v>2830800</v>
      </c>
      <c r="B467" s="34" t="s">
        <v>91</v>
      </c>
      <c r="C467" s="13" t="s">
        <v>40</v>
      </c>
      <c r="D467" s="14" t="s">
        <v>76</v>
      </c>
      <c r="E467" s="16">
        <v>155542</v>
      </c>
      <c r="F467" s="17">
        <v>208200</v>
      </c>
      <c r="G467" s="24">
        <v>65580</v>
      </c>
      <c r="H467" s="15">
        <v>21.82</v>
      </c>
      <c r="I467" s="15">
        <v>18.649999999999999</v>
      </c>
      <c r="J467" s="15">
        <v>292.3</v>
      </c>
      <c r="K467" s="18">
        <v>30800</v>
      </c>
      <c r="L467" s="15">
        <v>131.80000000000001</v>
      </c>
      <c r="M467" s="15">
        <v>-59.35</v>
      </c>
      <c r="N467" s="15">
        <v>22.28</v>
      </c>
      <c r="O467" s="24">
        <v>316700</v>
      </c>
      <c r="P467" s="17">
        <v>574340</v>
      </c>
      <c r="Q467" s="16">
        <v>453928</v>
      </c>
      <c r="R467" s="19" t="s">
        <v>76</v>
      </c>
      <c r="S467" s="20" t="s">
        <v>39</v>
      </c>
      <c r="T467">
        <v>30966.15</v>
      </c>
    </row>
    <row r="468" spans="1:20" x14ac:dyDescent="0.25">
      <c r="A468" t="str">
        <f>(COUNTIF($K$2:K468,K468))&amp;K468</f>
        <v>2830900</v>
      </c>
      <c r="B468" s="34" t="s">
        <v>91</v>
      </c>
      <c r="C468" s="13" t="s">
        <v>40</v>
      </c>
      <c r="D468" s="14" t="s">
        <v>76</v>
      </c>
      <c r="E468" s="16">
        <v>277020</v>
      </c>
      <c r="F468" s="17">
        <v>393380</v>
      </c>
      <c r="G468" s="24">
        <v>173180</v>
      </c>
      <c r="H468" s="15">
        <v>21.48</v>
      </c>
      <c r="I468" s="15">
        <v>12.15</v>
      </c>
      <c r="J468" s="15">
        <v>233</v>
      </c>
      <c r="K468" s="18">
        <v>30900</v>
      </c>
      <c r="L468" s="15">
        <v>171.2</v>
      </c>
      <c r="M468" s="15">
        <v>-65.3</v>
      </c>
      <c r="N468" s="15">
        <v>22.03</v>
      </c>
      <c r="O468" s="24">
        <v>313760</v>
      </c>
      <c r="P468" s="17">
        <v>522480</v>
      </c>
      <c r="Q468" s="16">
        <v>387005</v>
      </c>
      <c r="R468" s="19" t="s">
        <v>76</v>
      </c>
      <c r="S468" s="20" t="s">
        <v>39</v>
      </c>
      <c r="T468">
        <v>30966.15</v>
      </c>
    </row>
    <row r="469" spans="1:20" ht="15.75" x14ac:dyDescent="0.25">
      <c r="A469" t="str">
        <f>(COUNTIF($K$2:K469,K469))&amp;K469</f>
        <v>2831000</v>
      </c>
      <c r="B469" s="34" t="s">
        <v>91</v>
      </c>
      <c r="C469" s="13" t="s">
        <v>40</v>
      </c>
      <c r="D469" s="14" t="s">
        <v>76</v>
      </c>
      <c r="E469" s="16">
        <v>614557</v>
      </c>
      <c r="F469" s="17">
        <v>1075040</v>
      </c>
      <c r="G469" s="24">
        <v>296780</v>
      </c>
      <c r="H469" s="15">
        <v>21.62</v>
      </c>
      <c r="I469" s="15">
        <v>5.4</v>
      </c>
      <c r="J469" s="15">
        <v>183.2</v>
      </c>
      <c r="K469" s="21">
        <v>31000</v>
      </c>
      <c r="L469" s="15">
        <v>218.2</v>
      </c>
      <c r="M469" s="15">
        <v>-73.75</v>
      </c>
      <c r="N469" s="15">
        <v>21.96</v>
      </c>
      <c r="O469" s="24">
        <v>331920</v>
      </c>
      <c r="P469" s="17">
        <v>783140</v>
      </c>
      <c r="Q469" s="16">
        <v>380615</v>
      </c>
      <c r="R469" s="19" t="s">
        <v>76</v>
      </c>
      <c r="S469" s="20" t="s">
        <v>39</v>
      </c>
      <c r="T469">
        <v>30966.15</v>
      </c>
    </row>
    <row r="470" spans="1:20" x14ac:dyDescent="0.25">
      <c r="A470" t="str">
        <f>(COUNTIF($K$2:K470,K470))&amp;K470</f>
        <v>2831100</v>
      </c>
      <c r="B470" s="34" t="s">
        <v>91</v>
      </c>
      <c r="C470" s="13" t="s">
        <v>39</v>
      </c>
      <c r="D470" s="14" t="s">
        <v>76</v>
      </c>
      <c r="E470" s="16">
        <v>381974</v>
      </c>
      <c r="F470" s="17">
        <v>504360</v>
      </c>
      <c r="G470" s="24">
        <v>134440</v>
      </c>
      <c r="H470" s="15">
        <v>21.63</v>
      </c>
      <c r="I470" s="15">
        <v>-0.3</v>
      </c>
      <c r="J470" s="15">
        <v>139.94999999999999</v>
      </c>
      <c r="K470" s="18">
        <v>31100</v>
      </c>
      <c r="L470" s="15">
        <v>275.75</v>
      </c>
      <c r="M470" s="15">
        <v>-77.7</v>
      </c>
      <c r="N470" s="15">
        <v>22.1</v>
      </c>
      <c r="O470" s="24">
        <v>50900</v>
      </c>
      <c r="P470" s="17">
        <v>155160</v>
      </c>
      <c r="Q470" s="16">
        <v>86630</v>
      </c>
      <c r="R470" s="19" t="s">
        <v>76</v>
      </c>
      <c r="S470" s="20" t="s">
        <v>39</v>
      </c>
      <c r="T470">
        <v>30966.15</v>
      </c>
    </row>
    <row r="471" spans="1:20" x14ac:dyDescent="0.25">
      <c r="A471" t="str">
        <f>(COUNTIF($K$2:K471,K471))&amp;K471</f>
        <v>2831200</v>
      </c>
      <c r="B471" s="34" t="s">
        <v>91</v>
      </c>
      <c r="C471" s="13" t="s">
        <v>39</v>
      </c>
      <c r="D471" s="14" t="s">
        <v>76</v>
      </c>
      <c r="E471" s="16">
        <v>583803</v>
      </c>
      <c r="F471" s="17">
        <v>712080</v>
      </c>
      <c r="G471" s="24">
        <v>152680</v>
      </c>
      <c r="H471" s="15">
        <v>21.75</v>
      </c>
      <c r="I471" s="15">
        <v>-4.0999999999999996</v>
      </c>
      <c r="J471" s="15">
        <v>106.75</v>
      </c>
      <c r="K471" s="18">
        <v>31200</v>
      </c>
      <c r="L471" s="15">
        <v>342.25</v>
      </c>
      <c r="M471" s="15">
        <v>-83</v>
      </c>
      <c r="N471" s="15">
        <v>22.2</v>
      </c>
      <c r="O471" s="24">
        <v>15420</v>
      </c>
      <c r="P471" s="17">
        <v>120520</v>
      </c>
      <c r="Q471" s="16">
        <v>49269</v>
      </c>
      <c r="R471" s="19" t="s">
        <v>76</v>
      </c>
      <c r="S471" s="20" t="s">
        <v>39</v>
      </c>
      <c r="T471">
        <v>30966.15</v>
      </c>
    </row>
    <row r="472" spans="1:20" x14ac:dyDescent="0.25">
      <c r="A472" t="str">
        <f>(COUNTIF($K$2:K472,K472))&amp;K472</f>
        <v>2831300</v>
      </c>
      <c r="B472" s="34" t="s">
        <v>91</v>
      </c>
      <c r="C472" s="13" t="s">
        <v>39</v>
      </c>
      <c r="D472" s="14" t="s">
        <v>76</v>
      </c>
      <c r="E472" s="16">
        <v>414330</v>
      </c>
      <c r="F472" s="17">
        <v>633900</v>
      </c>
      <c r="G472" s="24">
        <v>186220</v>
      </c>
      <c r="H472" s="15">
        <v>21.86</v>
      </c>
      <c r="I472" s="15">
        <v>-6.8</v>
      </c>
      <c r="J472" s="15">
        <v>78.75</v>
      </c>
      <c r="K472" s="18">
        <v>31300</v>
      </c>
      <c r="L472" s="15">
        <v>414.3</v>
      </c>
      <c r="M472" s="15">
        <v>-94.4</v>
      </c>
      <c r="N472" s="15">
        <v>21.78</v>
      </c>
      <c r="O472" s="24">
        <v>-5440</v>
      </c>
      <c r="P472" s="17">
        <v>97740</v>
      </c>
      <c r="Q472" s="16">
        <v>13108</v>
      </c>
      <c r="R472" s="19" t="s">
        <v>77</v>
      </c>
      <c r="S472" s="20" t="s">
        <v>37</v>
      </c>
      <c r="T472">
        <v>30966.15</v>
      </c>
    </row>
    <row r="473" spans="1:20" x14ac:dyDescent="0.25">
      <c r="A473" t="str">
        <f>(COUNTIF($K$2:K473,K473))&amp;K473</f>
        <v>2831400</v>
      </c>
      <c r="B473" s="34" t="s">
        <v>91</v>
      </c>
      <c r="C473" s="13" t="s">
        <v>39</v>
      </c>
      <c r="D473" s="14" t="s">
        <v>76</v>
      </c>
      <c r="E473" s="16">
        <v>366184</v>
      </c>
      <c r="F473" s="17">
        <v>540720</v>
      </c>
      <c r="G473" s="24">
        <v>147560</v>
      </c>
      <c r="H473" s="15">
        <v>21.98</v>
      </c>
      <c r="I473" s="15">
        <v>-9.6999999999999993</v>
      </c>
      <c r="J473" s="15">
        <v>56.15</v>
      </c>
      <c r="K473" s="18">
        <v>31400</v>
      </c>
      <c r="L473" s="15">
        <v>494.6</v>
      </c>
      <c r="M473" s="15">
        <v>-87.35</v>
      </c>
      <c r="N473" s="15">
        <v>21.85</v>
      </c>
      <c r="O473" s="24">
        <v>4260</v>
      </c>
      <c r="P473" s="17">
        <v>54740</v>
      </c>
      <c r="Q473" s="16">
        <v>4243</v>
      </c>
      <c r="R473" s="19" t="s">
        <v>76</v>
      </c>
      <c r="S473" s="20" t="s">
        <v>39</v>
      </c>
      <c r="T473">
        <v>30966.15</v>
      </c>
    </row>
    <row r="474" spans="1:20" x14ac:dyDescent="0.25">
      <c r="A474" t="str">
        <f>(COUNTIF($K$2:K474,K474))&amp;K474</f>
        <v>2831500</v>
      </c>
      <c r="B474" s="34" t="s">
        <v>91</v>
      </c>
      <c r="C474" s="13" t="s">
        <v>39</v>
      </c>
      <c r="D474" s="14" t="s">
        <v>76</v>
      </c>
      <c r="E474" s="16">
        <v>540537</v>
      </c>
      <c r="F474" s="17">
        <v>1441560</v>
      </c>
      <c r="G474" s="24">
        <v>247200</v>
      </c>
      <c r="H474" s="15">
        <v>22.3</v>
      </c>
      <c r="I474" s="15">
        <v>-8.9499999999999993</v>
      </c>
      <c r="J474" s="15">
        <v>41</v>
      </c>
      <c r="K474" s="18">
        <v>31500</v>
      </c>
      <c r="L474" s="15">
        <v>580</v>
      </c>
      <c r="M474" s="15">
        <v>-87.3</v>
      </c>
      <c r="N474" s="15">
        <v>22.39</v>
      </c>
      <c r="O474" s="24">
        <v>3560</v>
      </c>
      <c r="P474" s="17">
        <v>471660</v>
      </c>
      <c r="Q474" s="16">
        <v>6865</v>
      </c>
      <c r="R474" s="19" t="s">
        <v>76</v>
      </c>
      <c r="S474" s="20" t="s">
        <v>39</v>
      </c>
      <c r="T474">
        <v>30966.15</v>
      </c>
    </row>
    <row r="475" spans="1:20" x14ac:dyDescent="0.25">
      <c r="A475" t="str">
        <f>(COUNTIF($K$2:K475,K475))&amp;K475</f>
        <v>2831600</v>
      </c>
      <c r="B475" s="34" t="s">
        <v>91</v>
      </c>
      <c r="C475" s="13" t="s">
        <v>39</v>
      </c>
      <c r="D475" s="14" t="s">
        <v>76</v>
      </c>
      <c r="E475" s="16">
        <v>213786</v>
      </c>
      <c r="F475" s="17">
        <v>359540</v>
      </c>
      <c r="G475" s="24">
        <v>75320</v>
      </c>
      <c r="H475" s="15">
        <v>22.39</v>
      </c>
      <c r="I475" s="15">
        <v>-9.15</v>
      </c>
      <c r="J475" s="15">
        <v>28.6</v>
      </c>
      <c r="K475" s="18">
        <v>31600</v>
      </c>
      <c r="L475" s="15">
        <v>665</v>
      </c>
      <c r="M475" s="15">
        <v>-95.85</v>
      </c>
      <c r="N475" s="15">
        <v>24.54</v>
      </c>
      <c r="O475" s="24" t="s">
        <v>14</v>
      </c>
      <c r="P475" s="17">
        <v>17660</v>
      </c>
      <c r="Q475" s="16">
        <v>304</v>
      </c>
      <c r="R475" s="19" t="s">
        <v>76</v>
      </c>
      <c r="S475" s="20" t="s">
        <v>39</v>
      </c>
      <c r="T475">
        <v>30966.15</v>
      </c>
    </row>
    <row r="476" spans="1:20" x14ac:dyDescent="0.25">
      <c r="A476" t="str">
        <f>(COUNTIF($K$2:K476,K476))&amp;K476</f>
        <v>2831700</v>
      </c>
      <c r="B476" s="34" t="s">
        <v>91</v>
      </c>
      <c r="C476" s="13" t="s">
        <v>39</v>
      </c>
      <c r="D476" s="14" t="s">
        <v>76</v>
      </c>
      <c r="E476" s="16">
        <v>141155</v>
      </c>
      <c r="F476" s="17">
        <v>384840</v>
      </c>
      <c r="G476" s="24">
        <v>26880</v>
      </c>
      <c r="H476" s="15">
        <v>22.67</v>
      </c>
      <c r="I476" s="15">
        <v>-8.15</v>
      </c>
      <c r="J476" s="15">
        <v>20</v>
      </c>
      <c r="K476" s="18">
        <v>31700</v>
      </c>
      <c r="L476" s="15">
        <v>748.05</v>
      </c>
      <c r="M476" s="15">
        <v>-95.65</v>
      </c>
      <c r="N476" s="15">
        <v>26.79</v>
      </c>
      <c r="O476" s="24">
        <v>-1240</v>
      </c>
      <c r="P476" s="17">
        <v>10100</v>
      </c>
      <c r="Q476" s="16">
        <v>319</v>
      </c>
      <c r="R476" s="19" t="s">
        <v>77</v>
      </c>
      <c r="S476" s="20" t="s">
        <v>37</v>
      </c>
      <c r="T476">
        <v>30966.15</v>
      </c>
    </row>
    <row r="477" spans="1:20" x14ac:dyDescent="0.25">
      <c r="A477" t="str">
        <f>(COUNTIF($K$2:K477,K477))&amp;K477</f>
        <v>28PCR</v>
      </c>
      <c r="B477" s="34" t="s">
        <v>91</v>
      </c>
      <c r="C477" s="41">
        <v>0.83480357360634672</v>
      </c>
      <c r="E477" s="33"/>
      <c r="F477" s="39">
        <v>6395780</v>
      </c>
      <c r="G477" s="40"/>
      <c r="H477" s="38"/>
      <c r="I477" s="38"/>
      <c r="J477" s="38"/>
      <c r="K477" s="56" t="s">
        <v>57</v>
      </c>
      <c r="L477" s="38"/>
      <c r="M477" s="38"/>
      <c r="N477" s="38"/>
      <c r="P477" s="40">
        <v>5339220</v>
      </c>
      <c r="Q477" s="33"/>
      <c r="R477" s="38"/>
      <c r="S477" s="38"/>
    </row>
    <row r="478" spans="1:20" x14ac:dyDescent="0.25">
      <c r="A478" t="str">
        <f>(COUNTIF($K$2:K478,K478))&amp;K478</f>
        <v>2930200</v>
      </c>
      <c r="B478" s="34" t="s">
        <v>91</v>
      </c>
      <c r="C478" s="13" t="s">
        <v>74</v>
      </c>
      <c r="D478" s="14" t="s">
        <v>76</v>
      </c>
      <c r="E478" s="16">
        <v>168</v>
      </c>
      <c r="F478" s="17">
        <v>1440</v>
      </c>
      <c r="G478" s="24">
        <v>1020</v>
      </c>
      <c r="H478" s="15">
        <v>27.63</v>
      </c>
      <c r="I478" s="15">
        <v>100.2</v>
      </c>
      <c r="J478" s="15">
        <v>821.15</v>
      </c>
      <c r="K478" s="18">
        <v>30200</v>
      </c>
      <c r="L478" s="15">
        <v>20.7</v>
      </c>
      <c r="M478" s="15">
        <v>-19.45</v>
      </c>
      <c r="N478" s="15">
        <v>24.46</v>
      </c>
      <c r="O478" s="24">
        <v>27900</v>
      </c>
      <c r="P478" s="17">
        <v>241960</v>
      </c>
      <c r="Q478" s="16">
        <v>158498</v>
      </c>
      <c r="R478" s="19" t="s">
        <v>76</v>
      </c>
      <c r="S478" s="20" t="s">
        <v>39</v>
      </c>
      <c r="T478">
        <v>30966.15</v>
      </c>
    </row>
    <row r="479" spans="1:20" x14ac:dyDescent="0.25">
      <c r="A479" t="str">
        <f>(COUNTIF($K$2:K479,K479))&amp;K479</f>
        <v>2930300</v>
      </c>
      <c r="B479" s="34" t="s">
        <v>91</v>
      </c>
      <c r="C479" s="13" t="s">
        <v>40</v>
      </c>
      <c r="D479" s="14" t="s">
        <v>76</v>
      </c>
      <c r="E479" s="16">
        <v>599</v>
      </c>
      <c r="F479" s="17">
        <v>4860</v>
      </c>
      <c r="G479" s="24">
        <v>2700</v>
      </c>
      <c r="H479" s="15">
        <v>21.31</v>
      </c>
      <c r="I479" s="15">
        <v>59.25</v>
      </c>
      <c r="J479" s="15">
        <v>688.9</v>
      </c>
      <c r="K479" s="18">
        <v>30300</v>
      </c>
      <c r="L479" s="15">
        <v>29.1</v>
      </c>
      <c r="M479" s="15">
        <v>-23.55</v>
      </c>
      <c r="N479" s="15">
        <v>24.06</v>
      </c>
      <c r="O479" s="24">
        <v>86100</v>
      </c>
      <c r="P479" s="17">
        <v>232400</v>
      </c>
      <c r="Q479" s="16">
        <v>202706</v>
      </c>
      <c r="R479" s="19" t="s">
        <v>76</v>
      </c>
      <c r="S479" s="20" t="s">
        <v>39</v>
      </c>
      <c r="T479">
        <v>30966.15</v>
      </c>
    </row>
    <row r="480" spans="1:20" x14ac:dyDescent="0.25">
      <c r="A480" t="str">
        <f>(COUNTIF($K$2:K480,K480))&amp;K480</f>
        <v>2930400</v>
      </c>
      <c r="B480" s="34" t="s">
        <v>91</v>
      </c>
      <c r="C480" s="13" t="s">
        <v>40</v>
      </c>
      <c r="D480" s="14" t="s">
        <v>76</v>
      </c>
      <c r="E480" s="16">
        <v>907</v>
      </c>
      <c r="F480" s="17">
        <v>2280</v>
      </c>
      <c r="G480" s="24">
        <v>880</v>
      </c>
      <c r="H480" s="15">
        <v>24.88</v>
      </c>
      <c r="I480" s="15">
        <v>60.65</v>
      </c>
      <c r="J480" s="15">
        <v>614</v>
      </c>
      <c r="K480" s="18">
        <v>30400</v>
      </c>
      <c r="L480" s="15">
        <v>40.15</v>
      </c>
      <c r="M480" s="15">
        <v>-29.6</v>
      </c>
      <c r="N480" s="15">
        <v>23.57</v>
      </c>
      <c r="O480" s="24">
        <v>154760</v>
      </c>
      <c r="P480" s="17">
        <v>286080</v>
      </c>
      <c r="Q480" s="16">
        <v>299789</v>
      </c>
      <c r="R480" s="19" t="s">
        <v>76</v>
      </c>
      <c r="S480" s="20" t="s">
        <v>39</v>
      </c>
      <c r="T480">
        <v>30966.15</v>
      </c>
    </row>
    <row r="481" spans="1:20" x14ac:dyDescent="0.25">
      <c r="A481" t="str">
        <f>(COUNTIF($K$2:K481,K481))&amp;K481</f>
        <v>2930500</v>
      </c>
      <c r="B481" s="34" t="s">
        <v>91</v>
      </c>
      <c r="C481" s="13" t="s">
        <v>40</v>
      </c>
      <c r="D481" s="14" t="s">
        <v>76</v>
      </c>
      <c r="E481" s="16">
        <v>13343</v>
      </c>
      <c r="F481" s="17">
        <v>57600</v>
      </c>
      <c r="G481" s="24">
        <v>9580</v>
      </c>
      <c r="H481" s="15">
        <v>22.2</v>
      </c>
      <c r="I481" s="15">
        <v>43.55</v>
      </c>
      <c r="J481" s="15">
        <v>517.1</v>
      </c>
      <c r="K481" s="18">
        <v>30500</v>
      </c>
      <c r="L481" s="15">
        <v>54.95</v>
      </c>
      <c r="M481" s="15">
        <v>-37.299999999999997</v>
      </c>
      <c r="N481" s="15">
        <v>23.26</v>
      </c>
      <c r="O481" s="24">
        <v>331060</v>
      </c>
      <c r="P481" s="17">
        <v>869400</v>
      </c>
      <c r="Q481" s="16">
        <v>648532</v>
      </c>
      <c r="R481" s="19" t="s">
        <v>76</v>
      </c>
      <c r="S481" s="20" t="s">
        <v>39</v>
      </c>
      <c r="T481">
        <v>30966.15</v>
      </c>
    </row>
    <row r="482" spans="1:20" x14ac:dyDescent="0.25">
      <c r="A482" t="str">
        <f>(COUNTIF($K$2:K482,K482))&amp;K482</f>
        <v>2930600</v>
      </c>
      <c r="B482" s="34" t="s">
        <v>91</v>
      </c>
      <c r="C482" s="13" t="s">
        <v>40</v>
      </c>
      <c r="D482" s="14" t="s">
        <v>76</v>
      </c>
      <c r="E482" s="16">
        <v>10755</v>
      </c>
      <c r="F482" s="17">
        <v>20080</v>
      </c>
      <c r="G482" s="24">
        <v>3700</v>
      </c>
      <c r="H482" s="15">
        <v>22.95</v>
      </c>
      <c r="I482" s="15">
        <v>37.35</v>
      </c>
      <c r="J482" s="15">
        <v>440.9</v>
      </c>
      <c r="K482" s="18">
        <v>30600</v>
      </c>
      <c r="L482" s="15">
        <v>74.599999999999994</v>
      </c>
      <c r="M482" s="15">
        <v>-43.65</v>
      </c>
      <c r="N482" s="15">
        <v>22.94</v>
      </c>
      <c r="O482" s="24">
        <v>251480</v>
      </c>
      <c r="P482" s="17">
        <v>425300</v>
      </c>
      <c r="Q482" s="16">
        <v>372692</v>
      </c>
      <c r="R482" s="19" t="s">
        <v>76</v>
      </c>
      <c r="S482" s="20" t="s">
        <v>39</v>
      </c>
      <c r="T482">
        <v>30966.15</v>
      </c>
    </row>
    <row r="483" spans="1:20" x14ac:dyDescent="0.25">
      <c r="A483" t="str">
        <f>(COUNTIF($K$2:K483,K483))&amp;K483</f>
        <v>2930700</v>
      </c>
      <c r="B483" s="34" t="s">
        <v>91</v>
      </c>
      <c r="C483" s="13" t="s">
        <v>40</v>
      </c>
      <c r="D483" s="14" t="s">
        <v>76</v>
      </c>
      <c r="E483" s="16">
        <v>48095</v>
      </c>
      <c r="F483" s="17">
        <v>55900</v>
      </c>
      <c r="G483" s="24">
        <v>27700</v>
      </c>
      <c r="H483" s="15">
        <v>21.85</v>
      </c>
      <c r="I483" s="15">
        <v>28.25</v>
      </c>
      <c r="J483" s="15">
        <v>360.7</v>
      </c>
      <c r="K483" s="18">
        <v>30700</v>
      </c>
      <c r="L483" s="15">
        <v>99.85</v>
      </c>
      <c r="M483" s="15">
        <v>-52.35</v>
      </c>
      <c r="N483" s="15">
        <v>22.57</v>
      </c>
      <c r="O483" s="24">
        <v>304060</v>
      </c>
      <c r="P483" s="17">
        <v>476540</v>
      </c>
      <c r="Q483" s="16">
        <v>442093</v>
      </c>
      <c r="R483" s="19" t="s">
        <v>76</v>
      </c>
      <c r="S483" s="20" t="s">
        <v>39</v>
      </c>
      <c r="T483">
        <v>30966.15</v>
      </c>
    </row>
    <row r="484" spans="1:20" x14ac:dyDescent="0.25">
      <c r="A484" t="str">
        <f>(COUNTIF($K$2:K484,K484))&amp;K484</f>
        <v>2930800</v>
      </c>
      <c r="B484" s="34" t="s">
        <v>91</v>
      </c>
      <c r="C484" s="13" t="s">
        <v>40</v>
      </c>
      <c r="D484" s="14" t="s">
        <v>76</v>
      </c>
      <c r="E484" s="16">
        <v>155542</v>
      </c>
      <c r="F484" s="17">
        <v>208200</v>
      </c>
      <c r="G484" s="24">
        <v>65580</v>
      </c>
      <c r="H484" s="15">
        <v>21.82</v>
      </c>
      <c r="I484" s="15">
        <v>18.649999999999999</v>
      </c>
      <c r="J484" s="15">
        <v>292.3</v>
      </c>
      <c r="K484" s="18">
        <v>30800</v>
      </c>
      <c r="L484" s="15">
        <v>131.80000000000001</v>
      </c>
      <c r="M484" s="15">
        <v>-59.35</v>
      </c>
      <c r="N484" s="15">
        <v>22.28</v>
      </c>
      <c r="O484" s="24">
        <v>316700</v>
      </c>
      <c r="P484" s="17">
        <v>574340</v>
      </c>
      <c r="Q484" s="16">
        <v>453928</v>
      </c>
      <c r="R484" s="19" t="s">
        <v>76</v>
      </c>
      <c r="S484" s="20" t="s">
        <v>39</v>
      </c>
      <c r="T484">
        <v>30966.15</v>
      </c>
    </row>
    <row r="485" spans="1:20" x14ac:dyDescent="0.25">
      <c r="A485" t="str">
        <f>(COUNTIF($K$2:K485,K485))&amp;K485</f>
        <v>2930900</v>
      </c>
      <c r="B485" s="34" t="s">
        <v>91</v>
      </c>
      <c r="C485" s="13" t="s">
        <v>40</v>
      </c>
      <c r="D485" s="14" t="s">
        <v>76</v>
      </c>
      <c r="E485" s="16">
        <v>277020</v>
      </c>
      <c r="F485" s="17">
        <v>393380</v>
      </c>
      <c r="G485" s="24">
        <v>173180</v>
      </c>
      <c r="H485" s="15">
        <v>21.48</v>
      </c>
      <c r="I485" s="15">
        <v>12.15</v>
      </c>
      <c r="J485" s="15">
        <v>233</v>
      </c>
      <c r="K485" s="18">
        <v>30900</v>
      </c>
      <c r="L485" s="15">
        <v>171.2</v>
      </c>
      <c r="M485" s="15">
        <v>-65.3</v>
      </c>
      <c r="N485" s="15">
        <v>22.03</v>
      </c>
      <c r="O485" s="24">
        <v>313760</v>
      </c>
      <c r="P485" s="17">
        <v>522480</v>
      </c>
      <c r="Q485" s="16">
        <v>387005</v>
      </c>
      <c r="R485" s="19" t="s">
        <v>76</v>
      </c>
      <c r="S485" s="20" t="s">
        <v>39</v>
      </c>
      <c r="T485">
        <v>30966.15</v>
      </c>
    </row>
    <row r="486" spans="1:20" ht="15.75" x14ac:dyDescent="0.25">
      <c r="A486" t="str">
        <f>(COUNTIF($K$2:K486,K486))&amp;K486</f>
        <v>2931000</v>
      </c>
      <c r="B486" s="34" t="s">
        <v>91</v>
      </c>
      <c r="C486" s="13" t="s">
        <v>40</v>
      </c>
      <c r="D486" s="14" t="s">
        <v>76</v>
      </c>
      <c r="E486" s="16">
        <v>614557</v>
      </c>
      <c r="F486" s="17">
        <v>1075040</v>
      </c>
      <c r="G486" s="24">
        <v>296780</v>
      </c>
      <c r="H486" s="15">
        <v>21.62</v>
      </c>
      <c r="I486" s="15">
        <v>5.4</v>
      </c>
      <c r="J486" s="15">
        <v>183.2</v>
      </c>
      <c r="K486" s="21">
        <v>31000</v>
      </c>
      <c r="L486" s="15">
        <v>218.2</v>
      </c>
      <c r="M486" s="15">
        <v>-73.75</v>
      </c>
      <c r="N486" s="15">
        <v>21.96</v>
      </c>
      <c r="O486" s="24">
        <v>331920</v>
      </c>
      <c r="P486" s="17">
        <v>783140</v>
      </c>
      <c r="Q486" s="16">
        <v>380615</v>
      </c>
      <c r="R486" s="19" t="s">
        <v>76</v>
      </c>
      <c r="S486" s="20" t="s">
        <v>39</v>
      </c>
      <c r="T486">
        <v>30966.15</v>
      </c>
    </row>
    <row r="487" spans="1:20" x14ac:dyDescent="0.25">
      <c r="A487" t="str">
        <f>(COUNTIF($K$2:K487,K487))&amp;K487</f>
        <v>2931100</v>
      </c>
      <c r="B487" s="34" t="s">
        <v>91</v>
      </c>
      <c r="C487" s="13" t="s">
        <v>39</v>
      </c>
      <c r="D487" s="14" t="s">
        <v>76</v>
      </c>
      <c r="E487" s="16">
        <v>381974</v>
      </c>
      <c r="F487" s="17">
        <v>504360</v>
      </c>
      <c r="G487" s="24">
        <v>134440</v>
      </c>
      <c r="H487" s="15">
        <v>21.63</v>
      </c>
      <c r="I487" s="15">
        <v>-0.3</v>
      </c>
      <c r="J487" s="15">
        <v>139.94999999999999</v>
      </c>
      <c r="K487" s="18">
        <v>31100</v>
      </c>
      <c r="L487" s="15">
        <v>275.75</v>
      </c>
      <c r="M487" s="15">
        <v>-77.7</v>
      </c>
      <c r="N487" s="15">
        <v>22.1</v>
      </c>
      <c r="O487" s="24">
        <v>50900</v>
      </c>
      <c r="P487" s="17">
        <v>155160</v>
      </c>
      <c r="Q487" s="16">
        <v>86630</v>
      </c>
      <c r="R487" s="19" t="s">
        <v>76</v>
      </c>
      <c r="S487" s="20" t="s">
        <v>39</v>
      </c>
      <c r="T487">
        <v>30966.15</v>
      </c>
    </row>
    <row r="488" spans="1:20" x14ac:dyDescent="0.25">
      <c r="A488" t="str">
        <f>(COUNTIF($K$2:K488,K488))&amp;K488</f>
        <v>2931200</v>
      </c>
      <c r="B488" s="34" t="s">
        <v>91</v>
      </c>
      <c r="C488" s="13" t="s">
        <v>39</v>
      </c>
      <c r="D488" s="14" t="s">
        <v>76</v>
      </c>
      <c r="E488" s="16">
        <v>583803</v>
      </c>
      <c r="F488" s="17">
        <v>712080</v>
      </c>
      <c r="G488" s="24">
        <v>152680</v>
      </c>
      <c r="H488" s="15">
        <v>21.75</v>
      </c>
      <c r="I488" s="15">
        <v>-4.0999999999999996</v>
      </c>
      <c r="J488" s="15">
        <v>106.75</v>
      </c>
      <c r="K488" s="18">
        <v>31200</v>
      </c>
      <c r="L488" s="15">
        <v>342.25</v>
      </c>
      <c r="M488" s="15">
        <v>-83</v>
      </c>
      <c r="N488" s="15">
        <v>22.2</v>
      </c>
      <c r="O488" s="24">
        <v>15420</v>
      </c>
      <c r="P488" s="17">
        <v>120520</v>
      </c>
      <c r="Q488" s="16">
        <v>49269</v>
      </c>
      <c r="R488" s="19" t="s">
        <v>76</v>
      </c>
      <c r="S488" s="20" t="s">
        <v>39</v>
      </c>
      <c r="T488">
        <v>30966.15</v>
      </c>
    </row>
    <row r="489" spans="1:20" x14ac:dyDescent="0.25">
      <c r="A489" t="str">
        <f>(COUNTIF($K$2:K489,K489))&amp;K489</f>
        <v>2931300</v>
      </c>
      <c r="B489" s="34" t="s">
        <v>91</v>
      </c>
      <c r="C489" s="13" t="s">
        <v>39</v>
      </c>
      <c r="D489" s="14" t="s">
        <v>76</v>
      </c>
      <c r="E489" s="16">
        <v>414330</v>
      </c>
      <c r="F489" s="17">
        <v>633900</v>
      </c>
      <c r="G489" s="24">
        <v>186220</v>
      </c>
      <c r="H489" s="15">
        <v>21.86</v>
      </c>
      <c r="I489" s="15">
        <v>-6.8</v>
      </c>
      <c r="J489" s="15">
        <v>78.75</v>
      </c>
      <c r="K489" s="18">
        <v>31300</v>
      </c>
      <c r="L489" s="15">
        <v>414.3</v>
      </c>
      <c r="M489" s="15">
        <v>-94.4</v>
      </c>
      <c r="N489" s="15">
        <v>21.78</v>
      </c>
      <c r="O489" s="24">
        <v>-5440</v>
      </c>
      <c r="P489" s="17">
        <v>97740</v>
      </c>
      <c r="Q489" s="16">
        <v>13108</v>
      </c>
      <c r="R489" s="19" t="s">
        <v>77</v>
      </c>
      <c r="S489" s="20" t="s">
        <v>37</v>
      </c>
      <c r="T489">
        <v>30966.15</v>
      </c>
    </row>
    <row r="490" spans="1:20" x14ac:dyDescent="0.25">
      <c r="A490" t="str">
        <f>(COUNTIF($K$2:K490,K490))&amp;K490</f>
        <v>2931400</v>
      </c>
      <c r="B490" s="34" t="s">
        <v>91</v>
      </c>
      <c r="C490" s="13" t="s">
        <v>39</v>
      </c>
      <c r="D490" s="14" t="s">
        <v>76</v>
      </c>
      <c r="E490" s="16">
        <v>366184</v>
      </c>
      <c r="F490" s="17">
        <v>540720</v>
      </c>
      <c r="G490" s="24">
        <v>147560</v>
      </c>
      <c r="H490" s="15">
        <v>21.98</v>
      </c>
      <c r="I490" s="15">
        <v>-9.6999999999999993</v>
      </c>
      <c r="J490" s="15">
        <v>56.15</v>
      </c>
      <c r="K490" s="18">
        <v>31400</v>
      </c>
      <c r="L490" s="15">
        <v>494.6</v>
      </c>
      <c r="M490" s="15">
        <v>-87.35</v>
      </c>
      <c r="N490" s="15">
        <v>21.85</v>
      </c>
      <c r="O490" s="24">
        <v>4260</v>
      </c>
      <c r="P490" s="17">
        <v>54740</v>
      </c>
      <c r="Q490" s="16">
        <v>4243</v>
      </c>
      <c r="R490" s="19" t="s">
        <v>76</v>
      </c>
      <c r="S490" s="20" t="s">
        <v>39</v>
      </c>
      <c r="T490">
        <v>30966.15</v>
      </c>
    </row>
    <row r="491" spans="1:20" x14ac:dyDescent="0.25">
      <c r="A491" t="str">
        <f>(COUNTIF($K$2:K491,K491))&amp;K491</f>
        <v>2931500</v>
      </c>
      <c r="B491" s="34" t="s">
        <v>91</v>
      </c>
      <c r="C491" s="13" t="s">
        <v>39</v>
      </c>
      <c r="D491" s="14" t="s">
        <v>76</v>
      </c>
      <c r="E491" s="16">
        <v>540537</v>
      </c>
      <c r="F491" s="17">
        <v>1441560</v>
      </c>
      <c r="G491" s="24">
        <v>247200</v>
      </c>
      <c r="H491" s="15">
        <v>22.3</v>
      </c>
      <c r="I491" s="15">
        <v>-8.9499999999999993</v>
      </c>
      <c r="J491" s="15">
        <v>41</v>
      </c>
      <c r="K491" s="18">
        <v>31500</v>
      </c>
      <c r="L491" s="15">
        <v>580</v>
      </c>
      <c r="M491" s="15">
        <v>-87.3</v>
      </c>
      <c r="N491" s="15">
        <v>22.39</v>
      </c>
      <c r="O491" s="24">
        <v>3560</v>
      </c>
      <c r="P491" s="17">
        <v>471660</v>
      </c>
      <c r="Q491" s="16">
        <v>6865</v>
      </c>
      <c r="R491" s="19" t="s">
        <v>76</v>
      </c>
      <c r="S491" s="20" t="s">
        <v>39</v>
      </c>
      <c r="T491">
        <v>30966.15</v>
      </c>
    </row>
    <row r="492" spans="1:20" x14ac:dyDescent="0.25">
      <c r="A492" t="str">
        <f>(COUNTIF($K$2:K492,K492))&amp;K492</f>
        <v>2931600</v>
      </c>
      <c r="B492" s="34" t="s">
        <v>91</v>
      </c>
      <c r="C492" s="13" t="s">
        <v>39</v>
      </c>
      <c r="D492" s="14" t="s">
        <v>76</v>
      </c>
      <c r="E492" s="16">
        <v>213786</v>
      </c>
      <c r="F492" s="17">
        <v>359540</v>
      </c>
      <c r="G492" s="24">
        <v>75320</v>
      </c>
      <c r="H492" s="15">
        <v>22.39</v>
      </c>
      <c r="I492" s="15">
        <v>-9.15</v>
      </c>
      <c r="J492" s="15">
        <v>28.6</v>
      </c>
      <c r="K492" s="18">
        <v>31600</v>
      </c>
      <c r="L492" s="15">
        <v>665</v>
      </c>
      <c r="M492" s="15">
        <v>-95.85</v>
      </c>
      <c r="N492" s="15">
        <v>24.54</v>
      </c>
      <c r="O492" s="24" t="s">
        <v>14</v>
      </c>
      <c r="P492" s="17">
        <v>17660</v>
      </c>
      <c r="Q492" s="16">
        <v>304</v>
      </c>
      <c r="R492" s="19" t="s">
        <v>76</v>
      </c>
      <c r="S492" s="20" t="s">
        <v>39</v>
      </c>
      <c r="T492">
        <v>30966.15</v>
      </c>
    </row>
    <row r="493" spans="1:20" x14ac:dyDescent="0.25">
      <c r="A493" t="str">
        <f>(COUNTIF($K$2:K493,K493))&amp;K493</f>
        <v>2931700</v>
      </c>
      <c r="B493" s="34" t="s">
        <v>91</v>
      </c>
      <c r="C493" s="13" t="s">
        <v>39</v>
      </c>
      <c r="D493" s="14" t="s">
        <v>76</v>
      </c>
      <c r="E493" s="16">
        <v>141155</v>
      </c>
      <c r="F493" s="17">
        <v>384840</v>
      </c>
      <c r="G493" s="24">
        <v>26880</v>
      </c>
      <c r="H493" s="15">
        <v>22.67</v>
      </c>
      <c r="I493" s="15">
        <v>-8.15</v>
      </c>
      <c r="J493" s="15">
        <v>20</v>
      </c>
      <c r="K493" s="18">
        <v>31700</v>
      </c>
      <c r="L493" s="15">
        <v>748.05</v>
      </c>
      <c r="M493" s="15">
        <v>-95.65</v>
      </c>
      <c r="N493" s="15">
        <v>26.79</v>
      </c>
      <c r="O493" s="24">
        <v>-1240</v>
      </c>
      <c r="P493" s="17">
        <v>10100</v>
      </c>
      <c r="Q493" s="16">
        <v>319</v>
      </c>
      <c r="R493" s="19" t="s">
        <v>77</v>
      </c>
      <c r="S493" s="20" t="s">
        <v>37</v>
      </c>
      <c r="T493">
        <v>30966.15</v>
      </c>
    </row>
    <row r="494" spans="1:20" x14ac:dyDescent="0.25">
      <c r="A494" t="str">
        <f>(COUNTIF($K$2:K494,K494))&amp;K494</f>
        <v>29PCR</v>
      </c>
      <c r="B494" s="34" t="s">
        <v>91</v>
      </c>
      <c r="C494" s="41">
        <v>0.83480357360634672</v>
      </c>
      <c r="E494" s="33"/>
      <c r="F494" s="39">
        <v>6395780</v>
      </c>
      <c r="G494" s="40"/>
      <c r="H494" s="38"/>
      <c r="I494" s="38"/>
      <c r="J494" s="38"/>
      <c r="K494" s="56" t="s">
        <v>57</v>
      </c>
      <c r="L494" s="38"/>
      <c r="M494" s="38"/>
      <c r="N494" s="38"/>
      <c r="P494" s="40">
        <v>5339220</v>
      </c>
      <c r="Q494" s="33"/>
      <c r="R494" s="38"/>
      <c r="S494" s="38"/>
    </row>
    <row r="495" spans="1:20" x14ac:dyDescent="0.25">
      <c r="A495" t="str">
        <f>(COUNTIF($K$2:K495,K495))&amp;K495</f>
        <v>3030200</v>
      </c>
      <c r="B495" s="34" t="s">
        <v>91</v>
      </c>
      <c r="C495" s="13" t="s">
        <v>74</v>
      </c>
      <c r="D495" s="14" t="s">
        <v>76</v>
      </c>
      <c r="E495" s="16">
        <v>168</v>
      </c>
      <c r="F495" s="17">
        <v>1440</v>
      </c>
      <c r="G495" s="24">
        <v>1020</v>
      </c>
      <c r="H495" s="15">
        <v>27.63</v>
      </c>
      <c r="I495" s="15">
        <v>100.2</v>
      </c>
      <c r="J495" s="15">
        <v>821.15</v>
      </c>
      <c r="K495" s="18">
        <v>30200</v>
      </c>
      <c r="L495" s="15">
        <v>20.7</v>
      </c>
      <c r="M495" s="15">
        <v>-19.45</v>
      </c>
      <c r="N495" s="15">
        <v>24.46</v>
      </c>
      <c r="O495" s="24">
        <v>27900</v>
      </c>
      <c r="P495" s="17">
        <v>241960</v>
      </c>
      <c r="Q495" s="16">
        <v>158498</v>
      </c>
      <c r="R495" s="19" t="s">
        <v>76</v>
      </c>
      <c r="S495" s="20" t="s">
        <v>39</v>
      </c>
      <c r="T495">
        <v>30966.15</v>
      </c>
    </row>
    <row r="496" spans="1:20" x14ac:dyDescent="0.25">
      <c r="A496" t="str">
        <f>(COUNTIF($K$2:K496,K496))&amp;K496</f>
        <v>3030300</v>
      </c>
      <c r="B496" s="34" t="s">
        <v>91</v>
      </c>
      <c r="C496" s="13" t="s">
        <v>40</v>
      </c>
      <c r="D496" s="14" t="s">
        <v>76</v>
      </c>
      <c r="E496" s="16">
        <v>599</v>
      </c>
      <c r="F496" s="17">
        <v>4860</v>
      </c>
      <c r="G496" s="24">
        <v>2700</v>
      </c>
      <c r="H496" s="15">
        <v>21.31</v>
      </c>
      <c r="I496" s="15">
        <v>59.25</v>
      </c>
      <c r="J496" s="15">
        <v>688.9</v>
      </c>
      <c r="K496" s="18">
        <v>30300</v>
      </c>
      <c r="L496" s="15">
        <v>29.1</v>
      </c>
      <c r="M496" s="15">
        <v>-23.55</v>
      </c>
      <c r="N496" s="15">
        <v>24.06</v>
      </c>
      <c r="O496" s="24">
        <v>86100</v>
      </c>
      <c r="P496" s="17">
        <v>232400</v>
      </c>
      <c r="Q496" s="16">
        <v>202706</v>
      </c>
      <c r="R496" s="19" t="s">
        <v>76</v>
      </c>
      <c r="S496" s="20" t="s">
        <v>39</v>
      </c>
      <c r="T496">
        <v>30966.15</v>
      </c>
    </row>
    <row r="497" spans="1:20" x14ac:dyDescent="0.25">
      <c r="A497" t="str">
        <f>(COUNTIF($K$2:K497,K497))&amp;K497</f>
        <v>3030400</v>
      </c>
      <c r="B497" s="34" t="s">
        <v>91</v>
      </c>
      <c r="C497" s="13" t="s">
        <v>40</v>
      </c>
      <c r="D497" s="14" t="s">
        <v>76</v>
      </c>
      <c r="E497" s="16">
        <v>907</v>
      </c>
      <c r="F497" s="17">
        <v>2280</v>
      </c>
      <c r="G497" s="24">
        <v>880</v>
      </c>
      <c r="H497" s="15">
        <v>24.88</v>
      </c>
      <c r="I497" s="15">
        <v>60.65</v>
      </c>
      <c r="J497" s="15">
        <v>614</v>
      </c>
      <c r="K497" s="18">
        <v>30400</v>
      </c>
      <c r="L497" s="15">
        <v>40.15</v>
      </c>
      <c r="M497" s="15">
        <v>-29.6</v>
      </c>
      <c r="N497" s="15">
        <v>23.57</v>
      </c>
      <c r="O497" s="24">
        <v>154760</v>
      </c>
      <c r="P497" s="17">
        <v>286080</v>
      </c>
      <c r="Q497" s="16">
        <v>299789</v>
      </c>
      <c r="R497" s="19" t="s">
        <v>76</v>
      </c>
      <c r="S497" s="20" t="s">
        <v>39</v>
      </c>
      <c r="T497">
        <v>30966.15</v>
      </c>
    </row>
    <row r="498" spans="1:20" x14ac:dyDescent="0.25">
      <c r="A498" t="str">
        <f>(COUNTIF($K$2:K498,K498))&amp;K498</f>
        <v>3030500</v>
      </c>
      <c r="B498" s="34" t="s">
        <v>91</v>
      </c>
      <c r="C498" s="13" t="s">
        <v>40</v>
      </c>
      <c r="D498" s="14" t="s">
        <v>76</v>
      </c>
      <c r="E498" s="16">
        <v>13343</v>
      </c>
      <c r="F498" s="17">
        <v>57600</v>
      </c>
      <c r="G498" s="24">
        <v>9580</v>
      </c>
      <c r="H498" s="15">
        <v>22.2</v>
      </c>
      <c r="I498" s="15">
        <v>43.55</v>
      </c>
      <c r="J498" s="15">
        <v>517.1</v>
      </c>
      <c r="K498" s="18">
        <v>30500</v>
      </c>
      <c r="L498" s="15">
        <v>54.95</v>
      </c>
      <c r="M498" s="15">
        <v>-37.299999999999997</v>
      </c>
      <c r="N498" s="15">
        <v>23.26</v>
      </c>
      <c r="O498" s="24">
        <v>331060</v>
      </c>
      <c r="P498" s="17">
        <v>869400</v>
      </c>
      <c r="Q498" s="16">
        <v>648532</v>
      </c>
      <c r="R498" s="19" t="s">
        <v>76</v>
      </c>
      <c r="S498" s="20" t="s">
        <v>39</v>
      </c>
      <c r="T498">
        <v>30966.15</v>
      </c>
    </row>
    <row r="499" spans="1:20" x14ac:dyDescent="0.25">
      <c r="A499" t="str">
        <f>(COUNTIF($K$2:K499,K499))&amp;K499</f>
        <v>3030600</v>
      </c>
      <c r="B499" s="34" t="s">
        <v>91</v>
      </c>
      <c r="C499" s="13" t="s">
        <v>40</v>
      </c>
      <c r="D499" s="14" t="s">
        <v>76</v>
      </c>
      <c r="E499" s="16">
        <v>10755</v>
      </c>
      <c r="F499" s="17">
        <v>20080</v>
      </c>
      <c r="G499" s="24">
        <v>3700</v>
      </c>
      <c r="H499" s="15">
        <v>22.95</v>
      </c>
      <c r="I499" s="15">
        <v>37.35</v>
      </c>
      <c r="J499" s="15">
        <v>440.9</v>
      </c>
      <c r="K499" s="18">
        <v>30600</v>
      </c>
      <c r="L499" s="15">
        <v>74.599999999999994</v>
      </c>
      <c r="M499" s="15">
        <v>-43.65</v>
      </c>
      <c r="N499" s="15">
        <v>22.94</v>
      </c>
      <c r="O499" s="24">
        <v>251480</v>
      </c>
      <c r="P499" s="17">
        <v>425300</v>
      </c>
      <c r="Q499" s="16">
        <v>372692</v>
      </c>
      <c r="R499" s="19" t="s">
        <v>76</v>
      </c>
      <c r="S499" s="20" t="s">
        <v>39</v>
      </c>
      <c r="T499">
        <v>30966.15</v>
      </c>
    </row>
    <row r="500" spans="1:20" x14ac:dyDescent="0.25">
      <c r="A500" t="str">
        <f>(COUNTIF($K$2:K500,K500))&amp;K500</f>
        <v>3030700</v>
      </c>
      <c r="B500" s="34" t="s">
        <v>91</v>
      </c>
      <c r="C500" s="13" t="s">
        <v>40</v>
      </c>
      <c r="D500" s="14" t="s">
        <v>76</v>
      </c>
      <c r="E500" s="16">
        <v>48095</v>
      </c>
      <c r="F500" s="17">
        <v>55900</v>
      </c>
      <c r="G500" s="24">
        <v>27700</v>
      </c>
      <c r="H500" s="15">
        <v>21.85</v>
      </c>
      <c r="I500" s="15">
        <v>28.25</v>
      </c>
      <c r="J500" s="15">
        <v>360.7</v>
      </c>
      <c r="K500" s="18">
        <v>30700</v>
      </c>
      <c r="L500" s="15">
        <v>99.85</v>
      </c>
      <c r="M500" s="15">
        <v>-52.35</v>
      </c>
      <c r="N500" s="15">
        <v>22.57</v>
      </c>
      <c r="O500" s="24">
        <v>304060</v>
      </c>
      <c r="P500" s="17">
        <v>476540</v>
      </c>
      <c r="Q500" s="16">
        <v>442093</v>
      </c>
      <c r="R500" s="19" t="s">
        <v>76</v>
      </c>
      <c r="S500" s="20" t="s">
        <v>39</v>
      </c>
      <c r="T500">
        <v>30966.15</v>
      </c>
    </row>
    <row r="501" spans="1:20" x14ac:dyDescent="0.25">
      <c r="A501" t="str">
        <f>(COUNTIF($K$2:K501,K501))&amp;K501</f>
        <v>3030800</v>
      </c>
      <c r="B501" s="34" t="s">
        <v>91</v>
      </c>
      <c r="C501" s="13" t="s">
        <v>40</v>
      </c>
      <c r="D501" s="14" t="s">
        <v>76</v>
      </c>
      <c r="E501" s="16">
        <v>155542</v>
      </c>
      <c r="F501" s="17">
        <v>208200</v>
      </c>
      <c r="G501" s="24">
        <v>65580</v>
      </c>
      <c r="H501" s="15">
        <v>21.82</v>
      </c>
      <c r="I501" s="15">
        <v>18.649999999999999</v>
      </c>
      <c r="J501" s="15">
        <v>292.3</v>
      </c>
      <c r="K501" s="18">
        <v>30800</v>
      </c>
      <c r="L501" s="15">
        <v>131.80000000000001</v>
      </c>
      <c r="M501" s="15">
        <v>-59.35</v>
      </c>
      <c r="N501" s="15">
        <v>22.28</v>
      </c>
      <c r="O501" s="24">
        <v>316700</v>
      </c>
      <c r="P501" s="17">
        <v>574340</v>
      </c>
      <c r="Q501" s="16">
        <v>453928</v>
      </c>
      <c r="R501" s="19" t="s">
        <v>76</v>
      </c>
      <c r="S501" s="20" t="s">
        <v>39</v>
      </c>
      <c r="T501">
        <v>30966.15</v>
      </c>
    </row>
    <row r="502" spans="1:20" x14ac:dyDescent="0.25">
      <c r="A502" t="str">
        <f>(COUNTIF($K$2:K502,K502))&amp;K502</f>
        <v>3030900</v>
      </c>
      <c r="B502" s="34" t="s">
        <v>91</v>
      </c>
      <c r="C502" s="13" t="s">
        <v>40</v>
      </c>
      <c r="D502" s="14" t="s">
        <v>76</v>
      </c>
      <c r="E502" s="16">
        <v>277020</v>
      </c>
      <c r="F502" s="17">
        <v>393380</v>
      </c>
      <c r="G502" s="24">
        <v>173180</v>
      </c>
      <c r="H502" s="15">
        <v>21.48</v>
      </c>
      <c r="I502" s="15">
        <v>12.15</v>
      </c>
      <c r="J502" s="15">
        <v>233</v>
      </c>
      <c r="K502" s="18">
        <v>30900</v>
      </c>
      <c r="L502" s="15">
        <v>171.2</v>
      </c>
      <c r="M502" s="15">
        <v>-65.3</v>
      </c>
      <c r="N502" s="15">
        <v>22.03</v>
      </c>
      <c r="O502" s="24">
        <v>313760</v>
      </c>
      <c r="P502" s="17">
        <v>522480</v>
      </c>
      <c r="Q502" s="16">
        <v>387005</v>
      </c>
      <c r="R502" s="19" t="s">
        <v>76</v>
      </c>
      <c r="S502" s="20" t="s">
        <v>39</v>
      </c>
      <c r="T502">
        <v>30966.15</v>
      </c>
    </row>
    <row r="503" spans="1:20" ht="15.75" x14ac:dyDescent="0.25">
      <c r="A503" t="str">
        <f>(COUNTIF($K$2:K503,K503))&amp;K503</f>
        <v>3031000</v>
      </c>
      <c r="B503" s="34" t="s">
        <v>91</v>
      </c>
      <c r="C503" s="13" t="s">
        <v>40</v>
      </c>
      <c r="D503" s="14" t="s">
        <v>76</v>
      </c>
      <c r="E503" s="16">
        <v>614557</v>
      </c>
      <c r="F503" s="17">
        <v>1075040</v>
      </c>
      <c r="G503" s="24">
        <v>296780</v>
      </c>
      <c r="H503" s="15">
        <v>21.62</v>
      </c>
      <c r="I503" s="15">
        <v>5.4</v>
      </c>
      <c r="J503" s="15">
        <v>183.2</v>
      </c>
      <c r="K503" s="21">
        <v>31000</v>
      </c>
      <c r="L503" s="15">
        <v>218.2</v>
      </c>
      <c r="M503" s="15">
        <v>-73.75</v>
      </c>
      <c r="N503" s="15">
        <v>21.96</v>
      </c>
      <c r="O503" s="24">
        <v>331920</v>
      </c>
      <c r="P503" s="17">
        <v>783140</v>
      </c>
      <c r="Q503" s="16">
        <v>380615</v>
      </c>
      <c r="R503" s="19" t="s">
        <v>76</v>
      </c>
      <c r="S503" s="20" t="s">
        <v>39</v>
      </c>
      <c r="T503">
        <v>30966.15</v>
      </c>
    </row>
    <row r="504" spans="1:20" x14ac:dyDescent="0.25">
      <c r="A504" t="str">
        <f>(COUNTIF($K$2:K504,K504))&amp;K504</f>
        <v>3031100</v>
      </c>
      <c r="B504" s="34" t="s">
        <v>91</v>
      </c>
      <c r="C504" s="13" t="s">
        <v>39</v>
      </c>
      <c r="D504" s="14" t="s">
        <v>76</v>
      </c>
      <c r="E504" s="16">
        <v>381974</v>
      </c>
      <c r="F504" s="17">
        <v>504360</v>
      </c>
      <c r="G504" s="24">
        <v>134440</v>
      </c>
      <c r="H504" s="15">
        <v>21.63</v>
      </c>
      <c r="I504" s="15">
        <v>-0.3</v>
      </c>
      <c r="J504" s="15">
        <v>139.94999999999999</v>
      </c>
      <c r="K504" s="18">
        <v>31100</v>
      </c>
      <c r="L504" s="15">
        <v>275.75</v>
      </c>
      <c r="M504" s="15">
        <v>-77.7</v>
      </c>
      <c r="N504" s="15">
        <v>22.1</v>
      </c>
      <c r="O504" s="24">
        <v>50900</v>
      </c>
      <c r="P504" s="17">
        <v>155160</v>
      </c>
      <c r="Q504" s="16">
        <v>86630</v>
      </c>
      <c r="R504" s="19" t="s">
        <v>76</v>
      </c>
      <c r="S504" s="20" t="s">
        <v>39</v>
      </c>
      <c r="T504">
        <v>30966.15</v>
      </c>
    </row>
    <row r="505" spans="1:20" x14ac:dyDescent="0.25">
      <c r="A505" t="str">
        <f>(COUNTIF($K$2:K505,K505))&amp;K505</f>
        <v>3031200</v>
      </c>
      <c r="B505" s="34" t="s">
        <v>91</v>
      </c>
      <c r="C505" s="13" t="s">
        <v>39</v>
      </c>
      <c r="D505" s="14" t="s">
        <v>76</v>
      </c>
      <c r="E505" s="16">
        <v>583803</v>
      </c>
      <c r="F505" s="17">
        <v>712080</v>
      </c>
      <c r="G505" s="24">
        <v>152680</v>
      </c>
      <c r="H505" s="15">
        <v>21.75</v>
      </c>
      <c r="I505" s="15">
        <v>-4.0999999999999996</v>
      </c>
      <c r="J505" s="15">
        <v>106.75</v>
      </c>
      <c r="K505" s="18">
        <v>31200</v>
      </c>
      <c r="L505" s="15">
        <v>342.25</v>
      </c>
      <c r="M505" s="15">
        <v>-83</v>
      </c>
      <c r="N505" s="15">
        <v>22.2</v>
      </c>
      <c r="O505" s="24">
        <v>15420</v>
      </c>
      <c r="P505" s="17">
        <v>120520</v>
      </c>
      <c r="Q505" s="16">
        <v>49269</v>
      </c>
      <c r="R505" s="19" t="s">
        <v>76</v>
      </c>
      <c r="S505" s="20" t="s">
        <v>39</v>
      </c>
      <c r="T505">
        <v>30966.15</v>
      </c>
    </row>
    <row r="506" spans="1:20" x14ac:dyDescent="0.25">
      <c r="A506" t="str">
        <f>(COUNTIF($K$2:K506,K506))&amp;K506</f>
        <v>3031300</v>
      </c>
      <c r="B506" s="34" t="s">
        <v>91</v>
      </c>
      <c r="C506" s="13" t="s">
        <v>39</v>
      </c>
      <c r="D506" s="14" t="s">
        <v>76</v>
      </c>
      <c r="E506" s="16">
        <v>414330</v>
      </c>
      <c r="F506" s="17">
        <v>633900</v>
      </c>
      <c r="G506" s="24">
        <v>186220</v>
      </c>
      <c r="H506" s="15">
        <v>21.86</v>
      </c>
      <c r="I506" s="15">
        <v>-6.8</v>
      </c>
      <c r="J506" s="15">
        <v>78.75</v>
      </c>
      <c r="K506" s="18">
        <v>31300</v>
      </c>
      <c r="L506" s="15">
        <v>414.3</v>
      </c>
      <c r="M506" s="15">
        <v>-94.4</v>
      </c>
      <c r="N506" s="15">
        <v>21.78</v>
      </c>
      <c r="O506" s="24">
        <v>-5440</v>
      </c>
      <c r="P506" s="17">
        <v>97740</v>
      </c>
      <c r="Q506" s="16">
        <v>13108</v>
      </c>
      <c r="R506" s="19" t="s">
        <v>77</v>
      </c>
      <c r="S506" s="20" t="s">
        <v>37</v>
      </c>
      <c r="T506">
        <v>30966.15</v>
      </c>
    </row>
    <row r="507" spans="1:20" x14ac:dyDescent="0.25">
      <c r="A507" t="str">
        <f>(COUNTIF($K$2:K507,K507))&amp;K507</f>
        <v>3031400</v>
      </c>
      <c r="B507" s="34" t="s">
        <v>91</v>
      </c>
      <c r="C507" s="13" t="s">
        <v>39</v>
      </c>
      <c r="D507" s="14" t="s">
        <v>76</v>
      </c>
      <c r="E507" s="16">
        <v>366184</v>
      </c>
      <c r="F507" s="17">
        <v>540720</v>
      </c>
      <c r="G507" s="24">
        <v>147560</v>
      </c>
      <c r="H507" s="15">
        <v>21.98</v>
      </c>
      <c r="I507" s="15">
        <v>-9.6999999999999993</v>
      </c>
      <c r="J507" s="15">
        <v>56.15</v>
      </c>
      <c r="K507" s="18">
        <v>31400</v>
      </c>
      <c r="L507" s="15">
        <v>494.6</v>
      </c>
      <c r="M507" s="15">
        <v>-87.35</v>
      </c>
      <c r="N507" s="15">
        <v>21.85</v>
      </c>
      <c r="O507" s="24">
        <v>4260</v>
      </c>
      <c r="P507" s="17">
        <v>54740</v>
      </c>
      <c r="Q507" s="16">
        <v>4243</v>
      </c>
      <c r="R507" s="19" t="s">
        <v>76</v>
      </c>
      <c r="S507" s="20" t="s">
        <v>39</v>
      </c>
      <c r="T507">
        <v>30966.15</v>
      </c>
    </row>
    <row r="508" spans="1:20" x14ac:dyDescent="0.25">
      <c r="A508" t="str">
        <f>(COUNTIF($K$2:K508,K508))&amp;K508</f>
        <v>3031500</v>
      </c>
      <c r="B508" s="34" t="s">
        <v>91</v>
      </c>
      <c r="C508" s="13" t="s">
        <v>39</v>
      </c>
      <c r="D508" s="14" t="s">
        <v>76</v>
      </c>
      <c r="E508" s="16">
        <v>540537</v>
      </c>
      <c r="F508" s="17">
        <v>1441560</v>
      </c>
      <c r="G508" s="24">
        <v>247200</v>
      </c>
      <c r="H508" s="15">
        <v>22.3</v>
      </c>
      <c r="I508" s="15">
        <v>-8.9499999999999993</v>
      </c>
      <c r="J508" s="15">
        <v>41</v>
      </c>
      <c r="K508" s="18">
        <v>31500</v>
      </c>
      <c r="L508" s="15">
        <v>580</v>
      </c>
      <c r="M508" s="15">
        <v>-87.3</v>
      </c>
      <c r="N508" s="15">
        <v>22.39</v>
      </c>
      <c r="O508" s="24">
        <v>3560</v>
      </c>
      <c r="P508" s="17">
        <v>471660</v>
      </c>
      <c r="Q508" s="16">
        <v>6865</v>
      </c>
      <c r="R508" s="19" t="s">
        <v>76</v>
      </c>
      <c r="S508" s="20" t="s">
        <v>39</v>
      </c>
      <c r="T508">
        <v>30966.15</v>
      </c>
    </row>
    <row r="509" spans="1:20" x14ac:dyDescent="0.25">
      <c r="A509" t="str">
        <f>(COUNTIF($K$2:K509,K509))&amp;K509</f>
        <v>3031600</v>
      </c>
      <c r="B509" s="34" t="s">
        <v>91</v>
      </c>
      <c r="C509" s="13" t="s">
        <v>39</v>
      </c>
      <c r="D509" s="14" t="s">
        <v>76</v>
      </c>
      <c r="E509" s="16">
        <v>213786</v>
      </c>
      <c r="F509" s="17">
        <v>359540</v>
      </c>
      <c r="G509" s="24">
        <v>75320</v>
      </c>
      <c r="H509" s="15">
        <v>22.39</v>
      </c>
      <c r="I509" s="15">
        <v>-9.15</v>
      </c>
      <c r="J509" s="15">
        <v>28.6</v>
      </c>
      <c r="K509" s="18">
        <v>31600</v>
      </c>
      <c r="L509" s="15">
        <v>665</v>
      </c>
      <c r="M509" s="15">
        <v>-95.85</v>
      </c>
      <c r="N509" s="15">
        <v>24.54</v>
      </c>
      <c r="O509" s="24" t="s">
        <v>14</v>
      </c>
      <c r="P509" s="17">
        <v>17660</v>
      </c>
      <c r="Q509" s="16">
        <v>304</v>
      </c>
      <c r="R509" s="19" t="s">
        <v>76</v>
      </c>
      <c r="S509" s="20" t="s">
        <v>39</v>
      </c>
      <c r="T509">
        <v>30966.15</v>
      </c>
    </row>
    <row r="510" spans="1:20" x14ac:dyDescent="0.25">
      <c r="A510" t="str">
        <f>(COUNTIF($K$2:K510,K510))&amp;K510</f>
        <v>3031700</v>
      </c>
      <c r="B510" s="34" t="s">
        <v>91</v>
      </c>
      <c r="C510" s="13" t="s">
        <v>39</v>
      </c>
      <c r="D510" s="14" t="s">
        <v>76</v>
      </c>
      <c r="E510" s="16">
        <v>141155</v>
      </c>
      <c r="F510" s="17">
        <v>384840</v>
      </c>
      <c r="G510" s="24">
        <v>26880</v>
      </c>
      <c r="H510" s="15">
        <v>22.67</v>
      </c>
      <c r="I510" s="15">
        <v>-8.15</v>
      </c>
      <c r="J510" s="15">
        <v>20</v>
      </c>
      <c r="K510" s="18">
        <v>31700</v>
      </c>
      <c r="L510" s="15">
        <v>748.05</v>
      </c>
      <c r="M510" s="15">
        <v>-95.65</v>
      </c>
      <c r="N510" s="15">
        <v>26.79</v>
      </c>
      <c r="O510" s="24">
        <v>-1240</v>
      </c>
      <c r="P510" s="17">
        <v>10100</v>
      </c>
      <c r="Q510" s="16">
        <v>319</v>
      </c>
      <c r="R510" s="19" t="s">
        <v>77</v>
      </c>
      <c r="S510" s="20" t="s">
        <v>37</v>
      </c>
      <c r="T510">
        <v>30966.15</v>
      </c>
    </row>
    <row r="511" spans="1:20" x14ac:dyDescent="0.25">
      <c r="A511" t="str">
        <f>(COUNTIF($K$2:K511,K511))&amp;K511</f>
        <v>30PCR</v>
      </c>
      <c r="B511" s="34" t="s">
        <v>91</v>
      </c>
      <c r="C511" s="41">
        <v>0.83480357360634672</v>
      </c>
      <c r="E511" s="33"/>
      <c r="F511" s="39">
        <v>6395780</v>
      </c>
      <c r="G511" s="40"/>
      <c r="H511" s="38"/>
      <c r="I511" s="38"/>
      <c r="J511" s="38"/>
      <c r="K511" s="56" t="s">
        <v>57</v>
      </c>
      <c r="L511" s="38"/>
      <c r="M511" s="38"/>
      <c r="N511" s="38"/>
      <c r="P511" s="40">
        <v>5339220</v>
      </c>
      <c r="Q511" s="33"/>
      <c r="R511" s="38"/>
      <c r="S511" s="38"/>
    </row>
    <row r="512" spans="1:20" x14ac:dyDescent="0.25">
      <c r="A512" t="str">
        <f>(COUNTIF($K$2:K512,K512))&amp;K512</f>
        <v>3130200</v>
      </c>
      <c r="B512" s="34" t="s">
        <v>91</v>
      </c>
      <c r="C512" s="13" t="s">
        <v>74</v>
      </c>
      <c r="D512" s="14" t="s">
        <v>76</v>
      </c>
      <c r="E512" s="16">
        <v>168</v>
      </c>
      <c r="F512" s="17">
        <v>1440</v>
      </c>
      <c r="G512" s="24">
        <v>1020</v>
      </c>
      <c r="H512" s="15">
        <v>27.63</v>
      </c>
      <c r="I512" s="15">
        <v>100.2</v>
      </c>
      <c r="J512" s="15">
        <v>821.15</v>
      </c>
      <c r="K512" s="18">
        <v>30200</v>
      </c>
      <c r="L512" s="15">
        <v>20.7</v>
      </c>
      <c r="M512" s="15">
        <v>-19.45</v>
      </c>
      <c r="N512" s="15">
        <v>24.46</v>
      </c>
      <c r="O512" s="24">
        <v>27900</v>
      </c>
      <c r="P512" s="17">
        <v>241960</v>
      </c>
      <c r="Q512" s="16">
        <v>158498</v>
      </c>
      <c r="R512" s="19" t="s">
        <v>76</v>
      </c>
      <c r="S512" s="20" t="s">
        <v>39</v>
      </c>
      <c r="T512">
        <v>30966.15</v>
      </c>
    </row>
    <row r="513" spans="1:20" x14ac:dyDescent="0.25">
      <c r="A513" t="str">
        <f>(COUNTIF($K$2:K513,K513))&amp;K513</f>
        <v>3130300</v>
      </c>
      <c r="B513" s="34" t="s">
        <v>91</v>
      </c>
      <c r="C513" s="13" t="s">
        <v>40</v>
      </c>
      <c r="D513" s="14" t="s">
        <v>76</v>
      </c>
      <c r="E513" s="16">
        <v>599</v>
      </c>
      <c r="F513" s="17">
        <v>4860</v>
      </c>
      <c r="G513" s="24">
        <v>2700</v>
      </c>
      <c r="H513" s="15">
        <v>21.31</v>
      </c>
      <c r="I513" s="15">
        <v>59.25</v>
      </c>
      <c r="J513" s="15">
        <v>688.9</v>
      </c>
      <c r="K513" s="18">
        <v>30300</v>
      </c>
      <c r="L513" s="15">
        <v>29.1</v>
      </c>
      <c r="M513" s="15">
        <v>-23.55</v>
      </c>
      <c r="N513" s="15">
        <v>24.06</v>
      </c>
      <c r="O513" s="24">
        <v>86100</v>
      </c>
      <c r="P513" s="17">
        <v>232400</v>
      </c>
      <c r="Q513" s="16">
        <v>202706</v>
      </c>
      <c r="R513" s="19" t="s">
        <v>76</v>
      </c>
      <c r="S513" s="20" t="s">
        <v>39</v>
      </c>
      <c r="T513">
        <v>30966.15</v>
      </c>
    </row>
    <row r="514" spans="1:20" x14ac:dyDescent="0.25">
      <c r="A514" t="str">
        <f>(COUNTIF($K$2:K514,K514))&amp;K514</f>
        <v>3130400</v>
      </c>
      <c r="B514" s="34" t="s">
        <v>91</v>
      </c>
      <c r="C514" s="13" t="s">
        <v>40</v>
      </c>
      <c r="D514" s="14" t="s">
        <v>76</v>
      </c>
      <c r="E514" s="16">
        <v>907</v>
      </c>
      <c r="F514" s="17">
        <v>2280</v>
      </c>
      <c r="G514" s="24">
        <v>880</v>
      </c>
      <c r="H514" s="15">
        <v>24.88</v>
      </c>
      <c r="I514" s="15">
        <v>60.65</v>
      </c>
      <c r="J514" s="15">
        <v>614</v>
      </c>
      <c r="K514" s="18">
        <v>30400</v>
      </c>
      <c r="L514" s="15">
        <v>40.15</v>
      </c>
      <c r="M514" s="15">
        <v>-29.6</v>
      </c>
      <c r="N514" s="15">
        <v>23.57</v>
      </c>
      <c r="O514" s="24">
        <v>154760</v>
      </c>
      <c r="P514" s="17">
        <v>286080</v>
      </c>
      <c r="Q514" s="16">
        <v>299789</v>
      </c>
      <c r="R514" s="19" t="s">
        <v>76</v>
      </c>
      <c r="S514" s="20" t="s">
        <v>39</v>
      </c>
      <c r="T514">
        <v>30966.15</v>
      </c>
    </row>
    <row r="515" spans="1:20" x14ac:dyDescent="0.25">
      <c r="A515" t="str">
        <f>(COUNTIF($K$2:K515,K515))&amp;K515</f>
        <v>3130500</v>
      </c>
      <c r="B515" s="34" t="s">
        <v>91</v>
      </c>
      <c r="C515" s="13" t="s">
        <v>40</v>
      </c>
      <c r="D515" s="14" t="s">
        <v>76</v>
      </c>
      <c r="E515" s="16">
        <v>13343</v>
      </c>
      <c r="F515" s="17">
        <v>57600</v>
      </c>
      <c r="G515" s="24">
        <v>9580</v>
      </c>
      <c r="H515" s="15">
        <v>22.2</v>
      </c>
      <c r="I515" s="15">
        <v>43.55</v>
      </c>
      <c r="J515" s="15">
        <v>517.1</v>
      </c>
      <c r="K515" s="18">
        <v>30500</v>
      </c>
      <c r="L515" s="15">
        <v>54.95</v>
      </c>
      <c r="M515" s="15">
        <v>-37.299999999999997</v>
      </c>
      <c r="N515" s="15">
        <v>23.26</v>
      </c>
      <c r="O515" s="24">
        <v>331060</v>
      </c>
      <c r="P515" s="17">
        <v>869400</v>
      </c>
      <c r="Q515" s="16">
        <v>648532</v>
      </c>
      <c r="R515" s="19" t="s">
        <v>76</v>
      </c>
      <c r="S515" s="20" t="s">
        <v>39</v>
      </c>
      <c r="T515">
        <v>30966.15</v>
      </c>
    </row>
    <row r="516" spans="1:20" x14ac:dyDescent="0.25">
      <c r="A516" t="str">
        <f>(COUNTIF($K$2:K516,K516))&amp;K516</f>
        <v>3130600</v>
      </c>
      <c r="B516" s="34" t="s">
        <v>91</v>
      </c>
      <c r="C516" s="13" t="s">
        <v>40</v>
      </c>
      <c r="D516" s="14" t="s">
        <v>76</v>
      </c>
      <c r="E516" s="16">
        <v>10755</v>
      </c>
      <c r="F516" s="17">
        <v>20080</v>
      </c>
      <c r="G516" s="24">
        <v>3700</v>
      </c>
      <c r="H516" s="15">
        <v>22.95</v>
      </c>
      <c r="I516" s="15">
        <v>37.35</v>
      </c>
      <c r="J516" s="15">
        <v>440.9</v>
      </c>
      <c r="K516" s="18">
        <v>30600</v>
      </c>
      <c r="L516" s="15">
        <v>74.599999999999994</v>
      </c>
      <c r="M516" s="15">
        <v>-43.65</v>
      </c>
      <c r="N516" s="15">
        <v>22.94</v>
      </c>
      <c r="O516" s="24">
        <v>251480</v>
      </c>
      <c r="P516" s="17">
        <v>425300</v>
      </c>
      <c r="Q516" s="16">
        <v>372692</v>
      </c>
      <c r="R516" s="19" t="s">
        <v>76</v>
      </c>
      <c r="S516" s="20" t="s">
        <v>39</v>
      </c>
      <c r="T516">
        <v>30966.15</v>
      </c>
    </row>
    <row r="517" spans="1:20" x14ac:dyDescent="0.25">
      <c r="A517" t="str">
        <f>(COUNTIF($K$2:K517,K517))&amp;K517</f>
        <v>3130700</v>
      </c>
      <c r="B517" s="34" t="s">
        <v>91</v>
      </c>
      <c r="C517" s="13" t="s">
        <v>40</v>
      </c>
      <c r="D517" s="14" t="s">
        <v>76</v>
      </c>
      <c r="E517" s="16">
        <v>48095</v>
      </c>
      <c r="F517" s="17">
        <v>55900</v>
      </c>
      <c r="G517" s="24">
        <v>27700</v>
      </c>
      <c r="H517" s="15">
        <v>21.85</v>
      </c>
      <c r="I517" s="15">
        <v>28.25</v>
      </c>
      <c r="J517" s="15">
        <v>360.7</v>
      </c>
      <c r="K517" s="18">
        <v>30700</v>
      </c>
      <c r="L517" s="15">
        <v>99.85</v>
      </c>
      <c r="M517" s="15">
        <v>-52.35</v>
      </c>
      <c r="N517" s="15">
        <v>22.57</v>
      </c>
      <c r="O517" s="24">
        <v>304060</v>
      </c>
      <c r="P517" s="17">
        <v>476540</v>
      </c>
      <c r="Q517" s="16">
        <v>442093</v>
      </c>
      <c r="R517" s="19" t="s">
        <v>76</v>
      </c>
      <c r="S517" s="20" t="s">
        <v>39</v>
      </c>
      <c r="T517">
        <v>30966.15</v>
      </c>
    </row>
    <row r="518" spans="1:20" x14ac:dyDescent="0.25">
      <c r="A518" t="str">
        <f>(COUNTIF($K$2:K518,K518))&amp;K518</f>
        <v>3130800</v>
      </c>
      <c r="B518" s="34" t="s">
        <v>91</v>
      </c>
      <c r="C518" s="13" t="s">
        <v>40</v>
      </c>
      <c r="D518" s="14" t="s">
        <v>76</v>
      </c>
      <c r="E518" s="16">
        <v>155542</v>
      </c>
      <c r="F518" s="17">
        <v>208200</v>
      </c>
      <c r="G518" s="24">
        <v>65580</v>
      </c>
      <c r="H518" s="15">
        <v>21.82</v>
      </c>
      <c r="I518" s="15">
        <v>18.649999999999999</v>
      </c>
      <c r="J518" s="15">
        <v>292.3</v>
      </c>
      <c r="K518" s="18">
        <v>30800</v>
      </c>
      <c r="L518" s="15">
        <v>131.80000000000001</v>
      </c>
      <c r="M518" s="15">
        <v>-59.35</v>
      </c>
      <c r="N518" s="15">
        <v>22.28</v>
      </c>
      <c r="O518" s="24">
        <v>316700</v>
      </c>
      <c r="P518" s="17">
        <v>574340</v>
      </c>
      <c r="Q518" s="16">
        <v>453928</v>
      </c>
      <c r="R518" s="19" t="s">
        <v>76</v>
      </c>
      <c r="S518" s="20" t="s">
        <v>39</v>
      </c>
      <c r="T518">
        <v>30966.15</v>
      </c>
    </row>
    <row r="519" spans="1:20" x14ac:dyDescent="0.25">
      <c r="A519" t="str">
        <f>(COUNTIF($K$2:K519,K519))&amp;K519</f>
        <v>3130900</v>
      </c>
      <c r="B519" s="34" t="s">
        <v>91</v>
      </c>
      <c r="C519" s="13" t="s">
        <v>40</v>
      </c>
      <c r="D519" s="14" t="s">
        <v>76</v>
      </c>
      <c r="E519" s="16">
        <v>277020</v>
      </c>
      <c r="F519" s="17">
        <v>393380</v>
      </c>
      <c r="G519" s="24">
        <v>173180</v>
      </c>
      <c r="H519" s="15">
        <v>21.48</v>
      </c>
      <c r="I519" s="15">
        <v>12.15</v>
      </c>
      <c r="J519" s="15">
        <v>233</v>
      </c>
      <c r="K519" s="18">
        <v>30900</v>
      </c>
      <c r="L519" s="15">
        <v>171.2</v>
      </c>
      <c r="M519" s="15">
        <v>-65.3</v>
      </c>
      <c r="N519" s="15">
        <v>22.03</v>
      </c>
      <c r="O519" s="24">
        <v>313760</v>
      </c>
      <c r="P519" s="17">
        <v>522480</v>
      </c>
      <c r="Q519" s="16">
        <v>387005</v>
      </c>
      <c r="R519" s="19" t="s">
        <v>76</v>
      </c>
      <c r="S519" s="20" t="s">
        <v>39</v>
      </c>
      <c r="T519">
        <v>30966.15</v>
      </c>
    </row>
    <row r="520" spans="1:20" ht="15.75" x14ac:dyDescent="0.25">
      <c r="A520" t="str">
        <f>(COUNTIF($K$2:K520,K520))&amp;K520</f>
        <v>3131000</v>
      </c>
      <c r="B520" s="34" t="s">
        <v>91</v>
      </c>
      <c r="C520" s="13" t="s">
        <v>40</v>
      </c>
      <c r="D520" s="14" t="s">
        <v>76</v>
      </c>
      <c r="E520" s="16">
        <v>614557</v>
      </c>
      <c r="F520" s="17">
        <v>1075040</v>
      </c>
      <c r="G520" s="24">
        <v>296780</v>
      </c>
      <c r="H520" s="15">
        <v>21.62</v>
      </c>
      <c r="I520" s="15">
        <v>5.4</v>
      </c>
      <c r="J520" s="15">
        <v>183.2</v>
      </c>
      <c r="K520" s="21">
        <v>31000</v>
      </c>
      <c r="L520" s="15">
        <v>218.2</v>
      </c>
      <c r="M520" s="15">
        <v>-73.75</v>
      </c>
      <c r="N520" s="15">
        <v>21.96</v>
      </c>
      <c r="O520" s="24">
        <v>331920</v>
      </c>
      <c r="P520" s="17">
        <v>783140</v>
      </c>
      <c r="Q520" s="16">
        <v>380615</v>
      </c>
      <c r="R520" s="19" t="s">
        <v>76</v>
      </c>
      <c r="S520" s="20" t="s">
        <v>39</v>
      </c>
      <c r="T520">
        <v>30966.15</v>
      </c>
    </row>
    <row r="521" spans="1:20" x14ac:dyDescent="0.25">
      <c r="A521" t="str">
        <f>(COUNTIF($K$2:K521,K521))&amp;K521</f>
        <v>3131100</v>
      </c>
      <c r="B521" s="34" t="s">
        <v>91</v>
      </c>
      <c r="C521" s="13" t="s">
        <v>39</v>
      </c>
      <c r="D521" s="14" t="s">
        <v>76</v>
      </c>
      <c r="E521" s="16">
        <v>381974</v>
      </c>
      <c r="F521" s="17">
        <v>504360</v>
      </c>
      <c r="G521" s="24">
        <v>134440</v>
      </c>
      <c r="H521" s="15">
        <v>21.63</v>
      </c>
      <c r="I521" s="15">
        <v>-0.3</v>
      </c>
      <c r="J521" s="15">
        <v>139.94999999999999</v>
      </c>
      <c r="K521" s="18">
        <v>31100</v>
      </c>
      <c r="L521" s="15">
        <v>275.75</v>
      </c>
      <c r="M521" s="15">
        <v>-77.7</v>
      </c>
      <c r="N521" s="15">
        <v>22.1</v>
      </c>
      <c r="O521" s="24">
        <v>50900</v>
      </c>
      <c r="P521" s="17">
        <v>155160</v>
      </c>
      <c r="Q521" s="16">
        <v>86630</v>
      </c>
      <c r="R521" s="19" t="s">
        <v>76</v>
      </c>
      <c r="S521" s="20" t="s">
        <v>39</v>
      </c>
      <c r="T521">
        <v>30966.15</v>
      </c>
    </row>
    <row r="522" spans="1:20" x14ac:dyDescent="0.25">
      <c r="A522" t="str">
        <f>(COUNTIF($K$2:K522,K522))&amp;K522</f>
        <v>3131200</v>
      </c>
      <c r="B522" s="34" t="s">
        <v>91</v>
      </c>
      <c r="C522" s="13" t="s">
        <v>39</v>
      </c>
      <c r="D522" s="14" t="s">
        <v>76</v>
      </c>
      <c r="E522" s="16">
        <v>583803</v>
      </c>
      <c r="F522" s="17">
        <v>712080</v>
      </c>
      <c r="G522" s="24">
        <v>152680</v>
      </c>
      <c r="H522" s="15">
        <v>21.75</v>
      </c>
      <c r="I522" s="15">
        <v>-4.0999999999999996</v>
      </c>
      <c r="J522" s="15">
        <v>106.75</v>
      </c>
      <c r="K522" s="18">
        <v>31200</v>
      </c>
      <c r="L522" s="15">
        <v>342.25</v>
      </c>
      <c r="M522" s="15">
        <v>-83</v>
      </c>
      <c r="N522" s="15">
        <v>22.2</v>
      </c>
      <c r="O522" s="24">
        <v>15420</v>
      </c>
      <c r="P522" s="17">
        <v>120520</v>
      </c>
      <c r="Q522" s="16">
        <v>49269</v>
      </c>
      <c r="R522" s="19" t="s">
        <v>76</v>
      </c>
      <c r="S522" s="20" t="s">
        <v>39</v>
      </c>
      <c r="T522">
        <v>30966.15</v>
      </c>
    </row>
    <row r="523" spans="1:20" x14ac:dyDescent="0.25">
      <c r="A523" t="str">
        <f>(COUNTIF($K$2:K523,K523))&amp;K523</f>
        <v>3131300</v>
      </c>
      <c r="B523" s="34" t="s">
        <v>91</v>
      </c>
      <c r="C523" s="13" t="s">
        <v>39</v>
      </c>
      <c r="D523" s="14" t="s">
        <v>76</v>
      </c>
      <c r="E523" s="16">
        <v>414330</v>
      </c>
      <c r="F523" s="17">
        <v>633900</v>
      </c>
      <c r="G523" s="24">
        <v>186220</v>
      </c>
      <c r="H523" s="15">
        <v>21.86</v>
      </c>
      <c r="I523" s="15">
        <v>-6.8</v>
      </c>
      <c r="J523" s="15">
        <v>78.75</v>
      </c>
      <c r="K523" s="18">
        <v>31300</v>
      </c>
      <c r="L523" s="15">
        <v>414.3</v>
      </c>
      <c r="M523" s="15">
        <v>-94.4</v>
      </c>
      <c r="N523" s="15">
        <v>21.78</v>
      </c>
      <c r="O523" s="24">
        <v>-5440</v>
      </c>
      <c r="P523" s="17">
        <v>97740</v>
      </c>
      <c r="Q523" s="16">
        <v>13108</v>
      </c>
      <c r="R523" s="19" t="s">
        <v>77</v>
      </c>
      <c r="S523" s="20" t="s">
        <v>37</v>
      </c>
      <c r="T523">
        <v>30966.15</v>
      </c>
    </row>
    <row r="524" spans="1:20" x14ac:dyDescent="0.25">
      <c r="A524" t="str">
        <f>(COUNTIF($K$2:K524,K524))&amp;K524</f>
        <v>3131400</v>
      </c>
      <c r="B524" s="34" t="s">
        <v>91</v>
      </c>
      <c r="C524" s="13" t="s">
        <v>39</v>
      </c>
      <c r="D524" s="14" t="s">
        <v>76</v>
      </c>
      <c r="E524" s="16">
        <v>366184</v>
      </c>
      <c r="F524" s="17">
        <v>540720</v>
      </c>
      <c r="G524" s="24">
        <v>147560</v>
      </c>
      <c r="H524" s="15">
        <v>21.98</v>
      </c>
      <c r="I524" s="15">
        <v>-9.6999999999999993</v>
      </c>
      <c r="J524" s="15">
        <v>56.15</v>
      </c>
      <c r="K524" s="18">
        <v>31400</v>
      </c>
      <c r="L524" s="15">
        <v>494.6</v>
      </c>
      <c r="M524" s="15">
        <v>-87.35</v>
      </c>
      <c r="N524" s="15">
        <v>21.85</v>
      </c>
      <c r="O524" s="24">
        <v>4260</v>
      </c>
      <c r="P524" s="17">
        <v>54740</v>
      </c>
      <c r="Q524" s="16">
        <v>4243</v>
      </c>
      <c r="R524" s="19" t="s">
        <v>76</v>
      </c>
      <c r="S524" s="20" t="s">
        <v>39</v>
      </c>
      <c r="T524">
        <v>30966.15</v>
      </c>
    </row>
    <row r="525" spans="1:20" x14ac:dyDescent="0.25">
      <c r="A525" t="str">
        <f>(COUNTIF($K$2:K525,K525))&amp;K525</f>
        <v>3131500</v>
      </c>
      <c r="B525" s="34" t="s">
        <v>91</v>
      </c>
      <c r="C525" s="13" t="s">
        <v>39</v>
      </c>
      <c r="D525" s="14" t="s">
        <v>76</v>
      </c>
      <c r="E525" s="16">
        <v>540537</v>
      </c>
      <c r="F525" s="17">
        <v>1441560</v>
      </c>
      <c r="G525" s="24">
        <v>247200</v>
      </c>
      <c r="H525" s="15">
        <v>22.3</v>
      </c>
      <c r="I525" s="15">
        <v>-8.9499999999999993</v>
      </c>
      <c r="J525" s="15">
        <v>41</v>
      </c>
      <c r="K525" s="18">
        <v>31500</v>
      </c>
      <c r="L525" s="15">
        <v>580</v>
      </c>
      <c r="M525" s="15">
        <v>-87.3</v>
      </c>
      <c r="N525" s="15">
        <v>22.39</v>
      </c>
      <c r="O525" s="24">
        <v>3560</v>
      </c>
      <c r="P525" s="17">
        <v>471660</v>
      </c>
      <c r="Q525" s="16">
        <v>6865</v>
      </c>
      <c r="R525" s="19" t="s">
        <v>76</v>
      </c>
      <c r="S525" s="20" t="s">
        <v>39</v>
      </c>
      <c r="T525">
        <v>30966.15</v>
      </c>
    </row>
    <row r="526" spans="1:20" x14ac:dyDescent="0.25">
      <c r="A526" t="str">
        <f>(COUNTIF($K$2:K526,K526))&amp;K526</f>
        <v>3131600</v>
      </c>
      <c r="B526" s="34" t="s">
        <v>91</v>
      </c>
      <c r="C526" s="13" t="s">
        <v>39</v>
      </c>
      <c r="D526" s="14" t="s">
        <v>76</v>
      </c>
      <c r="E526" s="16">
        <v>213786</v>
      </c>
      <c r="F526" s="17">
        <v>359540</v>
      </c>
      <c r="G526" s="24">
        <v>75320</v>
      </c>
      <c r="H526" s="15">
        <v>22.39</v>
      </c>
      <c r="I526" s="15">
        <v>-9.15</v>
      </c>
      <c r="J526" s="15">
        <v>28.6</v>
      </c>
      <c r="K526" s="18">
        <v>31600</v>
      </c>
      <c r="L526" s="15">
        <v>665</v>
      </c>
      <c r="M526" s="15">
        <v>-95.85</v>
      </c>
      <c r="N526" s="15">
        <v>24.54</v>
      </c>
      <c r="O526" s="24" t="s">
        <v>14</v>
      </c>
      <c r="P526" s="17">
        <v>17660</v>
      </c>
      <c r="Q526" s="16">
        <v>304</v>
      </c>
      <c r="R526" s="19" t="s">
        <v>76</v>
      </c>
      <c r="S526" s="20" t="s">
        <v>39</v>
      </c>
      <c r="T526">
        <v>30966.15</v>
      </c>
    </row>
    <row r="527" spans="1:20" x14ac:dyDescent="0.25">
      <c r="A527" t="str">
        <f>(COUNTIF($K$2:K527,K527))&amp;K527</f>
        <v>3131700</v>
      </c>
      <c r="B527" s="34" t="s">
        <v>91</v>
      </c>
      <c r="C527" s="13" t="s">
        <v>39</v>
      </c>
      <c r="D527" s="14" t="s">
        <v>76</v>
      </c>
      <c r="E527" s="16">
        <v>141155</v>
      </c>
      <c r="F527" s="17">
        <v>384840</v>
      </c>
      <c r="G527" s="24">
        <v>26880</v>
      </c>
      <c r="H527" s="15">
        <v>22.67</v>
      </c>
      <c r="I527" s="15">
        <v>-8.15</v>
      </c>
      <c r="J527" s="15">
        <v>20</v>
      </c>
      <c r="K527" s="18">
        <v>31700</v>
      </c>
      <c r="L527" s="15">
        <v>748.05</v>
      </c>
      <c r="M527" s="15">
        <v>-95.65</v>
      </c>
      <c r="N527" s="15">
        <v>26.79</v>
      </c>
      <c r="O527" s="24">
        <v>-1240</v>
      </c>
      <c r="P527" s="17">
        <v>10100</v>
      </c>
      <c r="Q527" s="16">
        <v>319</v>
      </c>
      <c r="R527" s="19" t="s">
        <v>77</v>
      </c>
      <c r="S527" s="20" t="s">
        <v>37</v>
      </c>
      <c r="T527">
        <v>30966.15</v>
      </c>
    </row>
    <row r="528" spans="1:20" x14ac:dyDescent="0.25">
      <c r="A528" t="str">
        <f>(COUNTIF($K$2:K528,K528))&amp;K528</f>
        <v>31PCR</v>
      </c>
      <c r="B528" s="34" t="s">
        <v>91</v>
      </c>
      <c r="C528" s="41">
        <v>0.83480357360634672</v>
      </c>
      <c r="E528" s="33"/>
      <c r="F528" s="39">
        <v>6395780</v>
      </c>
      <c r="G528" s="40"/>
      <c r="H528" s="38"/>
      <c r="I528" s="38"/>
      <c r="J528" s="38"/>
      <c r="K528" s="56" t="s">
        <v>57</v>
      </c>
      <c r="L528" s="38"/>
      <c r="M528" s="38"/>
      <c r="N528" s="38"/>
      <c r="P528" s="40">
        <v>5339220</v>
      </c>
      <c r="Q528" s="33"/>
      <c r="R528" s="38"/>
      <c r="S528" s="38"/>
    </row>
    <row r="529" spans="1:20" x14ac:dyDescent="0.25">
      <c r="A529" t="str">
        <f>(COUNTIF($K$2:K529,K529))&amp;K529</f>
        <v>3230200</v>
      </c>
      <c r="B529" s="34" t="s">
        <v>91</v>
      </c>
      <c r="C529" s="13" t="s">
        <v>74</v>
      </c>
      <c r="D529" s="14" t="s">
        <v>76</v>
      </c>
      <c r="E529" s="16">
        <v>168</v>
      </c>
      <c r="F529" s="17">
        <v>1440</v>
      </c>
      <c r="G529" s="24">
        <v>1020</v>
      </c>
      <c r="H529" s="15">
        <v>27.63</v>
      </c>
      <c r="I529" s="15">
        <v>100.2</v>
      </c>
      <c r="J529" s="15">
        <v>821.15</v>
      </c>
      <c r="K529" s="18">
        <v>30200</v>
      </c>
      <c r="L529" s="15">
        <v>20.7</v>
      </c>
      <c r="M529" s="15">
        <v>-19.45</v>
      </c>
      <c r="N529" s="15">
        <v>24.46</v>
      </c>
      <c r="O529" s="24">
        <v>27900</v>
      </c>
      <c r="P529" s="17">
        <v>241960</v>
      </c>
      <c r="Q529" s="16">
        <v>158498</v>
      </c>
      <c r="R529" s="19" t="s">
        <v>76</v>
      </c>
      <c r="S529" s="20" t="s">
        <v>39</v>
      </c>
      <c r="T529">
        <v>30966.15</v>
      </c>
    </row>
    <row r="530" spans="1:20" x14ac:dyDescent="0.25">
      <c r="A530" t="str">
        <f>(COUNTIF($K$2:K530,K530))&amp;K530</f>
        <v>3230300</v>
      </c>
      <c r="B530" s="34" t="s">
        <v>91</v>
      </c>
      <c r="C530" s="13" t="s">
        <v>40</v>
      </c>
      <c r="D530" s="14" t="s">
        <v>76</v>
      </c>
      <c r="E530" s="16">
        <v>599</v>
      </c>
      <c r="F530" s="17">
        <v>4860</v>
      </c>
      <c r="G530" s="24">
        <v>2700</v>
      </c>
      <c r="H530" s="15">
        <v>21.31</v>
      </c>
      <c r="I530" s="15">
        <v>59.25</v>
      </c>
      <c r="J530" s="15">
        <v>688.9</v>
      </c>
      <c r="K530" s="18">
        <v>30300</v>
      </c>
      <c r="L530" s="15">
        <v>29.1</v>
      </c>
      <c r="M530" s="15">
        <v>-23.55</v>
      </c>
      <c r="N530" s="15">
        <v>24.06</v>
      </c>
      <c r="O530" s="24">
        <v>86100</v>
      </c>
      <c r="P530" s="17">
        <v>232400</v>
      </c>
      <c r="Q530" s="16">
        <v>202706</v>
      </c>
      <c r="R530" s="19" t="s">
        <v>76</v>
      </c>
      <c r="S530" s="20" t="s">
        <v>39</v>
      </c>
      <c r="T530">
        <v>30966.15</v>
      </c>
    </row>
    <row r="531" spans="1:20" x14ac:dyDescent="0.25">
      <c r="A531" t="str">
        <f>(COUNTIF($K$2:K531,K531))&amp;K531</f>
        <v>3230400</v>
      </c>
      <c r="B531" s="34" t="s">
        <v>91</v>
      </c>
      <c r="C531" s="13" t="s">
        <v>40</v>
      </c>
      <c r="D531" s="14" t="s">
        <v>76</v>
      </c>
      <c r="E531" s="16">
        <v>907</v>
      </c>
      <c r="F531" s="17">
        <v>2280</v>
      </c>
      <c r="G531" s="24">
        <v>880</v>
      </c>
      <c r="H531" s="15">
        <v>24.88</v>
      </c>
      <c r="I531" s="15">
        <v>60.65</v>
      </c>
      <c r="J531" s="15">
        <v>614</v>
      </c>
      <c r="K531" s="18">
        <v>30400</v>
      </c>
      <c r="L531" s="15">
        <v>40.15</v>
      </c>
      <c r="M531" s="15">
        <v>-29.6</v>
      </c>
      <c r="N531" s="15">
        <v>23.57</v>
      </c>
      <c r="O531" s="24">
        <v>154760</v>
      </c>
      <c r="P531" s="17">
        <v>286080</v>
      </c>
      <c r="Q531" s="16">
        <v>299789</v>
      </c>
      <c r="R531" s="19" t="s">
        <v>76</v>
      </c>
      <c r="S531" s="20" t="s">
        <v>39</v>
      </c>
      <c r="T531">
        <v>30966.15</v>
      </c>
    </row>
    <row r="532" spans="1:20" x14ac:dyDescent="0.25">
      <c r="A532" t="str">
        <f>(COUNTIF($K$2:K532,K532))&amp;K532</f>
        <v>3230500</v>
      </c>
      <c r="B532" s="34" t="s">
        <v>91</v>
      </c>
      <c r="C532" s="13" t="s">
        <v>40</v>
      </c>
      <c r="D532" s="14" t="s">
        <v>76</v>
      </c>
      <c r="E532" s="16">
        <v>13343</v>
      </c>
      <c r="F532" s="17">
        <v>57600</v>
      </c>
      <c r="G532" s="24">
        <v>9580</v>
      </c>
      <c r="H532" s="15">
        <v>22.2</v>
      </c>
      <c r="I532" s="15">
        <v>43.55</v>
      </c>
      <c r="J532" s="15">
        <v>517.1</v>
      </c>
      <c r="K532" s="18">
        <v>30500</v>
      </c>
      <c r="L532" s="15">
        <v>54.95</v>
      </c>
      <c r="M532" s="15">
        <v>-37.299999999999997</v>
      </c>
      <c r="N532" s="15">
        <v>23.26</v>
      </c>
      <c r="O532" s="24">
        <v>331060</v>
      </c>
      <c r="P532" s="17">
        <v>869400</v>
      </c>
      <c r="Q532" s="16">
        <v>648532</v>
      </c>
      <c r="R532" s="19" t="s">
        <v>76</v>
      </c>
      <c r="S532" s="20" t="s">
        <v>39</v>
      </c>
      <c r="T532">
        <v>30966.15</v>
      </c>
    </row>
    <row r="533" spans="1:20" x14ac:dyDescent="0.25">
      <c r="A533" t="str">
        <f>(COUNTIF($K$2:K533,K533))&amp;K533</f>
        <v>3230600</v>
      </c>
      <c r="B533" s="34" t="s">
        <v>91</v>
      </c>
      <c r="C533" s="13" t="s">
        <v>40</v>
      </c>
      <c r="D533" s="14" t="s">
        <v>76</v>
      </c>
      <c r="E533" s="16">
        <v>10755</v>
      </c>
      <c r="F533" s="17">
        <v>20080</v>
      </c>
      <c r="G533" s="24">
        <v>3700</v>
      </c>
      <c r="H533" s="15">
        <v>22.95</v>
      </c>
      <c r="I533" s="15">
        <v>37.35</v>
      </c>
      <c r="J533" s="15">
        <v>440.9</v>
      </c>
      <c r="K533" s="18">
        <v>30600</v>
      </c>
      <c r="L533" s="15">
        <v>74.599999999999994</v>
      </c>
      <c r="M533" s="15">
        <v>-43.65</v>
      </c>
      <c r="N533" s="15">
        <v>22.94</v>
      </c>
      <c r="O533" s="24">
        <v>251480</v>
      </c>
      <c r="P533" s="17">
        <v>425300</v>
      </c>
      <c r="Q533" s="16">
        <v>372692</v>
      </c>
      <c r="R533" s="19" t="s">
        <v>76</v>
      </c>
      <c r="S533" s="20" t="s">
        <v>39</v>
      </c>
      <c r="T533">
        <v>30966.15</v>
      </c>
    </row>
    <row r="534" spans="1:20" x14ac:dyDescent="0.25">
      <c r="A534" t="str">
        <f>(COUNTIF($K$2:K534,K534))&amp;K534</f>
        <v>3230700</v>
      </c>
      <c r="B534" s="34" t="s">
        <v>91</v>
      </c>
      <c r="C534" s="13" t="s">
        <v>40</v>
      </c>
      <c r="D534" s="14" t="s">
        <v>76</v>
      </c>
      <c r="E534" s="16">
        <v>48095</v>
      </c>
      <c r="F534" s="17">
        <v>55900</v>
      </c>
      <c r="G534" s="24">
        <v>27700</v>
      </c>
      <c r="H534" s="15">
        <v>21.85</v>
      </c>
      <c r="I534" s="15">
        <v>28.25</v>
      </c>
      <c r="J534" s="15">
        <v>360.7</v>
      </c>
      <c r="K534" s="18">
        <v>30700</v>
      </c>
      <c r="L534" s="15">
        <v>99.85</v>
      </c>
      <c r="M534" s="15">
        <v>-52.35</v>
      </c>
      <c r="N534" s="15">
        <v>22.57</v>
      </c>
      <c r="O534" s="24">
        <v>304060</v>
      </c>
      <c r="P534" s="17">
        <v>476540</v>
      </c>
      <c r="Q534" s="16">
        <v>442093</v>
      </c>
      <c r="R534" s="19" t="s">
        <v>76</v>
      </c>
      <c r="S534" s="20" t="s">
        <v>39</v>
      </c>
      <c r="T534">
        <v>30966.15</v>
      </c>
    </row>
    <row r="535" spans="1:20" x14ac:dyDescent="0.25">
      <c r="A535" t="str">
        <f>(COUNTIF($K$2:K535,K535))&amp;K535</f>
        <v>3230800</v>
      </c>
      <c r="B535" s="34" t="s">
        <v>91</v>
      </c>
      <c r="C535" s="13" t="s">
        <v>40</v>
      </c>
      <c r="D535" s="14" t="s">
        <v>76</v>
      </c>
      <c r="E535" s="16">
        <v>155542</v>
      </c>
      <c r="F535" s="17">
        <v>208200</v>
      </c>
      <c r="G535" s="24">
        <v>65580</v>
      </c>
      <c r="H535" s="15">
        <v>21.82</v>
      </c>
      <c r="I535" s="15">
        <v>18.649999999999999</v>
      </c>
      <c r="J535" s="15">
        <v>292.3</v>
      </c>
      <c r="K535" s="18">
        <v>30800</v>
      </c>
      <c r="L535" s="15">
        <v>131.80000000000001</v>
      </c>
      <c r="M535" s="15">
        <v>-59.35</v>
      </c>
      <c r="N535" s="15">
        <v>22.28</v>
      </c>
      <c r="O535" s="24">
        <v>316700</v>
      </c>
      <c r="P535" s="17">
        <v>574340</v>
      </c>
      <c r="Q535" s="16">
        <v>453928</v>
      </c>
      <c r="R535" s="19" t="s">
        <v>76</v>
      </c>
      <c r="S535" s="20" t="s">
        <v>39</v>
      </c>
      <c r="T535">
        <v>30966.15</v>
      </c>
    </row>
    <row r="536" spans="1:20" x14ac:dyDescent="0.25">
      <c r="A536" t="str">
        <f>(COUNTIF($K$2:K536,K536))&amp;K536</f>
        <v>3230900</v>
      </c>
      <c r="B536" s="34" t="s">
        <v>91</v>
      </c>
      <c r="C536" s="13" t="s">
        <v>40</v>
      </c>
      <c r="D536" s="14" t="s">
        <v>76</v>
      </c>
      <c r="E536" s="16">
        <v>277020</v>
      </c>
      <c r="F536" s="17">
        <v>393380</v>
      </c>
      <c r="G536" s="24">
        <v>173180</v>
      </c>
      <c r="H536" s="15">
        <v>21.48</v>
      </c>
      <c r="I536" s="15">
        <v>12.15</v>
      </c>
      <c r="J536" s="15">
        <v>233</v>
      </c>
      <c r="K536" s="18">
        <v>30900</v>
      </c>
      <c r="L536" s="15">
        <v>171.2</v>
      </c>
      <c r="M536" s="15">
        <v>-65.3</v>
      </c>
      <c r="N536" s="15">
        <v>22.03</v>
      </c>
      <c r="O536" s="24">
        <v>313760</v>
      </c>
      <c r="P536" s="17">
        <v>522480</v>
      </c>
      <c r="Q536" s="16">
        <v>387005</v>
      </c>
      <c r="R536" s="19" t="s">
        <v>76</v>
      </c>
      <c r="S536" s="20" t="s">
        <v>39</v>
      </c>
      <c r="T536">
        <v>30966.15</v>
      </c>
    </row>
    <row r="537" spans="1:20" ht="15.75" x14ac:dyDescent="0.25">
      <c r="A537" t="str">
        <f>(COUNTIF($K$2:K537,K537))&amp;K537</f>
        <v>3231000</v>
      </c>
      <c r="B537" s="34" t="s">
        <v>91</v>
      </c>
      <c r="C537" s="13" t="s">
        <v>40</v>
      </c>
      <c r="D537" s="14" t="s">
        <v>76</v>
      </c>
      <c r="E537" s="16">
        <v>614557</v>
      </c>
      <c r="F537" s="17">
        <v>1075040</v>
      </c>
      <c r="G537" s="24">
        <v>296780</v>
      </c>
      <c r="H537" s="15">
        <v>21.62</v>
      </c>
      <c r="I537" s="15">
        <v>5.4</v>
      </c>
      <c r="J537" s="15">
        <v>183.2</v>
      </c>
      <c r="K537" s="21">
        <v>31000</v>
      </c>
      <c r="L537" s="15">
        <v>218.2</v>
      </c>
      <c r="M537" s="15">
        <v>-73.75</v>
      </c>
      <c r="N537" s="15">
        <v>21.96</v>
      </c>
      <c r="O537" s="24">
        <v>331920</v>
      </c>
      <c r="P537" s="17">
        <v>783140</v>
      </c>
      <c r="Q537" s="16">
        <v>380615</v>
      </c>
      <c r="R537" s="19" t="s">
        <v>76</v>
      </c>
      <c r="S537" s="20" t="s">
        <v>39</v>
      </c>
      <c r="T537">
        <v>30966.15</v>
      </c>
    </row>
    <row r="538" spans="1:20" x14ac:dyDescent="0.25">
      <c r="A538" t="str">
        <f>(COUNTIF($K$2:K538,K538))&amp;K538</f>
        <v>3231100</v>
      </c>
      <c r="B538" s="34" t="s">
        <v>91</v>
      </c>
      <c r="C538" s="13" t="s">
        <v>39</v>
      </c>
      <c r="D538" s="14" t="s">
        <v>76</v>
      </c>
      <c r="E538" s="16">
        <v>381974</v>
      </c>
      <c r="F538" s="17">
        <v>504360</v>
      </c>
      <c r="G538" s="24">
        <v>134440</v>
      </c>
      <c r="H538" s="15">
        <v>21.63</v>
      </c>
      <c r="I538" s="15">
        <v>-0.3</v>
      </c>
      <c r="J538" s="15">
        <v>139.94999999999999</v>
      </c>
      <c r="K538" s="18">
        <v>31100</v>
      </c>
      <c r="L538" s="15">
        <v>275.75</v>
      </c>
      <c r="M538" s="15">
        <v>-77.7</v>
      </c>
      <c r="N538" s="15">
        <v>22.1</v>
      </c>
      <c r="O538" s="24">
        <v>50900</v>
      </c>
      <c r="P538" s="17">
        <v>155160</v>
      </c>
      <c r="Q538" s="16">
        <v>86630</v>
      </c>
      <c r="R538" s="19" t="s">
        <v>76</v>
      </c>
      <c r="S538" s="20" t="s">
        <v>39</v>
      </c>
      <c r="T538">
        <v>30966.15</v>
      </c>
    </row>
    <row r="539" spans="1:20" x14ac:dyDescent="0.25">
      <c r="A539" t="str">
        <f>(COUNTIF($K$2:K539,K539))&amp;K539</f>
        <v>3231200</v>
      </c>
      <c r="B539" s="34" t="s">
        <v>91</v>
      </c>
      <c r="C539" s="13" t="s">
        <v>39</v>
      </c>
      <c r="D539" s="14" t="s">
        <v>76</v>
      </c>
      <c r="E539" s="16">
        <v>583803</v>
      </c>
      <c r="F539" s="17">
        <v>712080</v>
      </c>
      <c r="G539" s="24">
        <v>152680</v>
      </c>
      <c r="H539" s="15">
        <v>21.75</v>
      </c>
      <c r="I539" s="15">
        <v>-4.0999999999999996</v>
      </c>
      <c r="J539" s="15">
        <v>106.75</v>
      </c>
      <c r="K539" s="18">
        <v>31200</v>
      </c>
      <c r="L539" s="15">
        <v>342.25</v>
      </c>
      <c r="M539" s="15">
        <v>-83</v>
      </c>
      <c r="N539" s="15">
        <v>22.2</v>
      </c>
      <c r="O539" s="24">
        <v>15420</v>
      </c>
      <c r="P539" s="17">
        <v>120520</v>
      </c>
      <c r="Q539" s="16">
        <v>49269</v>
      </c>
      <c r="R539" s="19" t="s">
        <v>76</v>
      </c>
      <c r="S539" s="20" t="s">
        <v>39</v>
      </c>
      <c r="T539">
        <v>30966.15</v>
      </c>
    </row>
    <row r="540" spans="1:20" x14ac:dyDescent="0.25">
      <c r="A540" t="str">
        <f>(COUNTIF($K$2:K540,K540))&amp;K540</f>
        <v>3231300</v>
      </c>
      <c r="B540" s="34" t="s">
        <v>91</v>
      </c>
      <c r="C540" s="13" t="s">
        <v>39</v>
      </c>
      <c r="D540" s="14" t="s">
        <v>76</v>
      </c>
      <c r="E540" s="16">
        <v>414330</v>
      </c>
      <c r="F540" s="17">
        <v>633900</v>
      </c>
      <c r="G540" s="24">
        <v>186220</v>
      </c>
      <c r="H540" s="15">
        <v>21.86</v>
      </c>
      <c r="I540" s="15">
        <v>-6.8</v>
      </c>
      <c r="J540" s="15">
        <v>78.75</v>
      </c>
      <c r="K540" s="18">
        <v>31300</v>
      </c>
      <c r="L540" s="15">
        <v>414.3</v>
      </c>
      <c r="M540" s="15">
        <v>-94.4</v>
      </c>
      <c r="N540" s="15">
        <v>21.78</v>
      </c>
      <c r="O540" s="24">
        <v>-5440</v>
      </c>
      <c r="P540" s="17">
        <v>97740</v>
      </c>
      <c r="Q540" s="16">
        <v>13108</v>
      </c>
      <c r="R540" s="19" t="s">
        <v>77</v>
      </c>
      <c r="S540" s="20" t="s">
        <v>37</v>
      </c>
      <c r="T540">
        <v>30966.15</v>
      </c>
    </row>
    <row r="541" spans="1:20" x14ac:dyDescent="0.25">
      <c r="A541" t="str">
        <f>(COUNTIF($K$2:K541,K541))&amp;K541</f>
        <v>3231400</v>
      </c>
      <c r="B541" s="34" t="s">
        <v>91</v>
      </c>
      <c r="C541" s="13" t="s">
        <v>39</v>
      </c>
      <c r="D541" s="14" t="s">
        <v>76</v>
      </c>
      <c r="E541" s="16">
        <v>366184</v>
      </c>
      <c r="F541" s="17">
        <v>540720</v>
      </c>
      <c r="G541" s="24">
        <v>147560</v>
      </c>
      <c r="H541" s="15">
        <v>21.98</v>
      </c>
      <c r="I541" s="15">
        <v>-9.6999999999999993</v>
      </c>
      <c r="J541" s="15">
        <v>56.15</v>
      </c>
      <c r="K541" s="18">
        <v>31400</v>
      </c>
      <c r="L541" s="15">
        <v>494.6</v>
      </c>
      <c r="M541" s="15">
        <v>-87.35</v>
      </c>
      <c r="N541" s="15">
        <v>21.85</v>
      </c>
      <c r="O541" s="24">
        <v>4260</v>
      </c>
      <c r="P541" s="17">
        <v>54740</v>
      </c>
      <c r="Q541" s="16">
        <v>4243</v>
      </c>
      <c r="R541" s="19" t="s">
        <v>76</v>
      </c>
      <c r="S541" s="20" t="s">
        <v>39</v>
      </c>
      <c r="T541">
        <v>30966.15</v>
      </c>
    </row>
    <row r="542" spans="1:20" x14ac:dyDescent="0.25">
      <c r="A542" t="str">
        <f>(COUNTIF($K$2:K542,K542))&amp;K542</f>
        <v>3231500</v>
      </c>
      <c r="B542" s="34" t="s">
        <v>91</v>
      </c>
      <c r="C542" s="13" t="s">
        <v>39</v>
      </c>
      <c r="D542" s="14" t="s">
        <v>76</v>
      </c>
      <c r="E542" s="16">
        <v>540537</v>
      </c>
      <c r="F542" s="17">
        <v>1441560</v>
      </c>
      <c r="G542" s="24">
        <v>247200</v>
      </c>
      <c r="H542" s="15">
        <v>22.3</v>
      </c>
      <c r="I542" s="15">
        <v>-8.9499999999999993</v>
      </c>
      <c r="J542" s="15">
        <v>41</v>
      </c>
      <c r="K542" s="18">
        <v>31500</v>
      </c>
      <c r="L542" s="15">
        <v>580</v>
      </c>
      <c r="M542" s="15">
        <v>-87.3</v>
      </c>
      <c r="N542" s="15">
        <v>22.39</v>
      </c>
      <c r="O542" s="24">
        <v>3560</v>
      </c>
      <c r="P542" s="17">
        <v>471660</v>
      </c>
      <c r="Q542" s="16">
        <v>6865</v>
      </c>
      <c r="R542" s="19" t="s">
        <v>76</v>
      </c>
      <c r="S542" s="20" t="s">
        <v>39</v>
      </c>
      <c r="T542">
        <v>30966.15</v>
      </c>
    </row>
    <row r="543" spans="1:20" x14ac:dyDescent="0.25">
      <c r="A543" t="str">
        <f>(COUNTIF($K$2:K543,K543))&amp;K543</f>
        <v>3231600</v>
      </c>
      <c r="B543" s="34" t="s">
        <v>91</v>
      </c>
      <c r="C543" s="13" t="s">
        <v>39</v>
      </c>
      <c r="D543" s="14" t="s">
        <v>76</v>
      </c>
      <c r="E543" s="16">
        <v>213786</v>
      </c>
      <c r="F543" s="17">
        <v>359540</v>
      </c>
      <c r="G543" s="24">
        <v>75320</v>
      </c>
      <c r="H543" s="15">
        <v>22.39</v>
      </c>
      <c r="I543" s="15">
        <v>-9.15</v>
      </c>
      <c r="J543" s="15">
        <v>28.6</v>
      </c>
      <c r="K543" s="18">
        <v>31600</v>
      </c>
      <c r="L543" s="15">
        <v>665</v>
      </c>
      <c r="M543" s="15">
        <v>-95.85</v>
      </c>
      <c r="N543" s="15">
        <v>24.54</v>
      </c>
      <c r="O543" s="24" t="s">
        <v>14</v>
      </c>
      <c r="P543" s="17">
        <v>17660</v>
      </c>
      <c r="Q543" s="16">
        <v>304</v>
      </c>
      <c r="R543" s="19" t="s">
        <v>76</v>
      </c>
      <c r="S543" s="20" t="s">
        <v>39</v>
      </c>
      <c r="T543">
        <v>30966.15</v>
      </c>
    </row>
    <row r="544" spans="1:20" x14ac:dyDescent="0.25">
      <c r="A544" t="str">
        <f>(COUNTIF($K$2:K544,K544))&amp;K544</f>
        <v>3231700</v>
      </c>
      <c r="B544" s="34" t="s">
        <v>91</v>
      </c>
      <c r="C544" s="13" t="s">
        <v>39</v>
      </c>
      <c r="D544" s="14" t="s">
        <v>76</v>
      </c>
      <c r="E544" s="16">
        <v>141155</v>
      </c>
      <c r="F544" s="17">
        <v>384840</v>
      </c>
      <c r="G544" s="24">
        <v>26880</v>
      </c>
      <c r="H544" s="15">
        <v>22.67</v>
      </c>
      <c r="I544" s="15">
        <v>-8.15</v>
      </c>
      <c r="J544" s="15">
        <v>20</v>
      </c>
      <c r="K544" s="18">
        <v>31700</v>
      </c>
      <c r="L544" s="15">
        <v>748.05</v>
      </c>
      <c r="M544" s="15">
        <v>-95.65</v>
      </c>
      <c r="N544" s="15">
        <v>26.79</v>
      </c>
      <c r="O544" s="24">
        <v>-1240</v>
      </c>
      <c r="P544" s="17">
        <v>10100</v>
      </c>
      <c r="Q544" s="16">
        <v>319</v>
      </c>
      <c r="R544" s="19" t="s">
        <v>77</v>
      </c>
      <c r="S544" s="20" t="s">
        <v>37</v>
      </c>
      <c r="T544">
        <v>30966.15</v>
      </c>
    </row>
    <row r="545" spans="1:20" x14ac:dyDescent="0.25">
      <c r="A545" t="str">
        <f>(COUNTIF($K$2:K545,K545))&amp;K545</f>
        <v>32PCR</v>
      </c>
      <c r="B545" s="34" t="s">
        <v>91</v>
      </c>
      <c r="C545" s="41">
        <v>0.83480357360634672</v>
      </c>
      <c r="E545" s="33"/>
      <c r="F545" s="39">
        <v>6395780</v>
      </c>
      <c r="G545" s="40"/>
      <c r="H545" s="38"/>
      <c r="I545" s="38"/>
      <c r="J545" s="38"/>
      <c r="K545" s="56" t="s">
        <v>57</v>
      </c>
      <c r="L545" s="38"/>
      <c r="M545" s="38"/>
      <c r="N545" s="38"/>
      <c r="P545" s="40">
        <v>5339220</v>
      </c>
      <c r="Q545" s="33"/>
      <c r="R545" s="38"/>
      <c r="S545" s="38"/>
    </row>
    <row r="546" spans="1:20" x14ac:dyDescent="0.25">
      <c r="A546" t="str">
        <f>(COUNTIF($K$2:K546,K546))&amp;K546</f>
        <v>3330200</v>
      </c>
      <c r="B546" s="34" t="s">
        <v>91</v>
      </c>
      <c r="C546" s="13" t="s">
        <v>74</v>
      </c>
      <c r="D546" s="14" t="s">
        <v>76</v>
      </c>
      <c r="E546" s="16">
        <v>168</v>
      </c>
      <c r="F546" s="17">
        <v>1440</v>
      </c>
      <c r="G546" s="24">
        <v>1020</v>
      </c>
      <c r="H546" s="15">
        <v>27.63</v>
      </c>
      <c r="I546" s="15">
        <v>100.2</v>
      </c>
      <c r="J546" s="15">
        <v>821.15</v>
      </c>
      <c r="K546" s="18">
        <v>30200</v>
      </c>
      <c r="L546" s="15">
        <v>20.7</v>
      </c>
      <c r="M546" s="15">
        <v>-19.45</v>
      </c>
      <c r="N546" s="15">
        <v>24.46</v>
      </c>
      <c r="O546" s="24">
        <v>27900</v>
      </c>
      <c r="P546" s="17">
        <v>241960</v>
      </c>
      <c r="Q546" s="16">
        <v>158498</v>
      </c>
      <c r="R546" s="19" t="s">
        <v>76</v>
      </c>
      <c r="S546" s="20" t="s">
        <v>39</v>
      </c>
      <c r="T546">
        <v>30966.15</v>
      </c>
    </row>
    <row r="547" spans="1:20" x14ac:dyDescent="0.25">
      <c r="A547" t="str">
        <f>(COUNTIF($K$2:K547,K547))&amp;K547</f>
        <v>3330300</v>
      </c>
      <c r="B547" s="34" t="s">
        <v>91</v>
      </c>
      <c r="C547" s="13" t="s">
        <v>40</v>
      </c>
      <c r="D547" s="14" t="s">
        <v>76</v>
      </c>
      <c r="E547" s="16">
        <v>599</v>
      </c>
      <c r="F547" s="17">
        <v>4860</v>
      </c>
      <c r="G547" s="24">
        <v>2700</v>
      </c>
      <c r="H547" s="15">
        <v>21.31</v>
      </c>
      <c r="I547" s="15">
        <v>59.25</v>
      </c>
      <c r="J547" s="15">
        <v>688.9</v>
      </c>
      <c r="K547" s="18">
        <v>30300</v>
      </c>
      <c r="L547" s="15">
        <v>29.1</v>
      </c>
      <c r="M547" s="15">
        <v>-23.55</v>
      </c>
      <c r="N547" s="15">
        <v>24.06</v>
      </c>
      <c r="O547" s="24">
        <v>86100</v>
      </c>
      <c r="P547" s="17">
        <v>232400</v>
      </c>
      <c r="Q547" s="16">
        <v>202706</v>
      </c>
      <c r="R547" s="19" t="s">
        <v>76</v>
      </c>
      <c r="S547" s="20" t="s">
        <v>39</v>
      </c>
      <c r="T547">
        <v>30966.15</v>
      </c>
    </row>
    <row r="548" spans="1:20" x14ac:dyDescent="0.25">
      <c r="A548" t="str">
        <f>(COUNTIF($K$2:K548,K548))&amp;K548</f>
        <v>3330400</v>
      </c>
      <c r="B548" s="34" t="s">
        <v>91</v>
      </c>
      <c r="C548" s="13" t="s">
        <v>40</v>
      </c>
      <c r="D548" s="14" t="s">
        <v>76</v>
      </c>
      <c r="E548" s="16">
        <v>907</v>
      </c>
      <c r="F548" s="17">
        <v>2280</v>
      </c>
      <c r="G548" s="24">
        <v>880</v>
      </c>
      <c r="H548" s="15">
        <v>24.88</v>
      </c>
      <c r="I548" s="15">
        <v>60.65</v>
      </c>
      <c r="J548" s="15">
        <v>614</v>
      </c>
      <c r="K548" s="18">
        <v>30400</v>
      </c>
      <c r="L548" s="15">
        <v>40.15</v>
      </c>
      <c r="M548" s="15">
        <v>-29.6</v>
      </c>
      <c r="N548" s="15">
        <v>23.57</v>
      </c>
      <c r="O548" s="24">
        <v>154760</v>
      </c>
      <c r="P548" s="17">
        <v>286080</v>
      </c>
      <c r="Q548" s="16">
        <v>299789</v>
      </c>
      <c r="R548" s="19" t="s">
        <v>76</v>
      </c>
      <c r="S548" s="20" t="s">
        <v>39</v>
      </c>
      <c r="T548">
        <v>30966.15</v>
      </c>
    </row>
    <row r="549" spans="1:20" x14ac:dyDescent="0.25">
      <c r="A549" t="str">
        <f>(COUNTIF($K$2:K549,K549))&amp;K549</f>
        <v>3330500</v>
      </c>
      <c r="B549" s="34" t="s">
        <v>91</v>
      </c>
      <c r="C549" s="13" t="s">
        <v>40</v>
      </c>
      <c r="D549" s="14" t="s">
        <v>76</v>
      </c>
      <c r="E549" s="16">
        <v>13343</v>
      </c>
      <c r="F549" s="17">
        <v>57600</v>
      </c>
      <c r="G549" s="24">
        <v>9580</v>
      </c>
      <c r="H549" s="15">
        <v>22.2</v>
      </c>
      <c r="I549" s="15">
        <v>43.55</v>
      </c>
      <c r="J549" s="15">
        <v>517.1</v>
      </c>
      <c r="K549" s="18">
        <v>30500</v>
      </c>
      <c r="L549" s="15">
        <v>54.95</v>
      </c>
      <c r="M549" s="15">
        <v>-37.299999999999997</v>
      </c>
      <c r="N549" s="15">
        <v>23.26</v>
      </c>
      <c r="O549" s="24">
        <v>331060</v>
      </c>
      <c r="P549" s="17">
        <v>869400</v>
      </c>
      <c r="Q549" s="16">
        <v>648532</v>
      </c>
      <c r="R549" s="19" t="s">
        <v>76</v>
      </c>
      <c r="S549" s="20" t="s">
        <v>39</v>
      </c>
      <c r="T549">
        <v>30966.15</v>
      </c>
    </row>
    <row r="550" spans="1:20" x14ac:dyDescent="0.25">
      <c r="A550" t="str">
        <f>(COUNTIF($K$2:K550,K550))&amp;K550</f>
        <v>3330600</v>
      </c>
      <c r="B550" s="34" t="s">
        <v>91</v>
      </c>
      <c r="C550" s="13" t="s">
        <v>40</v>
      </c>
      <c r="D550" s="14" t="s">
        <v>76</v>
      </c>
      <c r="E550" s="16">
        <v>10755</v>
      </c>
      <c r="F550" s="17">
        <v>20080</v>
      </c>
      <c r="G550" s="24">
        <v>3700</v>
      </c>
      <c r="H550" s="15">
        <v>22.95</v>
      </c>
      <c r="I550" s="15">
        <v>37.35</v>
      </c>
      <c r="J550" s="15">
        <v>440.9</v>
      </c>
      <c r="K550" s="18">
        <v>30600</v>
      </c>
      <c r="L550" s="15">
        <v>74.599999999999994</v>
      </c>
      <c r="M550" s="15">
        <v>-43.65</v>
      </c>
      <c r="N550" s="15">
        <v>22.94</v>
      </c>
      <c r="O550" s="24">
        <v>251480</v>
      </c>
      <c r="P550" s="17">
        <v>425300</v>
      </c>
      <c r="Q550" s="16">
        <v>372692</v>
      </c>
      <c r="R550" s="19" t="s">
        <v>76</v>
      </c>
      <c r="S550" s="20" t="s">
        <v>39</v>
      </c>
      <c r="T550">
        <v>30966.15</v>
      </c>
    </row>
    <row r="551" spans="1:20" x14ac:dyDescent="0.25">
      <c r="A551" t="str">
        <f>(COUNTIF($K$2:K551,K551))&amp;K551</f>
        <v>3330700</v>
      </c>
      <c r="B551" s="34" t="s">
        <v>91</v>
      </c>
      <c r="C551" s="13" t="s">
        <v>40</v>
      </c>
      <c r="D551" s="14" t="s">
        <v>76</v>
      </c>
      <c r="E551" s="16">
        <v>48095</v>
      </c>
      <c r="F551" s="17">
        <v>55900</v>
      </c>
      <c r="G551" s="24">
        <v>27700</v>
      </c>
      <c r="H551" s="15">
        <v>21.85</v>
      </c>
      <c r="I551" s="15">
        <v>28.25</v>
      </c>
      <c r="J551" s="15">
        <v>360.7</v>
      </c>
      <c r="K551" s="18">
        <v>30700</v>
      </c>
      <c r="L551" s="15">
        <v>99.85</v>
      </c>
      <c r="M551" s="15">
        <v>-52.35</v>
      </c>
      <c r="N551" s="15">
        <v>22.57</v>
      </c>
      <c r="O551" s="24">
        <v>304060</v>
      </c>
      <c r="P551" s="17">
        <v>476540</v>
      </c>
      <c r="Q551" s="16">
        <v>442093</v>
      </c>
      <c r="R551" s="19" t="s">
        <v>76</v>
      </c>
      <c r="S551" s="20" t="s">
        <v>39</v>
      </c>
      <c r="T551">
        <v>30966.15</v>
      </c>
    </row>
    <row r="552" spans="1:20" x14ac:dyDescent="0.25">
      <c r="A552" t="str">
        <f>(COUNTIF($K$2:K552,K552))&amp;K552</f>
        <v>3330800</v>
      </c>
      <c r="B552" s="34" t="s">
        <v>91</v>
      </c>
      <c r="C552" s="13" t="s">
        <v>40</v>
      </c>
      <c r="D552" s="14" t="s">
        <v>76</v>
      </c>
      <c r="E552" s="16">
        <v>155542</v>
      </c>
      <c r="F552" s="17">
        <v>208200</v>
      </c>
      <c r="G552" s="24">
        <v>65580</v>
      </c>
      <c r="H552" s="15">
        <v>21.82</v>
      </c>
      <c r="I552" s="15">
        <v>18.649999999999999</v>
      </c>
      <c r="J552" s="15">
        <v>292.3</v>
      </c>
      <c r="K552" s="18">
        <v>30800</v>
      </c>
      <c r="L552" s="15">
        <v>131.80000000000001</v>
      </c>
      <c r="M552" s="15">
        <v>-59.35</v>
      </c>
      <c r="N552" s="15">
        <v>22.28</v>
      </c>
      <c r="O552" s="24">
        <v>316700</v>
      </c>
      <c r="P552" s="17">
        <v>574340</v>
      </c>
      <c r="Q552" s="16">
        <v>453928</v>
      </c>
      <c r="R552" s="19" t="s">
        <v>76</v>
      </c>
      <c r="S552" s="20" t="s">
        <v>39</v>
      </c>
      <c r="T552">
        <v>30966.15</v>
      </c>
    </row>
    <row r="553" spans="1:20" x14ac:dyDescent="0.25">
      <c r="A553" t="str">
        <f>(COUNTIF($K$2:K553,K553))&amp;K553</f>
        <v>3330900</v>
      </c>
      <c r="B553" s="34" t="s">
        <v>91</v>
      </c>
      <c r="C553" s="13" t="s">
        <v>40</v>
      </c>
      <c r="D553" s="14" t="s">
        <v>76</v>
      </c>
      <c r="E553" s="16">
        <v>277020</v>
      </c>
      <c r="F553" s="17">
        <v>393380</v>
      </c>
      <c r="G553" s="24">
        <v>173180</v>
      </c>
      <c r="H553" s="15">
        <v>21.48</v>
      </c>
      <c r="I553" s="15">
        <v>12.15</v>
      </c>
      <c r="J553" s="15">
        <v>233</v>
      </c>
      <c r="K553" s="18">
        <v>30900</v>
      </c>
      <c r="L553" s="15">
        <v>171.2</v>
      </c>
      <c r="M553" s="15">
        <v>-65.3</v>
      </c>
      <c r="N553" s="15">
        <v>22.03</v>
      </c>
      <c r="O553" s="24">
        <v>313760</v>
      </c>
      <c r="P553" s="17">
        <v>522480</v>
      </c>
      <c r="Q553" s="16">
        <v>387005</v>
      </c>
      <c r="R553" s="19" t="s">
        <v>76</v>
      </c>
      <c r="S553" s="20" t="s">
        <v>39</v>
      </c>
      <c r="T553">
        <v>30966.15</v>
      </c>
    </row>
    <row r="554" spans="1:20" ht="15.75" x14ac:dyDescent="0.25">
      <c r="A554" t="str">
        <f>(COUNTIF($K$2:K554,K554))&amp;K554</f>
        <v>3331000</v>
      </c>
      <c r="B554" s="34" t="s">
        <v>91</v>
      </c>
      <c r="C554" s="13" t="s">
        <v>40</v>
      </c>
      <c r="D554" s="14" t="s">
        <v>76</v>
      </c>
      <c r="E554" s="16">
        <v>614557</v>
      </c>
      <c r="F554" s="17">
        <v>1075040</v>
      </c>
      <c r="G554" s="24">
        <v>296780</v>
      </c>
      <c r="H554" s="15">
        <v>21.62</v>
      </c>
      <c r="I554" s="15">
        <v>5.4</v>
      </c>
      <c r="J554" s="15">
        <v>183.2</v>
      </c>
      <c r="K554" s="21">
        <v>31000</v>
      </c>
      <c r="L554" s="15">
        <v>218.2</v>
      </c>
      <c r="M554" s="15">
        <v>-73.75</v>
      </c>
      <c r="N554" s="15">
        <v>21.96</v>
      </c>
      <c r="O554" s="24">
        <v>331920</v>
      </c>
      <c r="P554" s="17">
        <v>783140</v>
      </c>
      <c r="Q554" s="16">
        <v>380615</v>
      </c>
      <c r="R554" s="19" t="s">
        <v>76</v>
      </c>
      <c r="S554" s="20" t="s">
        <v>39</v>
      </c>
      <c r="T554">
        <v>30966.15</v>
      </c>
    </row>
    <row r="555" spans="1:20" x14ac:dyDescent="0.25">
      <c r="A555" t="str">
        <f>(COUNTIF($K$2:K555,K555))&amp;K555</f>
        <v>3331100</v>
      </c>
      <c r="B555" s="34" t="s">
        <v>91</v>
      </c>
      <c r="C555" s="13" t="s">
        <v>39</v>
      </c>
      <c r="D555" s="14" t="s">
        <v>76</v>
      </c>
      <c r="E555" s="16">
        <v>381974</v>
      </c>
      <c r="F555" s="17">
        <v>504360</v>
      </c>
      <c r="G555" s="24">
        <v>134440</v>
      </c>
      <c r="H555" s="15">
        <v>21.63</v>
      </c>
      <c r="I555" s="15">
        <v>-0.3</v>
      </c>
      <c r="J555" s="15">
        <v>139.94999999999999</v>
      </c>
      <c r="K555" s="18">
        <v>31100</v>
      </c>
      <c r="L555" s="15">
        <v>275.75</v>
      </c>
      <c r="M555" s="15">
        <v>-77.7</v>
      </c>
      <c r="N555" s="15">
        <v>22.1</v>
      </c>
      <c r="O555" s="24">
        <v>50900</v>
      </c>
      <c r="P555" s="17">
        <v>155160</v>
      </c>
      <c r="Q555" s="16">
        <v>86630</v>
      </c>
      <c r="R555" s="19" t="s">
        <v>76</v>
      </c>
      <c r="S555" s="20" t="s">
        <v>39</v>
      </c>
      <c r="T555">
        <v>30966.15</v>
      </c>
    </row>
    <row r="556" spans="1:20" x14ac:dyDescent="0.25">
      <c r="A556" t="str">
        <f>(COUNTIF($K$2:K556,K556))&amp;K556</f>
        <v>3331200</v>
      </c>
      <c r="B556" s="34" t="s">
        <v>91</v>
      </c>
      <c r="C556" s="13" t="s">
        <v>39</v>
      </c>
      <c r="D556" s="14" t="s">
        <v>76</v>
      </c>
      <c r="E556" s="16">
        <v>583803</v>
      </c>
      <c r="F556" s="17">
        <v>712080</v>
      </c>
      <c r="G556" s="24">
        <v>152680</v>
      </c>
      <c r="H556" s="15">
        <v>21.75</v>
      </c>
      <c r="I556" s="15">
        <v>-4.0999999999999996</v>
      </c>
      <c r="J556" s="15">
        <v>106.75</v>
      </c>
      <c r="K556" s="18">
        <v>31200</v>
      </c>
      <c r="L556" s="15">
        <v>342.25</v>
      </c>
      <c r="M556" s="15">
        <v>-83</v>
      </c>
      <c r="N556" s="15">
        <v>22.2</v>
      </c>
      <c r="O556" s="24">
        <v>15420</v>
      </c>
      <c r="P556" s="17">
        <v>120520</v>
      </c>
      <c r="Q556" s="16">
        <v>49269</v>
      </c>
      <c r="R556" s="19" t="s">
        <v>76</v>
      </c>
      <c r="S556" s="20" t="s">
        <v>39</v>
      </c>
      <c r="T556">
        <v>30966.15</v>
      </c>
    </row>
    <row r="557" spans="1:20" x14ac:dyDescent="0.25">
      <c r="A557" t="str">
        <f>(COUNTIF($K$2:K557,K557))&amp;K557</f>
        <v>3331300</v>
      </c>
      <c r="B557" s="34" t="s">
        <v>91</v>
      </c>
      <c r="C557" s="13" t="s">
        <v>39</v>
      </c>
      <c r="D557" s="14" t="s">
        <v>76</v>
      </c>
      <c r="E557" s="16">
        <v>414330</v>
      </c>
      <c r="F557" s="17">
        <v>633900</v>
      </c>
      <c r="G557" s="24">
        <v>186220</v>
      </c>
      <c r="H557" s="15">
        <v>21.86</v>
      </c>
      <c r="I557" s="15">
        <v>-6.8</v>
      </c>
      <c r="J557" s="15">
        <v>78.75</v>
      </c>
      <c r="K557" s="18">
        <v>31300</v>
      </c>
      <c r="L557" s="15">
        <v>414.3</v>
      </c>
      <c r="M557" s="15">
        <v>-94.4</v>
      </c>
      <c r="N557" s="15">
        <v>21.78</v>
      </c>
      <c r="O557" s="24">
        <v>-5440</v>
      </c>
      <c r="P557" s="17">
        <v>97740</v>
      </c>
      <c r="Q557" s="16">
        <v>13108</v>
      </c>
      <c r="R557" s="19" t="s">
        <v>77</v>
      </c>
      <c r="S557" s="20" t="s">
        <v>37</v>
      </c>
      <c r="T557">
        <v>30966.15</v>
      </c>
    </row>
    <row r="558" spans="1:20" x14ac:dyDescent="0.25">
      <c r="A558" t="str">
        <f>(COUNTIF($K$2:K558,K558))&amp;K558</f>
        <v>3331400</v>
      </c>
      <c r="B558" s="34" t="s">
        <v>91</v>
      </c>
      <c r="C558" s="13" t="s">
        <v>39</v>
      </c>
      <c r="D558" s="14" t="s">
        <v>76</v>
      </c>
      <c r="E558" s="16">
        <v>366184</v>
      </c>
      <c r="F558" s="17">
        <v>540720</v>
      </c>
      <c r="G558" s="24">
        <v>147560</v>
      </c>
      <c r="H558" s="15">
        <v>21.98</v>
      </c>
      <c r="I558" s="15">
        <v>-9.6999999999999993</v>
      </c>
      <c r="J558" s="15">
        <v>56.15</v>
      </c>
      <c r="K558" s="18">
        <v>31400</v>
      </c>
      <c r="L558" s="15">
        <v>494.6</v>
      </c>
      <c r="M558" s="15">
        <v>-87.35</v>
      </c>
      <c r="N558" s="15">
        <v>21.85</v>
      </c>
      <c r="O558" s="24">
        <v>4260</v>
      </c>
      <c r="P558" s="17">
        <v>54740</v>
      </c>
      <c r="Q558" s="16">
        <v>4243</v>
      </c>
      <c r="R558" s="19" t="s">
        <v>76</v>
      </c>
      <c r="S558" s="20" t="s">
        <v>39</v>
      </c>
      <c r="T558">
        <v>30966.15</v>
      </c>
    </row>
    <row r="559" spans="1:20" x14ac:dyDescent="0.25">
      <c r="A559" t="str">
        <f>(COUNTIF($K$2:K559,K559))&amp;K559</f>
        <v>3331500</v>
      </c>
      <c r="B559" s="34" t="s">
        <v>91</v>
      </c>
      <c r="C559" s="13" t="s">
        <v>39</v>
      </c>
      <c r="D559" s="14" t="s">
        <v>76</v>
      </c>
      <c r="E559" s="16">
        <v>540537</v>
      </c>
      <c r="F559" s="17">
        <v>1441560</v>
      </c>
      <c r="G559" s="24">
        <v>247200</v>
      </c>
      <c r="H559" s="15">
        <v>22.3</v>
      </c>
      <c r="I559" s="15">
        <v>-8.9499999999999993</v>
      </c>
      <c r="J559" s="15">
        <v>41</v>
      </c>
      <c r="K559" s="18">
        <v>31500</v>
      </c>
      <c r="L559" s="15">
        <v>580</v>
      </c>
      <c r="M559" s="15">
        <v>-87.3</v>
      </c>
      <c r="N559" s="15">
        <v>22.39</v>
      </c>
      <c r="O559" s="24">
        <v>3560</v>
      </c>
      <c r="P559" s="17">
        <v>471660</v>
      </c>
      <c r="Q559" s="16">
        <v>6865</v>
      </c>
      <c r="R559" s="19" t="s">
        <v>76</v>
      </c>
      <c r="S559" s="20" t="s">
        <v>39</v>
      </c>
      <c r="T559">
        <v>30966.15</v>
      </c>
    </row>
    <row r="560" spans="1:20" x14ac:dyDescent="0.25">
      <c r="A560" t="str">
        <f>(COUNTIF($K$2:K560,K560))&amp;K560</f>
        <v>3331600</v>
      </c>
      <c r="B560" s="34" t="s">
        <v>91</v>
      </c>
      <c r="C560" s="13" t="s">
        <v>39</v>
      </c>
      <c r="D560" s="14" t="s">
        <v>76</v>
      </c>
      <c r="E560" s="16">
        <v>213786</v>
      </c>
      <c r="F560" s="17">
        <v>359540</v>
      </c>
      <c r="G560" s="24">
        <v>75320</v>
      </c>
      <c r="H560" s="15">
        <v>22.39</v>
      </c>
      <c r="I560" s="15">
        <v>-9.15</v>
      </c>
      <c r="J560" s="15">
        <v>28.6</v>
      </c>
      <c r="K560" s="18">
        <v>31600</v>
      </c>
      <c r="L560" s="15">
        <v>665</v>
      </c>
      <c r="M560" s="15">
        <v>-95.85</v>
      </c>
      <c r="N560" s="15">
        <v>24.54</v>
      </c>
      <c r="O560" s="24" t="s">
        <v>14</v>
      </c>
      <c r="P560" s="17">
        <v>17660</v>
      </c>
      <c r="Q560" s="16">
        <v>304</v>
      </c>
      <c r="R560" s="19" t="s">
        <v>76</v>
      </c>
      <c r="S560" s="20" t="s">
        <v>39</v>
      </c>
      <c r="T560">
        <v>30966.15</v>
      </c>
    </row>
    <row r="561" spans="1:20" x14ac:dyDescent="0.25">
      <c r="A561" t="str">
        <f>(COUNTIF($K$2:K561,K561))&amp;K561</f>
        <v>3331700</v>
      </c>
      <c r="B561" s="34" t="s">
        <v>91</v>
      </c>
      <c r="C561" s="13" t="s">
        <v>39</v>
      </c>
      <c r="D561" s="14" t="s">
        <v>76</v>
      </c>
      <c r="E561" s="16">
        <v>141155</v>
      </c>
      <c r="F561" s="17">
        <v>384840</v>
      </c>
      <c r="G561" s="24">
        <v>26880</v>
      </c>
      <c r="H561" s="15">
        <v>22.67</v>
      </c>
      <c r="I561" s="15">
        <v>-8.15</v>
      </c>
      <c r="J561" s="15">
        <v>20</v>
      </c>
      <c r="K561" s="18">
        <v>31700</v>
      </c>
      <c r="L561" s="15">
        <v>748.05</v>
      </c>
      <c r="M561" s="15">
        <v>-95.65</v>
      </c>
      <c r="N561" s="15">
        <v>26.79</v>
      </c>
      <c r="O561" s="24">
        <v>-1240</v>
      </c>
      <c r="P561" s="17">
        <v>10100</v>
      </c>
      <c r="Q561" s="16">
        <v>319</v>
      </c>
      <c r="R561" s="19" t="s">
        <v>77</v>
      </c>
      <c r="S561" s="20" t="s">
        <v>37</v>
      </c>
      <c r="T561">
        <v>30966.15</v>
      </c>
    </row>
    <row r="562" spans="1:20" x14ac:dyDescent="0.25">
      <c r="A562" t="str">
        <f>(COUNTIF($K$2:K562,K562))&amp;K562</f>
        <v>33PCR</v>
      </c>
      <c r="B562" s="34" t="s">
        <v>91</v>
      </c>
      <c r="C562" s="41">
        <v>0.83480357360634672</v>
      </c>
      <c r="E562" s="33"/>
      <c r="F562" s="39">
        <v>6395780</v>
      </c>
      <c r="G562" s="40"/>
      <c r="H562" s="38"/>
      <c r="I562" s="38"/>
      <c r="J562" s="38"/>
      <c r="K562" s="56" t="s">
        <v>57</v>
      </c>
      <c r="L562" s="38"/>
      <c r="M562" s="38"/>
      <c r="N562" s="38"/>
      <c r="P562" s="40">
        <v>5339220</v>
      </c>
      <c r="Q562" s="33"/>
      <c r="R562" s="38"/>
      <c r="S562" s="38"/>
    </row>
    <row r="563" spans="1:20" x14ac:dyDescent="0.25">
      <c r="A563" t="str">
        <f>(COUNTIF($K$2:K563,K563))&amp;K563</f>
        <v>3430200</v>
      </c>
      <c r="B563" s="34" t="s">
        <v>91</v>
      </c>
      <c r="C563" s="13" t="s">
        <v>74</v>
      </c>
      <c r="D563" s="14" t="s">
        <v>76</v>
      </c>
      <c r="E563" s="16">
        <v>168</v>
      </c>
      <c r="F563" s="17">
        <v>1440</v>
      </c>
      <c r="G563" s="24">
        <v>1020</v>
      </c>
      <c r="H563" s="15">
        <v>27.63</v>
      </c>
      <c r="I563" s="15">
        <v>100.2</v>
      </c>
      <c r="J563" s="15">
        <v>821.15</v>
      </c>
      <c r="K563" s="18">
        <v>30200</v>
      </c>
      <c r="L563" s="15">
        <v>20.7</v>
      </c>
      <c r="M563" s="15">
        <v>-19.45</v>
      </c>
      <c r="N563" s="15">
        <v>24.46</v>
      </c>
      <c r="O563" s="24">
        <v>27900</v>
      </c>
      <c r="P563" s="17">
        <v>241960</v>
      </c>
      <c r="Q563" s="16">
        <v>158498</v>
      </c>
      <c r="R563" s="19" t="s">
        <v>76</v>
      </c>
      <c r="S563" s="20" t="s">
        <v>39</v>
      </c>
      <c r="T563">
        <v>30966.15</v>
      </c>
    </row>
    <row r="564" spans="1:20" x14ac:dyDescent="0.25">
      <c r="A564" t="str">
        <f>(COUNTIF($K$2:K564,K564))&amp;K564</f>
        <v>3430300</v>
      </c>
      <c r="B564" s="34" t="s">
        <v>91</v>
      </c>
      <c r="C564" s="13" t="s">
        <v>40</v>
      </c>
      <c r="D564" s="14" t="s">
        <v>76</v>
      </c>
      <c r="E564" s="16">
        <v>599</v>
      </c>
      <c r="F564" s="17">
        <v>4860</v>
      </c>
      <c r="G564" s="24">
        <v>2700</v>
      </c>
      <c r="H564" s="15">
        <v>21.31</v>
      </c>
      <c r="I564" s="15">
        <v>59.25</v>
      </c>
      <c r="J564" s="15">
        <v>688.9</v>
      </c>
      <c r="K564" s="18">
        <v>30300</v>
      </c>
      <c r="L564" s="15">
        <v>29.1</v>
      </c>
      <c r="M564" s="15">
        <v>-23.55</v>
      </c>
      <c r="N564" s="15">
        <v>24.06</v>
      </c>
      <c r="O564" s="24">
        <v>86100</v>
      </c>
      <c r="P564" s="17">
        <v>232400</v>
      </c>
      <c r="Q564" s="16">
        <v>202706</v>
      </c>
      <c r="R564" s="19" t="s">
        <v>76</v>
      </c>
      <c r="S564" s="20" t="s">
        <v>39</v>
      </c>
      <c r="T564">
        <v>30966.15</v>
      </c>
    </row>
    <row r="565" spans="1:20" x14ac:dyDescent="0.25">
      <c r="A565" t="str">
        <f>(COUNTIF($K$2:K565,K565))&amp;K565</f>
        <v>3430400</v>
      </c>
      <c r="B565" s="34" t="s">
        <v>91</v>
      </c>
      <c r="C565" s="13" t="s">
        <v>40</v>
      </c>
      <c r="D565" s="14" t="s">
        <v>76</v>
      </c>
      <c r="E565" s="16">
        <v>907</v>
      </c>
      <c r="F565" s="17">
        <v>2280</v>
      </c>
      <c r="G565" s="24">
        <v>880</v>
      </c>
      <c r="H565" s="15">
        <v>24.88</v>
      </c>
      <c r="I565" s="15">
        <v>60.65</v>
      </c>
      <c r="J565" s="15">
        <v>614</v>
      </c>
      <c r="K565" s="18">
        <v>30400</v>
      </c>
      <c r="L565" s="15">
        <v>40.15</v>
      </c>
      <c r="M565" s="15">
        <v>-29.6</v>
      </c>
      <c r="N565" s="15">
        <v>23.57</v>
      </c>
      <c r="O565" s="24">
        <v>154760</v>
      </c>
      <c r="P565" s="17">
        <v>286080</v>
      </c>
      <c r="Q565" s="16">
        <v>299789</v>
      </c>
      <c r="R565" s="19" t="s">
        <v>76</v>
      </c>
      <c r="S565" s="20" t="s">
        <v>39</v>
      </c>
      <c r="T565">
        <v>30966.15</v>
      </c>
    </row>
    <row r="566" spans="1:20" x14ac:dyDescent="0.25">
      <c r="A566" t="str">
        <f>(COUNTIF($K$2:K566,K566))&amp;K566</f>
        <v>3430500</v>
      </c>
      <c r="B566" s="34" t="s">
        <v>91</v>
      </c>
      <c r="C566" s="13" t="s">
        <v>40</v>
      </c>
      <c r="D566" s="14" t="s">
        <v>76</v>
      </c>
      <c r="E566" s="16">
        <v>13343</v>
      </c>
      <c r="F566" s="17">
        <v>57600</v>
      </c>
      <c r="G566" s="24">
        <v>9580</v>
      </c>
      <c r="H566" s="15">
        <v>22.2</v>
      </c>
      <c r="I566" s="15">
        <v>43.55</v>
      </c>
      <c r="J566" s="15">
        <v>517.1</v>
      </c>
      <c r="K566" s="18">
        <v>30500</v>
      </c>
      <c r="L566" s="15">
        <v>54.95</v>
      </c>
      <c r="M566" s="15">
        <v>-37.299999999999997</v>
      </c>
      <c r="N566" s="15">
        <v>23.26</v>
      </c>
      <c r="O566" s="24">
        <v>331060</v>
      </c>
      <c r="P566" s="17">
        <v>869400</v>
      </c>
      <c r="Q566" s="16">
        <v>648532</v>
      </c>
      <c r="R566" s="19" t="s">
        <v>76</v>
      </c>
      <c r="S566" s="20" t="s">
        <v>39</v>
      </c>
      <c r="T566">
        <v>30966.15</v>
      </c>
    </row>
    <row r="567" spans="1:20" x14ac:dyDescent="0.25">
      <c r="A567" t="str">
        <f>(COUNTIF($K$2:K567,K567))&amp;K567</f>
        <v>3430600</v>
      </c>
      <c r="B567" s="34" t="s">
        <v>91</v>
      </c>
      <c r="C567" s="13" t="s">
        <v>40</v>
      </c>
      <c r="D567" s="14" t="s">
        <v>76</v>
      </c>
      <c r="E567" s="16">
        <v>10755</v>
      </c>
      <c r="F567" s="17">
        <v>20080</v>
      </c>
      <c r="G567" s="24">
        <v>3700</v>
      </c>
      <c r="H567" s="15">
        <v>22.95</v>
      </c>
      <c r="I567" s="15">
        <v>37.35</v>
      </c>
      <c r="J567" s="15">
        <v>440.9</v>
      </c>
      <c r="K567" s="18">
        <v>30600</v>
      </c>
      <c r="L567" s="15">
        <v>74.599999999999994</v>
      </c>
      <c r="M567" s="15">
        <v>-43.65</v>
      </c>
      <c r="N567" s="15">
        <v>22.94</v>
      </c>
      <c r="O567" s="24">
        <v>251480</v>
      </c>
      <c r="P567" s="17">
        <v>425300</v>
      </c>
      <c r="Q567" s="16">
        <v>372692</v>
      </c>
      <c r="R567" s="19" t="s">
        <v>76</v>
      </c>
      <c r="S567" s="20" t="s">
        <v>39</v>
      </c>
      <c r="T567">
        <v>30966.15</v>
      </c>
    </row>
    <row r="568" spans="1:20" x14ac:dyDescent="0.25">
      <c r="A568" t="str">
        <f>(COUNTIF($K$2:K568,K568))&amp;K568</f>
        <v>3430700</v>
      </c>
      <c r="B568" s="34" t="s">
        <v>91</v>
      </c>
      <c r="C568" s="13" t="s">
        <v>40</v>
      </c>
      <c r="D568" s="14" t="s">
        <v>76</v>
      </c>
      <c r="E568" s="16">
        <v>48095</v>
      </c>
      <c r="F568" s="17">
        <v>55900</v>
      </c>
      <c r="G568" s="24">
        <v>27700</v>
      </c>
      <c r="H568" s="15">
        <v>21.85</v>
      </c>
      <c r="I568" s="15">
        <v>28.25</v>
      </c>
      <c r="J568" s="15">
        <v>360.7</v>
      </c>
      <c r="K568" s="18">
        <v>30700</v>
      </c>
      <c r="L568" s="15">
        <v>99.85</v>
      </c>
      <c r="M568" s="15">
        <v>-52.35</v>
      </c>
      <c r="N568" s="15">
        <v>22.57</v>
      </c>
      <c r="O568" s="24">
        <v>304060</v>
      </c>
      <c r="P568" s="17">
        <v>476540</v>
      </c>
      <c r="Q568" s="16">
        <v>442093</v>
      </c>
      <c r="R568" s="19" t="s">
        <v>76</v>
      </c>
      <c r="S568" s="20" t="s">
        <v>39</v>
      </c>
      <c r="T568">
        <v>30966.15</v>
      </c>
    </row>
    <row r="569" spans="1:20" x14ac:dyDescent="0.25">
      <c r="A569" t="str">
        <f>(COUNTIF($K$2:K569,K569))&amp;K569</f>
        <v>3430800</v>
      </c>
      <c r="B569" s="34" t="s">
        <v>91</v>
      </c>
      <c r="C569" s="13" t="s">
        <v>40</v>
      </c>
      <c r="D569" s="14" t="s">
        <v>76</v>
      </c>
      <c r="E569" s="16">
        <v>155542</v>
      </c>
      <c r="F569" s="17">
        <v>208200</v>
      </c>
      <c r="G569" s="24">
        <v>65580</v>
      </c>
      <c r="H569" s="15">
        <v>21.82</v>
      </c>
      <c r="I569" s="15">
        <v>18.649999999999999</v>
      </c>
      <c r="J569" s="15">
        <v>292.3</v>
      </c>
      <c r="K569" s="18">
        <v>30800</v>
      </c>
      <c r="L569" s="15">
        <v>131.80000000000001</v>
      </c>
      <c r="M569" s="15">
        <v>-59.35</v>
      </c>
      <c r="N569" s="15">
        <v>22.28</v>
      </c>
      <c r="O569" s="24">
        <v>316700</v>
      </c>
      <c r="P569" s="17">
        <v>574340</v>
      </c>
      <c r="Q569" s="16">
        <v>453928</v>
      </c>
      <c r="R569" s="19" t="s">
        <v>76</v>
      </c>
      <c r="S569" s="20" t="s">
        <v>39</v>
      </c>
      <c r="T569">
        <v>30966.15</v>
      </c>
    </row>
    <row r="570" spans="1:20" x14ac:dyDescent="0.25">
      <c r="A570" t="str">
        <f>(COUNTIF($K$2:K570,K570))&amp;K570</f>
        <v>3430900</v>
      </c>
      <c r="B570" s="34" t="s">
        <v>91</v>
      </c>
      <c r="C570" s="13" t="s">
        <v>40</v>
      </c>
      <c r="D570" s="14" t="s">
        <v>76</v>
      </c>
      <c r="E570" s="16">
        <v>277020</v>
      </c>
      <c r="F570" s="17">
        <v>393380</v>
      </c>
      <c r="G570" s="24">
        <v>173180</v>
      </c>
      <c r="H570" s="15">
        <v>21.48</v>
      </c>
      <c r="I570" s="15">
        <v>12.15</v>
      </c>
      <c r="J570" s="15">
        <v>233</v>
      </c>
      <c r="K570" s="18">
        <v>30900</v>
      </c>
      <c r="L570" s="15">
        <v>171.2</v>
      </c>
      <c r="M570" s="15">
        <v>-65.3</v>
      </c>
      <c r="N570" s="15">
        <v>22.03</v>
      </c>
      <c r="O570" s="24">
        <v>313760</v>
      </c>
      <c r="P570" s="17">
        <v>522480</v>
      </c>
      <c r="Q570" s="16">
        <v>387005</v>
      </c>
      <c r="R570" s="19" t="s">
        <v>76</v>
      </c>
      <c r="S570" s="20" t="s">
        <v>39</v>
      </c>
      <c r="T570">
        <v>30966.15</v>
      </c>
    </row>
    <row r="571" spans="1:20" ht="15.75" x14ac:dyDescent="0.25">
      <c r="A571" t="str">
        <f>(COUNTIF($K$2:K571,K571))&amp;K571</f>
        <v>3431000</v>
      </c>
      <c r="B571" s="34" t="s">
        <v>91</v>
      </c>
      <c r="C571" s="13" t="s">
        <v>40</v>
      </c>
      <c r="D571" s="14" t="s">
        <v>76</v>
      </c>
      <c r="E571" s="16">
        <v>614557</v>
      </c>
      <c r="F571" s="17">
        <v>1075040</v>
      </c>
      <c r="G571" s="24">
        <v>296780</v>
      </c>
      <c r="H571" s="15">
        <v>21.62</v>
      </c>
      <c r="I571" s="15">
        <v>5.4</v>
      </c>
      <c r="J571" s="15">
        <v>183.2</v>
      </c>
      <c r="K571" s="21">
        <v>31000</v>
      </c>
      <c r="L571" s="15">
        <v>218.2</v>
      </c>
      <c r="M571" s="15">
        <v>-73.75</v>
      </c>
      <c r="N571" s="15">
        <v>21.96</v>
      </c>
      <c r="O571" s="24">
        <v>331920</v>
      </c>
      <c r="P571" s="17">
        <v>783140</v>
      </c>
      <c r="Q571" s="16">
        <v>380615</v>
      </c>
      <c r="R571" s="19" t="s">
        <v>76</v>
      </c>
      <c r="S571" s="20" t="s">
        <v>39</v>
      </c>
      <c r="T571">
        <v>30966.15</v>
      </c>
    </row>
    <row r="572" spans="1:20" x14ac:dyDescent="0.25">
      <c r="A572" t="str">
        <f>(COUNTIF($K$2:K572,K572))&amp;K572</f>
        <v>3431100</v>
      </c>
      <c r="B572" s="34" t="s">
        <v>91</v>
      </c>
      <c r="C572" s="13" t="s">
        <v>39</v>
      </c>
      <c r="D572" s="14" t="s">
        <v>76</v>
      </c>
      <c r="E572" s="16">
        <v>381974</v>
      </c>
      <c r="F572" s="17">
        <v>504360</v>
      </c>
      <c r="G572" s="24">
        <v>134440</v>
      </c>
      <c r="H572" s="15">
        <v>21.63</v>
      </c>
      <c r="I572" s="15">
        <v>-0.3</v>
      </c>
      <c r="J572" s="15">
        <v>139.94999999999999</v>
      </c>
      <c r="K572" s="18">
        <v>31100</v>
      </c>
      <c r="L572" s="15">
        <v>275.75</v>
      </c>
      <c r="M572" s="15">
        <v>-77.7</v>
      </c>
      <c r="N572" s="15">
        <v>22.1</v>
      </c>
      <c r="O572" s="24">
        <v>50900</v>
      </c>
      <c r="P572" s="17">
        <v>155160</v>
      </c>
      <c r="Q572" s="16">
        <v>86630</v>
      </c>
      <c r="R572" s="19" t="s">
        <v>76</v>
      </c>
      <c r="S572" s="20" t="s">
        <v>39</v>
      </c>
      <c r="T572">
        <v>30966.15</v>
      </c>
    </row>
    <row r="573" spans="1:20" x14ac:dyDescent="0.25">
      <c r="A573" t="str">
        <f>(COUNTIF($K$2:K573,K573))&amp;K573</f>
        <v>3431200</v>
      </c>
      <c r="B573" s="34" t="s">
        <v>91</v>
      </c>
      <c r="C573" s="13" t="s">
        <v>39</v>
      </c>
      <c r="D573" s="14" t="s">
        <v>76</v>
      </c>
      <c r="E573" s="16">
        <v>583803</v>
      </c>
      <c r="F573" s="17">
        <v>712080</v>
      </c>
      <c r="G573" s="24">
        <v>152680</v>
      </c>
      <c r="H573" s="15">
        <v>21.75</v>
      </c>
      <c r="I573" s="15">
        <v>-4.0999999999999996</v>
      </c>
      <c r="J573" s="15">
        <v>106.75</v>
      </c>
      <c r="K573" s="18">
        <v>31200</v>
      </c>
      <c r="L573" s="15">
        <v>342.25</v>
      </c>
      <c r="M573" s="15">
        <v>-83</v>
      </c>
      <c r="N573" s="15">
        <v>22.2</v>
      </c>
      <c r="O573" s="24">
        <v>15420</v>
      </c>
      <c r="P573" s="17">
        <v>120520</v>
      </c>
      <c r="Q573" s="16">
        <v>49269</v>
      </c>
      <c r="R573" s="19" t="s">
        <v>76</v>
      </c>
      <c r="S573" s="20" t="s">
        <v>39</v>
      </c>
      <c r="T573">
        <v>30966.15</v>
      </c>
    </row>
    <row r="574" spans="1:20" x14ac:dyDescent="0.25">
      <c r="A574" t="str">
        <f>(COUNTIF($K$2:K574,K574))&amp;K574</f>
        <v>3431300</v>
      </c>
      <c r="B574" s="34" t="s">
        <v>91</v>
      </c>
      <c r="C574" s="13" t="s">
        <v>39</v>
      </c>
      <c r="D574" s="14" t="s">
        <v>76</v>
      </c>
      <c r="E574" s="16">
        <v>414330</v>
      </c>
      <c r="F574" s="17">
        <v>633900</v>
      </c>
      <c r="G574" s="24">
        <v>186220</v>
      </c>
      <c r="H574" s="15">
        <v>21.86</v>
      </c>
      <c r="I574" s="15">
        <v>-6.8</v>
      </c>
      <c r="J574" s="15">
        <v>78.75</v>
      </c>
      <c r="K574" s="18">
        <v>31300</v>
      </c>
      <c r="L574" s="15">
        <v>414.3</v>
      </c>
      <c r="M574" s="15">
        <v>-94.4</v>
      </c>
      <c r="N574" s="15">
        <v>21.78</v>
      </c>
      <c r="O574" s="24">
        <v>-5440</v>
      </c>
      <c r="P574" s="17">
        <v>97740</v>
      </c>
      <c r="Q574" s="16">
        <v>13108</v>
      </c>
      <c r="R574" s="19" t="s">
        <v>77</v>
      </c>
      <c r="S574" s="20" t="s">
        <v>37</v>
      </c>
      <c r="T574">
        <v>30966.15</v>
      </c>
    </row>
    <row r="575" spans="1:20" x14ac:dyDescent="0.25">
      <c r="A575" t="str">
        <f>(COUNTIF($K$2:K575,K575))&amp;K575</f>
        <v>3431400</v>
      </c>
      <c r="B575" s="34" t="s">
        <v>91</v>
      </c>
      <c r="C575" s="13" t="s">
        <v>39</v>
      </c>
      <c r="D575" s="14" t="s">
        <v>76</v>
      </c>
      <c r="E575" s="16">
        <v>366184</v>
      </c>
      <c r="F575" s="17">
        <v>540720</v>
      </c>
      <c r="G575" s="24">
        <v>147560</v>
      </c>
      <c r="H575" s="15">
        <v>21.98</v>
      </c>
      <c r="I575" s="15">
        <v>-9.6999999999999993</v>
      </c>
      <c r="J575" s="15">
        <v>56.15</v>
      </c>
      <c r="K575" s="18">
        <v>31400</v>
      </c>
      <c r="L575" s="15">
        <v>494.6</v>
      </c>
      <c r="M575" s="15">
        <v>-87.35</v>
      </c>
      <c r="N575" s="15">
        <v>21.85</v>
      </c>
      <c r="O575" s="24">
        <v>4260</v>
      </c>
      <c r="P575" s="17">
        <v>54740</v>
      </c>
      <c r="Q575" s="16">
        <v>4243</v>
      </c>
      <c r="R575" s="19" t="s">
        <v>76</v>
      </c>
      <c r="S575" s="20" t="s">
        <v>39</v>
      </c>
      <c r="T575">
        <v>30966.15</v>
      </c>
    </row>
    <row r="576" spans="1:20" x14ac:dyDescent="0.25">
      <c r="A576" t="str">
        <f>(COUNTIF($K$2:K576,K576))&amp;K576</f>
        <v>3431500</v>
      </c>
      <c r="B576" s="34" t="s">
        <v>91</v>
      </c>
      <c r="C576" s="13" t="s">
        <v>39</v>
      </c>
      <c r="D576" s="14" t="s">
        <v>76</v>
      </c>
      <c r="E576" s="16">
        <v>540537</v>
      </c>
      <c r="F576" s="17">
        <v>1441560</v>
      </c>
      <c r="G576" s="24">
        <v>247200</v>
      </c>
      <c r="H576" s="15">
        <v>22.3</v>
      </c>
      <c r="I576" s="15">
        <v>-8.9499999999999993</v>
      </c>
      <c r="J576" s="15">
        <v>41</v>
      </c>
      <c r="K576" s="18">
        <v>31500</v>
      </c>
      <c r="L576" s="15">
        <v>580</v>
      </c>
      <c r="M576" s="15">
        <v>-87.3</v>
      </c>
      <c r="N576" s="15">
        <v>22.39</v>
      </c>
      <c r="O576" s="24">
        <v>3560</v>
      </c>
      <c r="P576" s="17">
        <v>471660</v>
      </c>
      <c r="Q576" s="16">
        <v>6865</v>
      </c>
      <c r="R576" s="19" t="s">
        <v>76</v>
      </c>
      <c r="S576" s="20" t="s">
        <v>39</v>
      </c>
      <c r="T576">
        <v>30966.15</v>
      </c>
    </row>
    <row r="577" spans="1:20" x14ac:dyDescent="0.25">
      <c r="A577" t="str">
        <f>(COUNTIF($K$2:K577,K577))&amp;K577</f>
        <v>3431600</v>
      </c>
      <c r="B577" s="34" t="s">
        <v>91</v>
      </c>
      <c r="C577" s="13" t="s">
        <v>39</v>
      </c>
      <c r="D577" s="14" t="s">
        <v>76</v>
      </c>
      <c r="E577" s="16">
        <v>213786</v>
      </c>
      <c r="F577" s="17">
        <v>359540</v>
      </c>
      <c r="G577" s="24">
        <v>75320</v>
      </c>
      <c r="H577" s="15">
        <v>22.39</v>
      </c>
      <c r="I577" s="15">
        <v>-9.15</v>
      </c>
      <c r="J577" s="15">
        <v>28.6</v>
      </c>
      <c r="K577" s="18">
        <v>31600</v>
      </c>
      <c r="L577" s="15">
        <v>665</v>
      </c>
      <c r="M577" s="15">
        <v>-95.85</v>
      </c>
      <c r="N577" s="15">
        <v>24.54</v>
      </c>
      <c r="O577" s="24" t="s">
        <v>14</v>
      </c>
      <c r="P577" s="17">
        <v>17660</v>
      </c>
      <c r="Q577" s="16">
        <v>304</v>
      </c>
      <c r="R577" s="19" t="s">
        <v>76</v>
      </c>
      <c r="S577" s="20" t="s">
        <v>39</v>
      </c>
      <c r="T577">
        <v>30966.15</v>
      </c>
    </row>
    <row r="578" spans="1:20" x14ac:dyDescent="0.25">
      <c r="A578" t="str">
        <f>(COUNTIF($K$2:K578,K578))&amp;K578</f>
        <v>3431700</v>
      </c>
      <c r="B578" s="34" t="s">
        <v>91</v>
      </c>
      <c r="C578" s="13" t="s">
        <v>39</v>
      </c>
      <c r="D578" s="14" t="s">
        <v>76</v>
      </c>
      <c r="E578" s="16">
        <v>141155</v>
      </c>
      <c r="F578" s="17">
        <v>384840</v>
      </c>
      <c r="G578" s="24">
        <v>26880</v>
      </c>
      <c r="H578" s="15">
        <v>22.67</v>
      </c>
      <c r="I578" s="15">
        <v>-8.15</v>
      </c>
      <c r="J578" s="15">
        <v>20</v>
      </c>
      <c r="K578" s="18">
        <v>31700</v>
      </c>
      <c r="L578" s="15">
        <v>748.05</v>
      </c>
      <c r="M578" s="15">
        <v>-95.65</v>
      </c>
      <c r="N578" s="15">
        <v>26.79</v>
      </c>
      <c r="O578" s="24">
        <v>-1240</v>
      </c>
      <c r="P578" s="17">
        <v>10100</v>
      </c>
      <c r="Q578" s="16">
        <v>319</v>
      </c>
      <c r="R578" s="19" t="s">
        <v>77</v>
      </c>
      <c r="S578" s="20" t="s">
        <v>37</v>
      </c>
      <c r="T578">
        <v>30966.15</v>
      </c>
    </row>
    <row r="579" spans="1:20" x14ac:dyDescent="0.25">
      <c r="A579" t="str">
        <f>(COUNTIF($K$2:K579,K579))&amp;K579</f>
        <v>34PCR</v>
      </c>
      <c r="B579" s="34" t="s">
        <v>91</v>
      </c>
      <c r="C579" s="41">
        <v>0.83480357360634672</v>
      </c>
      <c r="E579" s="33"/>
      <c r="F579" s="39">
        <v>6395780</v>
      </c>
      <c r="G579" s="40"/>
      <c r="H579" s="38"/>
      <c r="I579" s="38"/>
      <c r="J579" s="38"/>
      <c r="K579" s="56" t="s">
        <v>57</v>
      </c>
      <c r="L579" s="38"/>
      <c r="M579" s="38"/>
      <c r="N579" s="38"/>
      <c r="P579" s="40">
        <v>5339220</v>
      </c>
      <c r="Q579" s="33"/>
      <c r="R579" s="38"/>
      <c r="S579" s="38"/>
    </row>
    <row r="580" spans="1:20" x14ac:dyDescent="0.25">
      <c r="A580" t="str">
        <f>(COUNTIF($K$2:K580,K580))&amp;K580</f>
        <v>3530200</v>
      </c>
      <c r="B580" s="34" t="s">
        <v>91</v>
      </c>
      <c r="C580" s="13" t="s">
        <v>74</v>
      </c>
      <c r="D580" s="14" t="s">
        <v>76</v>
      </c>
      <c r="E580" s="16">
        <v>168</v>
      </c>
      <c r="F580" s="17">
        <v>1440</v>
      </c>
      <c r="G580" s="24">
        <v>1020</v>
      </c>
      <c r="H580" s="15">
        <v>27.63</v>
      </c>
      <c r="I580" s="15">
        <v>100.2</v>
      </c>
      <c r="J580" s="15">
        <v>821.15</v>
      </c>
      <c r="K580" s="18">
        <v>30200</v>
      </c>
      <c r="L580" s="15">
        <v>20.7</v>
      </c>
      <c r="M580" s="15">
        <v>-19.45</v>
      </c>
      <c r="N580" s="15">
        <v>24.46</v>
      </c>
      <c r="O580" s="24">
        <v>27900</v>
      </c>
      <c r="P580" s="17">
        <v>241960</v>
      </c>
      <c r="Q580" s="16">
        <v>158498</v>
      </c>
      <c r="R580" s="19" t="s">
        <v>76</v>
      </c>
      <c r="S580" s="20" t="s">
        <v>39</v>
      </c>
      <c r="T580">
        <v>30966.15</v>
      </c>
    </row>
    <row r="581" spans="1:20" x14ac:dyDescent="0.25">
      <c r="A581" t="str">
        <f>(COUNTIF($K$2:K581,K581))&amp;K581</f>
        <v>3530300</v>
      </c>
      <c r="B581" s="34" t="s">
        <v>91</v>
      </c>
      <c r="C581" s="13" t="s">
        <v>40</v>
      </c>
      <c r="D581" s="14" t="s">
        <v>76</v>
      </c>
      <c r="E581" s="16">
        <v>599</v>
      </c>
      <c r="F581" s="17">
        <v>4860</v>
      </c>
      <c r="G581" s="24">
        <v>2700</v>
      </c>
      <c r="H581" s="15">
        <v>21.31</v>
      </c>
      <c r="I581" s="15">
        <v>59.25</v>
      </c>
      <c r="J581" s="15">
        <v>688.9</v>
      </c>
      <c r="K581" s="18">
        <v>30300</v>
      </c>
      <c r="L581" s="15">
        <v>29.1</v>
      </c>
      <c r="M581" s="15">
        <v>-23.55</v>
      </c>
      <c r="N581" s="15">
        <v>24.06</v>
      </c>
      <c r="O581" s="24">
        <v>86100</v>
      </c>
      <c r="P581" s="17">
        <v>232400</v>
      </c>
      <c r="Q581" s="16">
        <v>202706</v>
      </c>
      <c r="R581" s="19" t="s">
        <v>76</v>
      </c>
      <c r="S581" s="20" t="s">
        <v>39</v>
      </c>
      <c r="T581">
        <v>30966.15</v>
      </c>
    </row>
    <row r="582" spans="1:20" x14ac:dyDescent="0.25">
      <c r="A582" t="str">
        <f>(COUNTIF($K$2:K582,K582))&amp;K582</f>
        <v>3530400</v>
      </c>
      <c r="B582" s="34" t="s">
        <v>91</v>
      </c>
      <c r="C582" s="13" t="s">
        <v>40</v>
      </c>
      <c r="D582" s="14" t="s">
        <v>76</v>
      </c>
      <c r="E582" s="16">
        <v>907</v>
      </c>
      <c r="F582" s="17">
        <v>2280</v>
      </c>
      <c r="G582" s="24">
        <v>880</v>
      </c>
      <c r="H582" s="15">
        <v>24.88</v>
      </c>
      <c r="I582" s="15">
        <v>60.65</v>
      </c>
      <c r="J582" s="15">
        <v>614</v>
      </c>
      <c r="K582" s="18">
        <v>30400</v>
      </c>
      <c r="L582" s="15">
        <v>40.15</v>
      </c>
      <c r="M582" s="15">
        <v>-29.6</v>
      </c>
      <c r="N582" s="15">
        <v>23.57</v>
      </c>
      <c r="O582" s="24">
        <v>154760</v>
      </c>
      <c r="P582" s="17">
        <v>286080</v>
      </c>
      <c r="Q582" s="16">
        <v>299789</v>
      </c>
      <c r="R582" s="19" t="s">
        <v>76</v>
      </c>
      <c r="S582" s="20" t="s">
        <v>39</v>
      </c>
      <c r="T582">
        <v>30966.15</v>
      </c>
    </row>
    <row r="583" spans="1:20" x14ac:dyDescent="0.25">
      <c r="A583" t="str">
        <f>(COUNTIF($K$2:K583,K583))&amp;K583</f>
        <v>3530500</v>
      </c>
      <c r="B583" s="34" t="s">
        <v>91</v>
      </c>
      <c r="C583" s="13" t="s">
        <v>40</v>
      </c>
      <c r="D583" s="14" t="s">
        <v>76</v>
      </c>
      <c r="E583" s="16">
        <v>13343</v>
      </c>
      <c r="F583" s="17">
        <v>57600</v>
      </c>
      <c r="G583" s="24">
        <v>9580</v>
      </c>
      <c r="H583" s="15">
        <v>22.2</v>
      </c>
      <c r="I583" s="15">
        <v>43.55</v>
      </c>
      <c r="J583" s="15">
        <v>517.1</v>
      </c>
      <c r="K583" s="18">
        <v>30500</v>
      </c>
      <c r="L583" s="15">
        <v>54.95</v>
      </c>
      <c r="M583" s="15">
        <v>-37.299999999999997</v>
      </c>
      <c r="N583" s="15">
        <v>23.26</v>
      </c>
      <c r="O583" s="24">
        <v>331060</v>
      </c>
      <c r="P583" s="17">
        <v>869400</v>
      </c>
      <c r="Q583" s="16">
        <v>648532</v>
      </c>
      <c r="R583" s="19" t="s">
        <v>76</v>
      </c>
      <c r="S583" s="20" t="s">
        <v>39</v>
      </c>
      <c r="T583">
        <v>30966.15</v>
      </c>
    </row>
    <row r="584" spans="1:20" x14ac:dyDescent="0.25">
      <c r="A584" t="str">
        <f>(COUNTIF($K$2:K584,K584))&amp;K584</f>
        <v>3530600</v>
      </c>
      <c r="B584" s="34" t="s">
        <v>91</v>
      </c>
      <c r="C584" s="13" t="s">
        <v>40</v>
      </c>
      <c r="D584" s="14" t="s">
        <v>76</v>
      </c>
      <c r="E584" s="16">
        <v>10755</v>
      </c>
      <c r="F584" s="17">
        <v>20080</v>
      </c>
      <c r="G584" s="24">
        <v>3700</v>
      </c>
      <c r="H584" s="15">
        <v>22.95</v>
      </c>
      <c r="I584" s="15">
        <v>37.35</v>
      </c>
      <c r="J584" s="15">
        <v>440.9</v>
      </c>
      <c r="K584" s="18">
        <v>30600</v>
      </c>
      <c r="L584" s="15">
        <v>74.599999999999994</v>
      </c>
      <c r="M584" s="15">
        <v>-43.65</v>
      </c>
      <c r="N584" s="15">
        <v>22.94</v>
      </c>
      <c r="O584" s="24">
        <v>251480</v>
      </c>
      <c r="P584" s="17">
        <v>425300</v>
      </c>
      <c r="Q584" s="16">
        <v>372692</v>
      </c>
      <c r="R584" s="19" t="s">
        <v>76</v>
      </c>
      <c r="S584" s="20" t="s">
        <v>39</v>
      </c>
      <c r="T584">
        <v>30966.15</v>
      </c>
    </row>
    <row r="585" spans="1:20" x14ac:dyDescent="0.25">
      <c r="A585" t="str">
        <f>(COUNTIF($K$2:K585,K585))&amp;K585</f>
        <v>3530700</v>
      </c>
      <c r="B585" s="34" t="s">
        <v>91</v>
      </c>
      <c r="C585" s="13" t="s">
        <v>40</v>
      </c>
      <c r="D585" s="14" t="s">
        <v>76</v>
      </c>
      <c r="E585" s="16">
        <v>48095</v>
      </c>
      <c r="F585" s="17">
        <v>55900</v>
      </c>
      <c r="G585" s="24">
        <v>27700</v>
      </c>
      <c r="H585" s="15">
        <v>21.85</v>
      </c>
      <c r="I585" s="15">
        <v>28.25</v>
      </c>
      <c r="J585" s="15">
        <v>360.7</v>
      </c>
      <c r="K585" s="18">
        <v>30700</v>
      </c>
      <c r="L585" s="15">
        <v>99.85</v>
      </c>
      <c r="M585" s="15">
        <v>-52.35</v>
      </c>
      <c r="N585" s="15">
        <v>22.57</v>
      </c>
      <c r="O585" s="24">
        <v>304060</v>
      </c>
      <c r="P585" s="17">
        <v>476540</v>
      </c>
      <c r="Q585" s="16">
        <v>442093</v>
      </c>
      <c r="R585" s="19" t="s">
        <v>76</v>
      </c>
      <c r="S585" s="20" t="s">
        <v>39</v>
      </c>
      <c r="T585">
        <v>30966.15</v>
      </c>
    </row>
    <row r="586" spans="1:20" x14ac:dyDescent="0.25">
      <c r="A586" t="str">
        <f>(COUNTIF($K$2:K586,K586))&amp;K586</f>
        <v>3530800</v>
      </c>
      <c r="B586" s="34" t="s">
        <v>91</v>
      </c>
      <c r="C586" s="13" t="s">
        <v>40</v>
      </c>
      <c r="D586" s="14" t="s">
        <v>76</v>
      </c>
      <c r="E586" s="16">
        <v>155542</v>
      </c>
      <c r="F586" s="17">
        <v>208200</v>
      </c>
      <c r="G586" s="24">
        <v>65580</v>
      </c>
      <c r="H586" s="15">
        <v>21.82</v>
      </c>
      <c r="I586" s="15">
        <v>18.649999999999999</v>
      </c>
      <c r="J586" s="15">
        <v>292.3</v>
      </c>
      <c r="K586" s="18">
        <v>30800</v>
      </c>
      <c r="L586" s="15">
        <v>131.80000000000001</v>
      </c>
      <c r="M586" s="15">
        <v>-59.35</v>
      </c>
      <c r="N586" s="15">
        <v>22.28</v>
      </c>
      <c r="O586" s="24">
        <v>316700</v>
      </c>
      <c r="P586" s="17">
        <v>574340</v>
      </c>
      <c r="Q586" s="16">
        <v>453928</v>
      </c>
      <c r="R586" s="19" t="s">
        <v>76</v>
      </c>
      <c r="S586" s="20" t="s">
        <v>39</v>
      </c>
      <c r="T586">
        <v>30966.15</v>
      </c>
    </row>
    <row r="587" spans="1:20" x14ac:dyDescent="0.25">
      <c r="A587" t="str">
        <f>(COUNTIF($K$2:K587,K587))&amp;K587</f>
        <v>3530900</v>
      </c>
      <c r="B587" s="34" t="s">
        <v>91</v>
      </c>
      <c r="C587" s="13" t="s">
        <v>40</v>
      </c>
      <c r="D587" s="14" t="s">
        <v>76</v>
      </c>
      <c r="E587" s="16">
        <v>277020</v>
      </c>
      <c r="F587" s="17">
        <v>393380</v>
      </c>
      <c r="G587" s="24">
        <v>173180</v>
      </c>
      <c r="H587" s="15">
        <v>21.48</v>
      </c>
      <c r="I587" s="15">
        <v>12.15</v>
      </c>
      <c r="J587" s="15">
        <v>233</v>
      </c>
      <c r="K587" s="18">
        <v>30900</v>
      </c>
      <c r="L587" s="15">
        <v>171.2</v>
      </c>
      <c r="M587" s="15">
        <v>-65.3</v>
      </c>
      <c r="N587" s="15">
        <v>22.03</v>
      </c>
      <c r="O587" s="24">
        <v>313760</v>
      </c>
      <c r="P587" s="17">
        <v>522480</v>
      </c>
      <c r="Q587" s="16">
        <v>387005</v>
      </c>
      <c r="R587" s="19" t="s">
        <v>76</v>
      </c>
      <c r="S587" s="20" t="s">
        <v>39</v>
      </c>
      <c r="T587">
        <v>30966.15</v>
      </c>
    </row>
    <row r="588" spans="1:20" ht="15.75" x14ac:dyDescent="0.25">
      <c r="A588" t="str">
        <f>(COUNTIF($K$2:K588,K588))&amp;K588</f>
        <v>3531000</v>
      </c>
      <c r="B588" s="34" t="s">
        <v>91</v>
      </c>
      <c r="C588" s="13" t="s">
        <v>40</v>
      </c>
      <c r="D588" s="14" t="s">
        <v>76</v>
      </c>
      <c r="E588" s="16">
        <v>614557</v>
      </c>
      <c r="F588" s="17">
        <v>1075040</v>
      </c>
      <c r="G588" s="24">
        <v>296780</v>
      </c>
      <c r="H588" s="15">
        <v>21.62</v>
      </c>
      <c r="I588" s="15">
        <v>5.4</v>
      </c>
      <c r="J588" s="15">
        <v>183.2</v>
      </c>
      <c r="K588" s="21">
        <v>31000</v>
      </c>
      <c r="L588" s="15">
        <v>218.2</v>
      </c>
      <c r="M588" s="15">
        <v>-73.75</v>
      </c>
      <c r="N588" s="15">
        <v>21.96</v>
      </c>
      <c r="O588" s="24">
        <v>331920</v>
      </c>
      <c r="P588" s="17">
        <v>783140</v>
      </c>
      <c r="Q588" s="16">
        <v>380615</v>
      </c>
      <c r="R588" s="19" t="s">
        <v>76</v>
      </c>
      <c r="S588" s="20" t="s">
        <v>39</v>
      </c>
      <c r="T588">
        <v>30966.15</v>
      </c>
    </row>
    <row r="589" spans="1:20" x14ac:dyDescent="0.25">
      <c r="A589" t="str">
        <f>(COUNTIF($K$2:K589,K589))&amp;K589</f>
        <v>3531100</v>
      </c>
      <c r="B589" s="34" t="s">
        <v>91</v>
      </c>
      <c r="C589" s="13" t="s">
        <v>39</v>
      </c>
      <c r="D589" s="14" t="s">
        <v>76</v>
      </c>
      <c r="E589" s="16">
        <v>381974</v>
      </c>
      <c r="F589" s="17">
        <v>504360</v>
      </c>
      <c r="G589" s="24">
        <v>134440</v>
      </c>
      <c r="H589" s="15">
        <v>21.63</v>
      </c>
      <c r="I589" s="15">
        <v>-0.3</v>
      </c>
      <c r="J589" s="15">
        <v>139.94999999999999</v>
      </c>
      <c r="K589" s="18">
        <v>31100</v>
      </c>
      <c r="L589" s="15">
        <v>275.75</v>
      </c>
      <c r="M589" s="15">
        <v>-77.7</v>
      </c>
      <c r="N589" s="15">
        <v>22.1</v>
      </c>
      <c r="O589" s="24">
        <v>50900</v>
      </c>
      <c r="P589" s="17">
        <v>155160</v>
      </c>
      <c r="Q589" s="16">
        <v>86630</v>
      </c>
      <c r="R589" s="19" t="s">
        <v>76</v>
      </c>
      <c r="S589" s="20" t="s">
        <v>39</v>
      </c>
      <c r="T589">
        <v>30966.15</v>
      </c>
    </row>
    <row r="590" spans="1:20" x14ac:dyDescent="0.25">
      <c r="A590" t="str">
        <f>(COUNTIF($K$2:K590,K590))&amp;K590</f>
        <v>3531200</v>
      </c>
      <c r="B590" s="34" t="s">
        <v>91</v>
      </c>
      <c r="C590" s="13" t="s">
        <v>39</v>
      </c>
      <c r="D590" s="14" t="s">
        <v>76</v>
      </c>
      <c r="E590" s="16">
        <v>583803</v>
      </c>
      <c r="F590" s="17">
        <v>712080</v>
      </c>
      <c r="G590" s="24">
        <v>152680</v>
      </c>
      <c r="H590" s="15">
        <v>21.75</v>
      </c>
      <c r="I590" s="15">
        <v>-4.0999999999999996</v>
      </c>
      <c r="J590" s="15">
        <v>106.75</v>
      </c>
      <c r="K590" s="18">
        <v>31200</v>
      </c>
      <c r="L590" s="15">
        <v>342.25</v>
      </c>
      <c r="M590" s="15">
        <v>-83</v>
      </c>
      <c r="N590" s="15">
        <v>22.2</v>
      </c>
      <c r="O590" s="24">
        <v>15420</v>
      </c>
      <c r="P590" s="17">
        <v>120520</v>
      </c>
      <c r="Q590" s="16">
        <v>49269</v>
      </c>
      <c r="R590" s="19" t="s">
        <v>76</v>
      </c>
      <c r="S590" s="20" t="s">
        <v>39</v>
      </c>
      <c r="T590">
        <v>30966.15</v>
      </c>
    </row>
    <row r="591" spans="1:20" x14ac:dyDescent="0.25">
      <c r="A591" t="str">
        <f>(COUNTIF($K$2:K591,K591))&amp;K591</f>
        <v>3531300</v>
      </c>
      <c r="B591" s="34" t="s">
        <v>91</v>
      </c>
      <c r="C591" s="13" t="s">
        <v>39</v>
      </c>
      <c r="D591" s="14" t="s">
        <v>76</v>
      </c>
      <c r="E591" s="16">
        <v>414330</v>
      </c>
      <c r="F591" s="17">
        <v>633900</v>
      </c>
      <c r="G591" s="24">
        <v>186220</v>
      </c>
      <c r="H591" s="15">
        <v>21.86</v>
      </c>
      <c r="I591" s="15">
        <v>-6.8</v>
      </c>
      <c r="J591" s="15">
        <v>78.75</v>
      </c>
      <c r="K591" s="18">
        <v>31300</v>
      </c>
      <c r="L591" s="15">
        <v>414.3</v>
      </c>
      <c r="M591" s="15">
        <v>-94.4</v>
      </c>
      <c r="N591" s="15">
        <v>21.78</v>
      </c>
      <c r="O591" s="24">
        <v>-5440</v>
      </c>
      <c r="P591" s="17">
        <v>97740</v>
      </c>
      <c r="Q591" s="16">
        <v>13108</v>
      </c>
      <c r="R591" s="19" t="s">
        <v>77</v>
      </c>
      <c r="S591" s="20" t="s">
        <v>37</v>
      </c>
      <c r="T591">
        <v>30966.15</v>
      </c>
    </row>
    <row r="592" spans="1:20" x14ac:dyDescent="0.25">
      <c r="A592" t="str">
        <f>(COUNTIF($K$2:K592,K592))&amp;K592</f>
        <v>3531400</v>
      </c>
      <c r="B592" s="34" t="s">
        <v>91</v>
      </c>
      <c r="C592" s="13" t="s">
        <v>39</v>
      </c>
      <c r="D592" s="14" t="s">
        <v>76</v>
      </c>
      <c r="E592" s="16">
        <v>366184</v>
      </c>
      <c r="F592" s="17">
        <v>540720</v>
      </c>
      <c r="G592" s="24">
        <v>147560</v>
      </c>
      <c r="H592" s="15">
        <v>21.98</v>
      </c>
      <c r="I592" s="15">
        <v>-9.6999999999999993</v>
      </c>
      <c r="J592" s="15">
        <v>56.15</v>
      </c>
      <c r="K592" s="18">
        <v>31400</v>
      </c>
      <c r="L592" s="15">
        <v>494.6</v>
      </c>
      <c r="M592" s="15">
        <v>-87.35</v>
      </c>
      <c r="N592" s="15">
        <v>21.85</v>
      </c>
      <c r="O592" s="24">
        <v>4260</v>
      </c>
      <c r="P592" s="17">
        <v>54740</v>
      </c>
      <c r="Q592" s="16">
        <v>4243</v>
      </c>
      <c r="R592" s="19" t="s">
        <v>76</v>
      </c>
      <c r="S592" s="20" t="s">
        <v>39</v>
      </c>
      <c r="T592">
        <v>30966.15</v>
      </c>
    </row>
    <row r="593" spans="1:20" x14ac:dyDescent="0.25">
      <c r="A593" t="str">
        <f>(COUNTIF($K$2:K593,K593))&amp;K593</f>
        <v>3531500</v>
      </c>
      <c r="B593" s="34" t="s">
        <v>91</v>
      </c>
      <c r="C593" s="13" t="s">
        <v>39</v>
      </c>
      <c r="D593" s="14" t="s">
        <v>76</v>
      </c>
      <c r="E593" s="16">
        <v>540537</v>
      </c>
      <c r="F593" s="17">
        <v>1441560</v>
      </c>
      <c r="G593" s="24">
        <v>247200</v>
      </c>
      <c r="H593" s="15">
        <v>22.3</v>
      </c>
      <c r="I593" s="15">
        <v>-8.9499999999999993</v>
      </c>
      <c r="J593" s="15">
        <v>41</v>
      </c>
      <c r="K593" s="18">
        <v>31500</v>
      </c>
      <c r="L593" s="15">
        <v>580</v>
      </c>
      <c r="M593" s="15">
        <v>-87.3</v>
      </c>
      <c r="N593" s="15">
        <v>22.39</v>
      </c>
      <c r="O593" s="24">
        <v>3560</v>
      </c>
      <c r="P593" s="17">
        <v>471660</v>
      </c>
      <c r="Q593" s="16">
        <v>6865</v>
      </c>
      <c r="R593" s="19" t="s">
        <v>76</v>
      </c>
      <c r="S593" s="20" t="s">
        <v>39</v>
      </c>
      <c r="T593">
        <v>30966.15</v>
      </c>
    </row>
    <row r="594" spans="1:20" x14ac:dyDescent="0.25">
      <c r="A594" t="str">
        <f>(COUNTIF($K$2:K594,K594))&amp;K594</f>
        <v>3531600</v>
      </c>
      <c r="B594" s="34" t="s">
        <v>91</v>
      </c>
      <c r="C594" s="13" t="s">
        <v>39</v>
      </c>
      <c r="D594" s="14" t="s">
        <v>76</v>
      </c>
      <c r="E594" s="16">
        <v>213786</v>
      </c>
      <c r="F594" s="17">
        <v>359540</v>
      </c>
      <c r="G594" s="24">
        <v>75320</v>
      </c>
      <c r="H594" s="15">
        <v>22.39</v>
      </c>
      <c r="I594" s="15">
        <v>-9.15</v>
      </c>
      <c r="J594" s="15">
        <v>28.6</v>
      </c>
      <c r="K594" s="18">
        <v>31600</v>
      </c>
      <c r="L594" s="15">
        <v>665</v>
      </c>
      <c r="M594" s="15">
        <v>-95.85</v>
      </c>
      <c r="N594" s="15">
        <v>24.54</v>
      </c>
      <c r="O594" s="24" t="s">
        <v>14</v>
      </c>
      <c r="P594" s="17">
        <v>17660</v>
      </c>
      <c r="Q594" s="16">
        <v>304</v>
      </c>
      <c r="R594" s="19" t="s">
        <v>76</v>
      </c>
      <c r="S594" s="20" t="s">
        <v>39</v>
      </c>
      <c r="T594">
        <v>30966.15</v>
      </c>
    </row>
    <row r="595" spans="1:20" x14ac:dyDescent="0.25">
      <c r="A595" t="str">
        <f>(COUNTIF($K$2:K595,K595))&amp;K595</f>
        <v>3531700</v>
      </c>
      <c r="B595" s="34" t="s">
        <v>91</v>
      </c>
      <c r="C595" s="13" t="s">
        <v>39</v>
      </c>
      <c r="D595" s="14" t="s">
        <v>76</v>
      </c>
      <c r="E595" s="16">
        <v>141155</v>
      </c>
      <c r="F595" s="17">
        <v>384840</v>
      </c>
      <c r="G595" s="24">
        <v>26880</v>
      </c>
      <c r="H595" s="15">
        <v>22.67</v>
      </c>
      <c r="I595" s="15">
        <v>-8.15</v>
      </c>
      <c r="J595" s="15">
        <v>20</v>
      </c>
      <c r="K595" s="18">
        <v>31700</v>
      </c>
      <c r="L595" s="15">
        <v>748.05</v>
      </c>
      <c r="M595" s="15">
        <v>-95.65</v>
      </c>
      <c r="N595" s="15">
        <v>26.79</v>
      </c>
      <c r="O595" s="24">
        <v>-1240</v>
      </c>
      <c r="P595" s="17">
        <v>10100</v>
      </c>
      <c r="Q595" s="16">
        <v>319</v>
      </c>
      <c r="R595" s="19" t="s">
        <v>77</v>
      </c>
      <c r="S595" s="20" t="s">
        <v>37</v>
      </c>
      <c r="T595">
        <v>30966.15</v>
      </c>
    </row>
    <row r="596" spans="1:20" x14ac:dyDescent="0.25">
      <c r="A596" t="str">
        <f>(COUNTIF($K$2:K596,K596))&amp;K596</f>
        <v>35PCR</v>
      </c>
      <c r="B596" s="34" t="s">
        <v>91</v>
      </c>
      <c r="C596" s="41">
        <v>0.83480357360634672</v>
      </c>
      <c r="E596" s="33"/>
      <c r="F596" s="39">
        <v>6395780</v>
      </c>
      <c r="G596" s="40"/>
      <c r="H596" s="38"/>
      <c r="I596" s="38"/>
      <c r="J596" s="38"/>
      <c r="K596" s="56" t="s">
        <v>57</v>
      </c>
      <c r="L596" s="38"/>
      <c r="M596" s="38"/>
      <c r="N596" s="38"/>
      <c r="P596" s="40">
        <v>5339220</v>
      </c>
      <c r="Q596" s="33"/>
      <c r="R596" s="38"/>
      <c r="S596" s="38"/>
    </row>
    <row r="597" spans="1:20" x14ac:dyDescent="0.25">
      <c r="A597" t="str">
        <f>(COUNTIF($K$2:K597,K597))&amp;K597</f>
        <v>3630200</v>
      </c>
      <c r="B597" s="34" t="s">
        <v>91</v>
      </c>
      <c r="C597" s="13" t="s">
        <v>74</v>
      </c>
      <c r="D597" s="14" t="s">
        <v>76</v>
      </c>
      <c r="E597" s="16">
        <v>168</v>
      </c>
      <c r="F597" s="17">
        <v>1440</v>
      </c>
      <c r="G597" s="24">
        <v>1020</v>
      </c>
      <c r="H597" s="15">
        <v>27.63</v>
      </c>
      <c r="I597" s="15">
        <v>100.2</v>
      </c>
      <c r="J597" s="15">
        <v>821.15</v>
      </c>
      <c r="K597" s="18">
        <v>30200</v>
      </c>
      <c r="L597" s="15">
        <v>20.7</v>
      </c>
      <c r="M597" s="15">
        <v>-19.45</v>
      </c>
      <c r="N597" s="15">
        <v>24.46</v>
      </c>
      <c r="O597" s="24">
        <v>27900</v>
      </c>
      <c r="P597" s="17">
        <v>241960</v>
      </c>
      <c r="Q597" s="16">
        <v>158498</v>
      </c>
      <c r="R597" s="19" t="s">
        <v>76</v>
      </c>
      <c r="S597" s="20" t="s">
        <v>39</v>
      </c>
      <c r="T597">
        <v>30966.15</v>
      </c>
    </row>
    <row r="598" spans="1:20" x14ac:dyDescent="0.25">
      <c r="A598" t="str">
        <f>(COUNTIF($K$2:K598,K598))&amp;K598</f>
        <v>3630300</v>
      </c>
      <c r="B598" s="34" t="s">
        <v>91</v>
      </c>
      <c r="C598" s="13" t="s">
        <v>40</v>
      </c>
      <c r="D598" s="14" t="s">
        <v>76</v>
      </c>
      <c r="E598" s="16">
        <v>599</v>
      </c>
      <c r="F598" s="17">
        <v>4860</v>
      </c>
      <c r="G598" s="24">
        <v>2700</v>
      </c>
      <c r="H598" s="15">
        <v>21.31</v>
      </c>
      <c r="I598" s="15">
        <v>59.25</v>
      </c>
      <c r="J598" s="15">
        <v>688.9</v>
      </c>
      <c r="K598" s="18">
        <v>30300</v>
      </c>
      <c r="L598" s="15">
        <v>29.1</v>
      </c>
      <c r="M598" s="15">
        <v>-23.55</v>
      </c>
      <c r="N598" s="15">
        <v>24.06</v>
      </c>
      <c r="O598" s="24">
        <v>86100</v>
      </c>
      <c r="P598" s="17">
        <v>232400</v>
      </c>
      <c r="Q598" s="16">
        <v>202706</v>
      </c>
      <c r="R598" s="19" t="s">
        <v>76</v>
      </c>
      <c r="S598" s="20" t="s">
        <v>39</v>
      </c>
      <c r="T598">
        <v>30966.15</v>
      </c>
    </row>
    <row r="599" spans="1:20" x14ac:dyDescent="0.25">
      <c r="A599" t="str">
        <f>(COUNTIF($K$2:K599,K599))&amp;K599</f>
        <v>3630400</v>
      </c>
      <c r="B599" s="34" t="s">
        <v>91</v>
      </c>
      <c r="C599" s="13" t="s">
        <v>40</v>
      </c>
      <c r="D599" s="14" t="s">
        <v>76</v>
      </c>
      <c r="E599" s="16">
        <v>907</v>
      </c>
      <c r="F599" s="17">
        <v>2280</v>
      </c>
      <c r="G599" s="24">
        <v>880</v>
      </c>
      <c r="H599" s="15">
        <v>24.88</v>
      </c>
      <c r="I599" s="15">
        <v>60.65</v>
      </c>
      <c r="J599" s="15">
        <v>614</v>
      </c>
      <c r="K599" s="18">
        <v>30400</v>
      </c>
      <c r="L599" s="15">
        <v>40.15</v>
      </c>
      <c r="M599" s="15">
        <v>-29.6</v>
      </c>
      <c r="N599" s="15">
        <v>23.57</v>
      </c>
      <c r="O599" s="24">
        <v>154760</v>
      </c>
      <c r="P599" s="17">
        <v>286080</v>
      </c>
      <c r="Q599" s="16">
        <v>299789</v>
      </c>
      <c r="R599" s="19" t="s">
        <v>76</v>
      </c>
      <c r="S599" s="20" t="s">
        <v>39</v>
      </c>
      <c r="T599">
        <v>30966.15</v>
      </c>
    </row>
    <row r="600" spans="1:20" x14ac:dyDescent="0.25">
      <c r="A600" t="str">
        <f>(COUNTIF($K$2:K600,K600))&amp;K600</f>
        <v>3630500</v>
      </c>
      <c r="B600" s="34" t="s">
        <v>91</v>
      </c>
      <c r="C600" s="13" t="s">
        <v>40</v>
      </c>
      <c r="D600" s="14" t="s">
        <v>76</v>
      </c>
      <c r="E600" s="16">
        <v>13343</v>
      </c>
      <c r="F600" s="17">
        <v>57600</v>
      </c>
      <c r="G600" s="24">
        <v>9580</v>
      </c>
      <c r="H600" s="15">
        <v>22.2</v>
      </c>
      <c r="I600" s="15">
        <v>43.55</v>
      </c>
      <c r="J600" s="15">
        <v>517.1</v>
      </c>
      <c r="K600" s="18">
        <v>30500</v>
      </c>
      <c r="L600" s="15">
        <v>54.95</v>
      </c>
      <c r="M600" s="15">
        <v>-37.299999999999997</v>
      </c>
      <c r="N600" s="15">
        <v>23.26</v>
      </c>
      <c r="O600" s="24">
        <v>331060</v>
      </c>
      <c r="P600" s="17">
        <v>869400</v>
      </c>
      <c r="Q600" s="16">
        <v>648532</v>
      </c>
      <c r="R600" s="19" t="s">
        <v>76</v>
      </c>
      <c r="S600" s="20" t="s">
        <v>39</v>
      </c>
      <c r="T600">
        <v>30966.15</v>
      </c>
    </row>
    <row r="601" spans="1:20" x14ac:dyDescent="0.25">
      <c r="A601" t="str">
        <f>(COUNTIF($K$2:K601,K601))&amp;K601</f>
        <v>3630600</v>
      </c>
      <c r="B601" s="34" t="s">
        <v>91</v>
      </c>
      <c r="C601" s="13" t="s">
        <v>40</v>
      </c>
      <c r="D601" s="14" t="s">
        <v>76</v>
      </c>
      <c r="E601" s="16">
        <v>10755</v>
      </c>
      <c r="F601" s="17">
        <v>20080</v>
      </c>
      <c r="G601" s="24">
        <v>3700</v>
      </c>
      <c r="H601" s="15">
        <v>22.95</v>
      </c>
      <c r="I601" s="15">
        <v>37.35</v>
      </c>
      <c r="J601" s="15">
        <v>440.9</v>
      </c>
      <c r="K601" s="18">
        <v>30600</v>
      </c>
      <c r="L601" s="15">
        <v>74.599999999999994</v>
      </c>
      <c r="M601" s="15">
        <v>-43.65</v>
      </c>
      <c r="N601" s="15">
        <v>22.94</v>
      </c>
      <c r="O601" s="24">
        <v>251480</v>
      </c>
      <c r="P601" s="17">
        <v>425300</v>
      </c>
      <c r="Q601" s="16">
        <v>372692</v>
      </c>
      <c r="R601" s="19" t="s">
        <v>76</v>
      </c>
      <c r="S601" s="20" t="s">
        <v>39</v>
      </c>
      <c r="T601">
        <v>30966.15</v>
      </c>
    </row>
    <row r="602" spans="1:20" x14ac:dyDescent="0.25">
      <c r="A602" t="str">
        <f>(COUNTIF($K$2:K602,K602))&amp;K602</f>
        <v>3630700</v>
      </c>
      <c r="B602" s="34" t="s">
        <v>91</v>
      </c>
      <c r="C602" s="13" t="s">
        <v>40</v>
      </c>
      <c r="D602" s="14" t="s">
        <v>76</v>
      </c>
      <c r="E602" s="16">
        <v>48095</v>
      </c>
      <c r="F602" s="17">
        <v>55900</v>
      </c>
      <c r="G602" s="24">
        <v>27700</v>
      </c>
      <c r="H602" s="15">
        <v>21.85</v>
      </c>
      <c r="I602" s="15">
        <v>28.25</v>
      </c>
      <c r="J602" s="15">
        <v>360.7</v>
      </c>
      <c r="K602" s="18">
        <v>30700</v>
      </c>
      <c r="L602" s="15">
        <v>99.85</v>
      </c>
      <c r="M602" s="15">
        <v>-52.35</v>
      </c>
      <c r="N602" s="15">
        <v>22.57</v>
      </c>
      <c r="O602" s="24">
        <v>304060</v>
      </c>
      <c r="P602" s="17">
        <v>476540</v>
      </c>
      <c r="Q602" s="16">
        <v>442093</v>
      </c>
      <c r="R602" s="19" t="s">
        <v>76</v>
      </c>
      <c r="S602" s="20" t="s">
        <v>39</v>
      </c>
      <c r="T602">
        <v>30966.15</v>
      </c>
    </row>
    <row r="603" spans="1:20" x14ac:dyDescent="0.25">
      <c r="A603" t="str">
        <f>(COUNTIF($K$2:K603,K603))&amp;K603</f>
        <v>3630800</v>
      </c>
      <c r="B603" s="34" t="s">
        <v>91</v>
      </c>
      <c r="C603" s="13" t="s">
        <v>40</v>
      </c>
      <c r="D603" s="14" t="s">
        <v>76</v>
      </c>
      <c r="E603" s="16">
        <v>155542</v>
      </c>
      <c r="F603" s="17">
        <v>208200</v>
      </c>
      <c r="G603" s="24">
        <v>65580</v>
      </c>
      <c r="H603" s="15">
        <v>21.82</v>
      </c>
      <c r="I603" s="15">
        <v>18.649999999999999</v>
      </c>
      <c r="J603" s="15">
        <v>292.3</v>
      </c>
      <c r="K603" s="18">
        <v>30800</v>
      </c>
      <c r="L603" s="15">
        <v>131.80000000000001</v>
      </c>
      <c r="M603" s="15">
        <v>-59.35</v>
      </c>
      <c r="N603" s="15">
        <v>22.28</v>
      </c>
      <c r="O603" s="24">
        <v>316700</v>
      </c>
      <c r="P603" s="17">
        <v>574340</v>
      </c>
      <c r="Q603" s="16">
        <v>453928</v>
      </c>
      <c r="R603" s="19" t="s">
        <v>76</v>
      </c>
      <c r="S603" s="20" t="s">
        <v>39</v>
      </c>
      <c r="T603">
        <v>30966.15</v>
      </c>
    </row>
    <row r="604" spans="1:20" x14ac:dyDescent="0.25">
      <c r="A604" t="str">
        <f>(COUNTIF($K$2:K604,K604))&amp;K604</f>
        <v>3630900</v>
      </c>
      <c r="B604" s="34" t="s">
        <v>91</v>
      </c>
      <c r="C604" s="13" t="s">
        <v>40</v>
      </c>
      <c r="D604" s="14" t="s">
        <v>76</v>
      </c>
      <c r="E604" s="16">
        <v>277020</v>
      </c>
      <c r="F604" s="17">
        <v>393380</v>
      </c>
      <c r="G604" s="24">
        <v>173180</v>
      </c>
      <c r="H604" s="15">
        <v>21.48</v>
      </c>
      <c r="I604" s="15">
        <v>12.15</v>
      </c>
      <c r="J604" s="15">
        <v>233</v>
      </c>
      <c r="K604" s="18">
        <v>30900</v>
      </c>
      <c r="L604" s="15">
        <v>171.2</v>
      </c>
      <c r="M604" s="15">
        <v>-65.3</v>
      </c>
      <c r="N604" s="15">
        <v>22.03</v>
      </c>
      <c r="O604" s="24">
        <v>313760</v>
      </c>
      <c r="P604" s="17">
        <v>522480</v>
      </c>
      <c r="Q604" s="16">
        <v>387005</v>
      </c>
      <c r="R604" s="19" t="s">
        <v>76</v>
      </c>
      <c r="S604" s="20" t="s">
        <v>39</v>
      </c>
      <c r="T604">
        <v>30966.15</v>
      </c>
    </row>
    <row r="605" spans="1:20" ht="15.75" x14ac:dyDescent="0.25">
      <c r="A605" t="str">
        <f>(COUNTIF($K$2:K605,K605))&amp;K605</f>
        <v>3631000</v>
      </c>
      <c r="B605" s="34" t="s">
        <v>91</v>
      </c>
      <c r="C605" s="13" t="s">
        <v>40</v>
      </c>
      <c r="D605" s="14" t="s">
        <v>76</v>
      </c>
      <c r="E605" s="16">
        <v>614557</v>
      </c>
      <c r="F605" s="17">
        <v>1075040</v>
      </c>
      <c r="G605" s="24">
        <v>296780</v>
      </c>
      <c r="H605" s="15">
        <v>21.62</v>
      </c>
      <c r="I605" s="15">
        <v>5.4</v>
      </c>
      <c r="J605" s="15">
        <v>183.2</v>
      </c>
      <c r="K605" s="21">
        <v>31000</v>
      </c>
      <c r="L605" s="15">
        <v>218.2</v>
      </c>
      <c r="M605" s="15">
        <v>-73.75</v>
      </c>
      <c r="N605" s="15">
        <v>21.96</v>
      </c>
      <c r="O605" s="24">
        <v>331920</v>
      </c>
      <c r="P605" s="17">
        <v>783140</v>
      </c>
      <c r="Q605" s="16">
        <v>380615</v>
      </c>
      <c r="R605" s="19" t="s">
        <v>76</v>
      </c>
      <c r="S605" s="20" t="s">
        <v>39</v>
      </c>
      <c r="T605">
        <v>30966.15</v>
      </c>
    </row>
    <row r="606" spans="1:20" x14ac:dyDescent="0.25">
      <c r="A606" t="str">
        <f>(COUNTIF($K$2:K606,K606))&amp;K606</f>
        <v>3631100</v>
      </c>
      <c r="B606" s="34" t="s">
        <v>91</v>
      </c>
      <c r="C606" s="13" t="s">
        <v>39</v>
      </c>
      <c r="D606" s="14" t="s">
        <v>76</v>
      </c>
      <c r="E606" s="16">
        <v>381974</v>
      </c>
      <c r="F606" s="17">
        <v>504360</v>
      </c>
      <c r="G606" s="24">
        <v>134440</v>
      </c>
      <c r="H606" s="15">
        <v>21.63</v>
      </c>
      <c r="I606" s="15">
        <v>-0.3</v>
      </c>
      <c r="J606" s="15">
        <v>139.94999999999999</v>
      </c>
      <c r="K606" s="18">
        <v>31100</v>
      </c>
      <c r="L606" s="15">
        <v>275.75</v>
      </c>
      <c r="M606" s="15">
        <v>-77.7</v>
      </c>
      <c r="N606" s="15">
        <v>22.1</v>
      </c>
      <c r="O606" s="24">
        <v>50900</v>
      </c>
      <c r="P606" s="17">
        <v>155160</v>
      </c>
      <c r="Q606" s="16">
        <v>86630</v>
      </c>
      <c r="R606" s="19" t="s">
        <v>76</v>
      </c>
      <c r="S606" s="20" t="s">
        <v>39</v>
      </c>
      <c r="T606">
        <v>30966.15</v>
      </c>
    </row>
    <row r="607" spans="1:20" x14ac:dyDescent="0.25">
      <c r="A607" t="str">
        <f>(COUNTIF($K$2:K607,K607))&amp;K607</f>
        <v>3631200</v>
      </c>
      <c r="B607" s="34" t="s">
        <v>91</v>
      </c>
      <c r="C607" s="13" t="s">
        <v>39</v>
      </c>
      <c r="D607" s="14" t="s">
        <v>76</v>
      </c>
      <c r="E607" s="16">
        <v>583803</v>
      </c>
      <c r="F607" s="17">
        <v>712080</v>
      </c>
      <c r="G607" s="24">
        <v>152680</v>
      </c>
      <c r="H607" s="15">
        <v>21.75</v>
      </c>
      <c r="I607" s="15">
        <v>-4.0999999999999996</v>
      </c>
      <c r="J607" s="15">
        <v>106.75</v>
      </c>
      <c r="K607" s="18">
        <v>31200</v>
      </c>
      <c r="L607" s="15">
        <v>342.25</v>
      </c>
      <c r="M607" s="15">
        <v>-83</v>
      </c>
      <c r="N607" s="15">
        <v>22.2</v>
      </c>
      <c r="O607" s="24">
        <v>15420</v>
      </c>
      <c r="P607" s="17">
        <v>120520</v>
      </c>
      <c r="Q607" s="16">
        <v>49269</v>
      </c>
      <c r="R607" s="19" t="s">
        <v>76</v>
      </c>
      <c r="S607" s="20" t="s">
        <v>39</v>
      </c>
      <c r="T607">
        <v>30966.15</v>
      </c>
    </row>
    <row r="608" spans="1:20" x14ac:dyDescent="0.25">
      <c r="A608" t="str">
        <f>(COUNTIF($K$2:K608,K608))&amp;K608</f>
        <v>3631300</v>
      </c>
      <c r="B608" s="34" t="s">
        <v>91</v>
      </c>
      <c r="C608" s="13" t="s">
        <v>39</v>
      </c>
      <c r="D608" s="14" t="s">
        <v>76</v>
      </c>
      <c r="E608" s="16">
        <v>414330</v>
      </c>
      <c r="F608" s="17">
        <v>633900</v>
      </c>
      <c r="G608" s="24">
        <v>186220</v>
      </c>
      <c r="H608" s="15">
        <v>21.86</v>
      </c>
      <c r="I608" s="15">
        <v>-6.8</v>
      </c>
      <c r="J608" s="15">
        <v>78.75</v>
      </c>
      <c r="K608" s="18">
        <v>31300</v>
      </c>
      <c r="L608" s="15">
        <v>414.3</v>
      </c>
      <c r="M608" s="15">
        <v>-94.4</v>
      </c>
      <c r="N608" s="15">
        <v>21.78</v>
      </c>
      <c r="O608" s="24">
        <v>-5440</v>
      </c>
      <c r="P608" s="17">
        <v>97740</v>
      </c>
      <c r="Q608" s="16">
        <v>13108</v>
      </c>
      <c r="R608" s="19" t="s">
        <v>77</v>
      </c>
      <c r="S608" s="20" t="s">
        <v>37</v>
      </c>
      <c r="T608">
        <v>30966.15</v>
      </c>
    </row>
    <row r="609" spans="1:20" x14ac:dyDescent="0.25">
      <c r="A609" t="str">
        <f>(COUNTIF($K$2:K609,K609))&amp;K609</f>
        <v>3631400</v>
      </c>
      <c r="B609" s="34" t="s">
        <v>91</v>
      </c>
      <c r="C609" s="13" t="s">
        <v>39</v>
      </c>
      <c r="D609" s="14" t="s">
        <v>76</v>
      </c>
      <c r="E609" s="16">
        <v>366184</v>
      </c>
      <c r="F609" s="17">
        <v>540720</v>
      </c>
      <c r="G609" s="24">
        <v>147560</v>
      </c>
      <c r="H609" s="15">
        <v>21.98</v>
      </c>
      <c r="I609" s="15">
        <v>-9.6999999999999993</v>
      </c>
      <c r="J609" s="15">
        <v>56.15</v>
      </c>
      <c r="K609" s="18">
        <v>31400</v>
      </c>
      <c r="L609" s="15">
        <v>494.6</v>
      </c>
      <c r="M609" s="15">
        <v>-87.35</v>
      </c>
      <c r="N609" s="15">
        <v>21.85</v>
      </c>
      <c r="O609" s="24">
        <v>4260</v>
      </c>
      <c r="P609" s="17">
        <v>54740</v>
      </c>
      <c r="Q609" s="16">
        <v>4243</v>
      </c>
      <c r="R609" s="19" t="s">
        <v>76</v>
      </c>
      <c r="S609" s="20" t="s">
        <v>39</v>
      </c>
      <c r="T609">
        <v>30966.15</v>
      </c>
    </row>
    <row r="610" spans="1:20" x14ac:dyDescent="0.25">
      <c r="A610" t="str">
        <f>(COUNTIF($K$2:K610,K610))&amp;K610</f>
        <v>3631500</v>
      </c>
      <c r="B610" s="34" t="s">
        <v>91</v>
      </c>
      <c r="C610" s="13" t="s">
        <v>39</v>
      </c>
      <c r="D610" s="14" t="s">
        <v>76</v>
      </c>
      <c r="E610" s="16">
        <v>540537</v>
      </c>
      <c r="F610" s="17">
        <v>1441560</v>
      </c>
      <c r="G610" s="24">
        <v>247200</v>
      </c>
      <c r="H610" s="15">
        <v>22.3</v>
      </c>
      <c r="I610" s="15">
        <v>-8.9499999999999993</v>
      </c>
      <c r="J610" s="15">
        <v>41</v>
      </c>
      <c r="K610" s="18">
        <v>31500</v>
      </c>
      <c r="L610" s="15">
        <v>580</v>
      </c>
      <c r="M610" s="15">
        <v>-87.3</v>
      </c>
      <c r="N610" s="15">
        <v>22.39</v>
      </c>
      <c r="O610" s="24">
        <v>3560</v>
      </c>
      <c r="P610" s="17">
        <v>471660</v>
      </c>
      <c r="Q610" s="16">
        <v>6865</v>
      </c>
      <c r="R610" s="19" t="s">
        <v>76</v>
      </c>
      <c r="S610" s="20" t="s">
        <v>39</v>
      </c>
      <c r="T610">
        <v>30966.15</v>
      </c>
    </row>
    <row r="611" spans="1:20" x14ac:dyDescent="0.25">
      <c r="A611" t="str">
        <f>(COUNTIF($K$2:K611,K611))&amp;K611</f>
        <v>3631600</v>
      </c>
      <c r="B611" s="34" t="s">
        <v>91</v>
      </c>
      <c r="C611" s="13" t="s">
        <v>39</v>
      </c>
      <c r="D611" s="14" t="s">
        <v>76</v>
      </c>
      <c r="E611" s="16">
        <v>213786</v>
      </c>
      <c r="F611" s="17">
        <v>359540</v>
      </c>
      <c r="G611" s="24">
        <v>75320</v>
      </c>
      <c r="H611" s="15">
        <v>22.39</v>
      </c>
      <c r="I611" s="15">
        <v>-9.15</v>
      </c>
      <c r="J611" s="15">
        <v>28.6</v>
      </c>
      <c r="K611" s="18">
        <v>31600</v>
      </c>
      <c r="L611" s="15">
        <v>665</v>
      </c>
      <c r="M611" s="15">
        <v>-95.85</v>
      </c>
      <c r="N611" s="15">
        <v>24.54</v>
      </c>
      <c r="O611" s="24" t="s">
        <v>14</v>
      </c>
      <c r="P611" s="17">
        <v>17660</v>
      </c>
      <c r="Q611" s="16">
        <v>304</v>
      </c>
      <c r="R611" s="19" t="s">
        <v>76</v>
      </c>
      <c r="S611" s="20" t="s">
        <v>39</v>
      </c>
      <c r="T611">
        <v>30966.15</v>
      </c>
    </row>
    <row r="612" spans="1:20" x14ac:dyDescent="0.25">
      <c r="A612" t="str">
        <f>(COUNTIF($K$2:K612,K612))&amp;K612</f>
        <v>3631700</v>
      </c>
      <c r="B612" s="34" t="s">
        <v>91</v>
      </c>
      <c r="C612" s="13" t="s">
        <v>39</v>
      </c>
      <c r="D612" s="14" t="s">
        <v>76</v>
      </c>
      <c r="E612" s="16">
        <v>141155</v>
      </c>
      <c r="F612" s="17">
        <v>384840</v>
      </c>
      <c r="G612" s="24">
        <v>26880</v>
      </c>
      <c r="H612" s="15">
        <v>22.67</v>
      </c>
      <c r="I612" s="15">
        <v>-8.15</v>
      </c>
      <c r="J612" s="15">
        <v>20</v>
      </c>
      <c r="K612" s="18">
        <v>31700</v>
      </c>
      <c r="L612" s="15">
        <v>748.05</v>
      </c>
      <c r="M612" s="15">
        <v>-95.65</v>
      </c>
      <c r="N612" s="15">
        <v>26.79</v>
      </c>
      <c r="O612" s="24">
        <v>-1240</v>
      </c>
      <c r="P612" s="17">
        <v>10100</v>
      </c>
      <c r="Q612" s="16">
        <v>319</v>
      </c>
      <c r="R612" s="19" t="s">
        <v>77</v>
      </c>
      <c r="S612" s="20" t="s">
        <v>37</v>
      </c>
      <c r="T612">
        <v>30966.15</v>
      </c>
    </row>
    <row r="613" spans="1:20" x14ac:dyDescent="0.25">
      <c r="A613" t="str">
        <f>(COUNTIF($K$2:K613,K613))&amp;K613</f>
        <v>36PCR</v>
      </c>
      <c r="B613" s="34" t="s">
        <v>91</v>
      </c>
      <c r="C613" s="41">
        <v>0.83480357360634672</v>
      </c>
      <c r="E613" s="33"/>
      <c r="F613" s="39">
        <v>6395780</v>
      </c>
      <c r="G613" s="40"/>
      <c r="H613" s="38"/>
      <c r="I613" s="38"/>
      <c r="J613" s="38"/>
      <c r="K613" s="56" t="s">
        <v>57</v>
      </c>
      <c r="L613" s="38"/>
      <c r="M613" s="38"/>
      <c r="N613" s="38"/>
      <c r="P613" s="40">
        <v>5339220</v>
      </c>
      <c r="Q613" s="33"/>
      <c r="R613" s="38"/>
      <c r="S613" s="38"/>
    </row>
    <row r="614" spans="1:20" x14ac:dyDescent="0.25">
      <c r="A614" t="str">
        <f>(COUNTIF($K$2:K614,K614))&amp;K614</f>
        <v>3730200</v>
      </c>
      <c r="B614" s="34" t="s">
        <v>91</v>
      </c>
      <c r="C614" s="13" t="s">
        <v>74</v>
      </c>
      <c r="D614" s="14" t="s">
        <v>76</v>
      </c>
      <c r="E614" s="16">
        <v>168</v>
      </c>
      <c r="F614" s="17">
        <v>1440</v>
      </c>
      <c r="G614" s="24">
        <v>1020</v>
      </c>
      <c r="H614" s="15">
        <v>27.63</v>
      </c>
      <c r="I614" s="15">
        <v>100.2</v>
      </c>
      <c r="J614" s="15">
        <v>821.15</v>
      </c>
      <c r="K614" s="18">
        <v>30200</v>
      </c>
      <c r="L614" s="15">
        <v>20.7</v>
      </c>
      <c r="M614" s="15">
        <v>-19.45</v>
      </c>
      <c r="N614" s="15">
        <v>24.46</v>
      </c>
      <c r="O614" s="24">
        <v>27900</v>
      </c>
      <c r="P614" s="17">
        <v>241960</v>
      </c>
      <c r="Q614" s="16">
        <v>158498</v>
      </c>
      <c r="R614" s="19" t="s">
        <v>76</v>
      </c>
      <c r="S614" s="20" t="s">
        <v>39</v>
      </c>
      <c r="T614">
        <v>30966.15</v>
      </c>
    </row>
    <row r="615" spans="1:20" x14ac:dyDescent="0.25">
      <c r="A615" t="str">
        <f>(COUNTIF($K$2:K615,K615))&amp;K615</f>
        <v>3730300</v>
      </c>
      <c r="B615" s="34" t="s">
        <v>91</v>
      </c>
      <c r="C615" s="13" t="s">
        <v>40</v>
      </c>
      <c r="D615" s="14" t="s">
        <v>76</v>
      </c>
      <c r="E615" s="16">
        <v>599</v>
      </c>
      <c r="F615" s="17">
        <v>4860</v>
      </c>
      <c r="G615" s="24">
        <v>2700</v>
      </c>
      <c r="H615" s="15">
        <v>21.31</v>
      </c>
      <c r="I615" s="15">
        <v>59.25</v>
      </c>
      <c r="J615" s="15">
        <v>688.9</v>
      </c>
      <c r="K615" s="18">
        <v>30300</v>
      </c>
      <c r="L615" s="15">
        <v>29.1</v>
      </c>
      <c r="M615" s="15">
        <v>-23.55</v>
      </c>
      <c r="N615" s="15">
        <v>24.06</v>
      </c>
      <c r="O615" s="24">
        <v>86100</v>
      </c>
      <c r="P615" s="17">
        <v>232400</v>
      </c>
      <c r="Q615" s="16">
        <v>202706</v>
      </c>
      <c r="R615" s="19" t="s">
        <v>76</v>
      </c>
      <c r="S615" s="20" t="s">
        <v>39</v>
      </c>
      <c r="T615">
        <v>30966.15</v>
      </c>
    </row>
    <row r="616" spans="1:20" x14ac:dyDescent="0.25">
      <c r="A616" t="str">
        <f>(COUNTIF($K$2:K616,K616))&amp;K616</f>
        <v>3730400</v>
      </c>
      <c r="B616" s="34" t="s">
        <v>91</v>
      </c>
      <c r="C616" s="13" t="s">
        <v>40</v>
      </c>
      <c r="D616" s="14" t="s">
        <v>76</v>
      </c>
      <c r="E616" s="16">
        <v>907</v>
      </c>
      <c r="F616" s="17">
        <v>2280</v>
      </c>
      <c r="G616" s="24">
        <v>880</v>
      </c>
      <c r="H616" s="15">
        <v>24.88</v>
      </c>
      <c r="I616" s="15">
        <v>60.65</v>
      </c>
      <c r="J616" s="15">
        <v>614</v>
      </c>
      <c r="K616" s="18">
        <v>30400</v>
      </c>
      <c r="L616" s="15">
        <v>40.15</v>
      </c>
      <c r="M616" s="15">
        <v>-29.6</v>
      </c>
      <c r="N616" s="15">
        <v>23.57</v>
      </c>
      <c r="O616" s="24">
        <v>154760</v>
      </c>
      <c r="P616" s="17">
        <v>286080</v>
      </c>
      <c r="Q616" s="16">
        <v>299789</v>
      </c>
      <c r="R616" s="19" t="s">
        <v>76</v>
      </c>
      <c r="S616" s="20" t="s">
        <v>39</v>
      </c>
      <c r="T616">
        <v>30966.15</v>
      </c>
    </row>
    <row r="617" spans="1:20" x14ac:dyDescent="0.25">
      <c r="A617" t="str">
        <f>(COUNTIF($K$2:K617,K617))&amp;K617</f>
        <v>3730500</v>
      </c>
      <c r="B617" s="34" t="s">
        <v>91</v>
      </c>
      <c r="C617" s="13" t="s">
        <v>40</v>
      </c>
      <c r="D617" s="14" t="s">
        <v>76</v>
      </c>
      <c r="E617" s="16">
        <v>13343</v>
      </c>
      <c r="F617" s="17">
        <v>57600</v>
      </c>
      <c r="G617" s="24">
        <v>9580</v>
      </c>
      <c r="H617" s="15">
        <v>22.2</v>
      </c>
      <c r="I617" s="15">
        <v>43.55</v>
      </c>
      <c r="J617" s="15">
        <v>517.1</v>
      </c>
      <c r="K617" s="18">
        <v>30500</v>
      </c>
      <c r="L617" s="15">
        <v>54.95</v>
      </c>
      <c r="M617" s="15">
        <v>-37.299999999999997</v>
      </c>
      <c r="N617" s="15">
        <v>23.26</v>
      </c>
      <c r="O617" s="24">
        <v>331060</v>
      </c>
      <c r="P617" s="17">
        <v>869400</v>
      </c>
      <c r="Q617" s="16">
        <v>648532</v>
      </c>
      <c r="R617" s="19" t="s">
        <v>76</v>
      </c>
      <c r="S617" s="20" t="s">
        <v>39</v>
      </c>
      <c r="T617">
        <v>30966.15</v>
      </c>
    </row>
    <row r="618" spans="1:20" x14ac:dyDescent="0.25">
      <c r="A618" t="str">
        <f>(COUNTIF($K$2:K618,K618))&amp;K618</f>
        <v>3730600</v>
      </c>
      <c r="B618" s="34" t="s">
        <v>91</v>
      </c>
      <c r="C618" s="13" t="s">
        <v>40</v>
      </c>
      <c r="D618" s="14" t="s">
        <v>76</v>
      </c>
      <c r="E618" s="16">
        <v>10755</v>
      </c>
      <c r="F618" s="17">
        <v>20080</v>
      </c>
      <c r="G618" s="24">
        <v>3700</v>
      </c>
      <c r="H618" s="15">
        <v>22.95</v>
      </c>
      <c r="I618" s="15">
        <v>37.35</v>
      </c>
      <c r="J618" s="15">
        <v>440.9</v>
      </c>
      <c r="K618" s="18">
        <v>30600</v>
      </c>
      <c r="L618" s="15">
        <v>74.599999999999994</v>
      </c>
      <c r="M618" s="15">
        <v>-43.65</v>
      </c>
      <c r="N618" s="15">
        <v>22.94</v>
      </c>
      <c r="O618" s="24">
        <v>251480</v>
      </c>
      <c r="P618" s="17">
        <v>425300</v>
      </c>
      <c r="Q618" s="16">
        <v>372692</v>
      </c>
      <c r="R618" s="19" t="s">
        <v>76</v>
      </c>
      <c r="S618" s="20" t="s">
        <v>39</v>
      </c>
      <c r="T618">
        <v>30966.15</v>
      </c>
    </row>
    <row r="619" spans="1:20" x14ac:dyDescent="0.25">
      <c r="A619" t="str">
        <f>(COUNTIF($K$2:K619,K619))&amp;K619</f>
        <v>3730700</v>
      </c>
      <c r="B619" s="34" t="s">
        <v>91</v>
      </c>
      <c r="C619" s="13" t="s">
        <v>40</v>
      </c>
      <c r="D619" s="14" t="s">
        <v>76</v>
      </c>
      <c r="E619" s="16">
        <v>48095</v>
      </c>
      <c r="F619" s="17">
        <v>55900</v>
      </c>
      <c r="G619" s="24">
        <v>27700</v>
      </c>
      <c r="H619" s="15">
        <v>21.85</v>
      </c>
      <c r="I619" s="15">
        <v>28.25</v>
      </c>
      <c r="J619" s="15">
        <v>360.7</v>
      </c>
      <c r="K619" s="18">
        <v>30700</v>
      </c>
      <c r="L619" s="15">
        <v>99.85</v>
      </c>
      <c r="M619" s="15">
        <v>-52.35</v>
      </c>
      <c r="N619" s="15">
        <v>22.57</v>
      </c>
      <c r="O619" s="24">
        <v>304060</v>
      </c>
      <c r="P619" s="17">
        <v>476540</v>
      </c>
      <c r="Q619" s="16">
        <v>442093</v>
      </c>
      <c r="R619" s="19" t="s">
        <v>76</v>
      </c>
      <c r="S619" s="20" t="s">
        <v>39</v>
      </c>
      <c r="T619">
        <v>30966.15</v>
      </c>
    </row>
    <row r="620" spans="1:20" x14ac:dyDescent="0.25">
      <c r="A620" t="str">
        <f>(COUNTIF($K$2:K620,K620))&amp;K620</f>
        <v>3730800</v>
      </c>
      <c r="B620" s="34" t="s">
        <v>91</v>
      </c>
      <c r="C620" s="13" t="s">
        <v>40</v>
      </c>
      <c r="D620" s="14" t="s">
        <v>76</v>
      </c>
      <c r="E620" s="16">
        <v>155542</v>
      </c>
      <c r="F620" s="17">
        <v>208200</v>
      </c>
      <c r="G620" s="24">
        <v>65580</v>
      </c>
      <c r="H620" s="15">
        <v>21.82</v>
      </c>
      <c r="I620" s="15">
        <v>18.649999999999999</v>
      </c>
      <c r="J620" s="15">
        <v>292.3</v>
      </c>
      <c r="K620" s="18">
        <v>30800</v>
      </c>
      <c r="L620" s="15">
        <v>131.80000000000001</v>
      </c>
      <c r="M620" s="15">
        <v>-59.35</v>
      </c>
      <c r="N620" s="15">
        <v>22.28</v>
      </c>
      <c r="O620" s="24">
        <v>316700</v>
      </c>
      <c r="P620" s="17">
        <v>574340</v>
      </c>
      <c r="Q620" s="16">
        <v>453928</v>
      </c>
      <c r="R620" s="19" t="s">
        <v>76</v>
      </c>
      <c r="S620" s="20" t="s">
        <v>39</v>
      </c>
      <c r="T620">
        <v>30966.15</v>
      </c>
    </row>
    <row r="621" spans="1:20" x14ac:dyDescent="0.25">
      <c r="A621" t="str">
        <f>(COUNTIF($K$2:K621,K621))&amp;K621</f>
        <v>3730900</v>
      </c>
      <c r="B621" s="34" t="s">
        <v>91</v>
      </c>
      <c r="C621" s="13" t="s">
        <v>40</v>
      </c>
      <c r="D621" s="14" t="s">
        <v>76</v>
      </c>
      <c r="E621" s="16">
        <v>277020</v>
      </c>
      <c r="F621" s="17">
        <v>393380</v>
      </c>
      <c r="G621" s="24">
        <v>173180</v>
      </c>
      <c r="H621" s="15">
        <v>21.48</v>
      </c>
      <c r="I621" s="15">
        <v>12.15</v>
      </c>
      <c r="J621" s="15">
        <v>233</v>
      </c>
      <c r="K621" s="18">
        <v>30900</v>
      </c>
      <c r="L621" s="15">
        <v>171.2</v>
      </c>
      <c r="M621" s="15">
        <v>-65.3</v>
      </c>
      <c r="N621" s="15">
        <v>22.03</v>
      </c>
      <c r="O621" s="24">
        <v>313760</v>
      </c>
      <c r="P621" s="17">
        <v>522480</v>
      </c>
      <c r="Q621" s="16">
        <v>387005</v>
      </c>
      <c r="R621" s="19" t="s">
        <v>76</v>
      </c>
      <c r="S621" s="20" t="s">
        <v>39</v>
      </c>
      <c r="T621">
        <v>30966.15</v>
      </c>
    </row>
    <row r="622" spans="1:20" ht="15.75" x14ac:dyDescent="0.25">
      <c r="A622" t="str">
        <f>(COUNTIF($K$2:K622,K622))&amp;K622</f>
        <v>3731000</v>
      </c>
      <c r="B622" s="34" t="s">
        <v>91</v>
      </c>
      <c r="C622" s="13" t="s">
        <v>40</v>
      </c>
      <c r="D622" s="14" t="s">
        <v>76</v>
      </c>
      <c r="E622" s="16">
        <v>614557</v>
      </c>
      <c r="F622" s="17">
        <v>1075040</v>
      </c>
      <c r="G622" s="24">
        <v>296780</v>
      </c>
      <c r="H622" s="15">
        <v>21.62</v>
      </c>
      <c r="I622" s="15">
        <v>5.4</v>
      </c>
      <c r="J622" s="15">
        <v>183.2</v>
      </c>
      <c r="K622" s="21">
        <v>31000</v>
      </c>
      <c r="L622" s="15">
        <v>218.2</v>
      </c>
      <c r="M622" s="15">
        <v>-73.75</v>
      </c>
      <c r="N622" s="15">
        <v>21.96</v>
      </c>
      <c r="O622" s="24">
        <v>331920</v>
      </c>
      <c r="P622" s="17">
        <v>783140</v>
      </c>
      <c r="Q622" s="16">
        <v>380615</v>
      </c>
      <c r="R622" s="19" t="s">
        <v>76</v>
      </c>
      <c r="S622" s="20" t="s">
        <v>39</v>
      </c>
      <c r="T622">
        <v>30966.15</v>
      </c>
    </row>
    <row r="623" spans="1:20" x14ac:dyDescent="0.25">
      <c r="A623" t="str">
        <f>(COUNTIF($K$2:K623,K623))&amp;K623</f>
        <v>3731100</v>
      </c>
      <c r="B623" s="34" t="s">
        <v>91</v>
      </c>
      <c r="C623" s="13" t="s">
        <v>39</v>
      </c>
      <c r="D623" s="14" t="s">
        <v>76</v>
      </c>
      <c r="E623" s="16">
        <v>381974</v>
      </c>
      <c r="F623" s="17">
        <v>504360</v>
      </c>
      <c r="G623" s="24">
        <v>134440</v>
      </c>
      <c r="H623" s="15">
        <v>21.63</v>
      </c>
      <c r="I623" s="15">
        <v>-0.3</v>
      </c>
      <c r="J623" s="15">
        <v>139.94999999999999</v>
      </c>
      <c r="K623" s="18">
        <v>31100</v>
      </c>
      <c r="L623" s="15">
        <v>275.75</v>
      </c>
      <c r="M623" s="15">
        <v>-77.7</v>
      </c>
      <c r="N623" s="15">
        <v>22.1</v>
      </c>
      <c r="O623" s="24">
        <v>50900</v>
      </c>
      <c r="P623" s="17">
        <v>155160</v>
      </c>
      <c r="Q623" s="16">
        <v>86630</v>
      </c>
      <c r="R623" s="19" t="s">
        <v>76</v>
      </c>
      <c r="S623" s="20" t="s">
        <v>39</v>
      </c>
      <c r="T623">
        <v>30966.15</v>
      </c>
    </row>
    <row r="624" spans="1:20" x14ac:dyDescent="0.25">
      <c r="A624" t="str">
        <f>(COUNTIF($K$2:K624,K624))&amp;K624</f>
        <v>3731200</v>
      </c>
      <c r="B624" s="34" t="s">
        <v>91</v>
      </c>
      <c r="C624" s="13" t="s">
        <v>39</v>
      </c>
      <c r="D624" s="14" t="s">
        <v>76</v>
      </c>
      <c r="E624" s="16">
        <v>583803</v>
      </c>
      <c r="F624" s="17">
        <v>712080</v>
      </c>
      <c r="G624" s="24">
        <v>152680</v>
      </c>
      <c r="H624" s="15">
        <v>21.75</v>
      </c>
      <c r="I624" s="15">
        <v>-4.0999999999999996</v>
      </c>
      <c r="J624" s="15">
        <v>106.75</v>
      </c>
      <c r="K624" s="18">
        <v>31200</v>
      </c>
      <c r="L624" s="15">
        <v>342.25</v>
      </c>
      <c r="M624" s="15">
        <v>-83</v>
      </c>
      <c r="N624" s="15">
        <v>22.2</v>
      </c>
      <c r="O624" s="24">
        <v>15420</v>
      </c>
      <c r="P624" s="17">
        <v>120520</v>
      </c>
      <c r="Q624" s="16">
        <v>49269</v>
      </c>
      <c r="R624" s="19" t="s">
        <v>76</v>
      </c>
      <c r="S624" s="20" t="s">
        <v>39</v>
      </c>
      <c r="T624">
        <v>30966.15</v>
      </c>
    </row>
    <row r="625" spans="1:20" x14ac:dyDescent="0.25">
      <c r="A625" t="str">
        <f>(COUNTIF($K$2:K625,K625))&amp;K625</f>
        <v>3731300</v>
      </c>
      <c r="B625" s="34" t="s">
        <v>91</v>
      </c>
      <c r="C625" s="13" t="s">
        <v>39</v>
      </c>
      <c r="D625" s="14" t="s">
        <v>76</v>
      </c>
      <c r="E625" s="16">
        <v>414330</v>
      </c>
      <c r="F625" s="17">
        <v>633900</v>
      </c>
      <c r="G625" s="24">
        <v>186220</v>
      </c>
      <c r="H625" s="15">
        <v>21.86</v>
      </c>
      <c r="I625" s="15">
        <v>-6.8</v>
      </c>
      <c r="J625" s="15">
        <v>78.75</v>
      </c>
      <c r="K625" s="18">
        <v>31300</v>
      </c>
      <c r="L625" s="15">
        <v>414.3</v>
      </c>
      <c r="M625" s="15">
        <v>-94.4</v>
      </c>
      <c r="N625" s="15">
        <v>21.78</v>
      </c>
      <c r="O625" s="24">
        <v>-5440</v>
      </c>
      <c r="P625" s="17">
        <v>97740</v>
      </c>
      <c r="Q625" s="16">
        <v>13108</v>
      </c>
      <c r="R625" s="19" t="s">
        <v>77</v>
      </c>
      <c r="S625" s="20" t="s">
        <v>37</v>
      </c>
      <c r="T625">
        <v>30966.15</v>
      </c>
    </row>
    <row r="626" spans="1:20" x14ac:dyDescent="0.25">
      <c r="A626" t="str">
        <f>(COUNTIF($K$2:K626,K626))&amp;K626</f>
        <v>3731400</v>
      </c>
      <c r="B626" s="34" t="s">
        <v>91</v>
      </c>
      <c r="C626" s="13" t="s">
        <v>39</v>
      </c>
      <c r="D626" s="14" t="s">
        <v>76</v>
      </c>
      <c r="E626" s="16">
        <v>366184</v>
      </c>
      <c r="F626" s="17">
        <v>540720</v>
      </c>
      <c r="G626" s="24">
        <v>147560</v>
      </c>
      <c r="H626" s="15">
        <v>21.98</v>
      </c>
      <c r="I626" s="15">
        <v>-9.6999999999999993</v>
      </c>
      <c r="J626" s="15">
        <v>56.15</v>
      </c>
      <c r="K626" s="18">
        <v>31400</v>
      </c>
      <c r="L626" s="15">
        <v>494.6</v>
      </c>
      <c r="M626" s="15">
        <v>-87.35</v>
      </c>
      <c r="N626" s="15">
        <v>21.85</v>
      </c>
      <c r="O626" s="24">
        <v>4260</v>
      </c>
      <c r="P626" s="17">
        <v>54740</v>
      </c>
      <c r="Q626" s="16">
        <v>4243</v>
      </c>
      <c r="R626" s="19" t="s">
        <v>76</v>
      </c>
      <c r="S626" s="20" t="s">
        <v>39</v>
      </c>
      <c r="T626">
        <v>30966.15</v>
      </c>
    </row>
    <row r="627" spans="1:20" x14ac:dyDescent="0.25">
      <c r="A627" t="str">
        <f>(COUNTIF($K$2:K627,K627))&amp;K627</f>
        <v>3731500</v>
      </c>
      <c r="B627" s="34" t="s">
        <v>91</v>
      </c>
      <c r="C627" s="13" t="s">
        <v>39</v>
      </c>
      <c r="D627" s="14" t="s">
        <v>76</v>
      </c>
      <c r="E627" s="16">
        <v>540537</v>
      </c>
      <c r="F627" s="17">
        <v>1441560</v>
      </c>
      <c r="G627" s="24">
        <v>247200</v>
      </c>
      <c r="H627" s="15">
        <v>22.3</v>
      </c>
      <c r="I627" s="15">
        <v>-8.9499999999999993</v>
      </c>
      <c r="J627" s="15">
        <v>41</v>
      </c>
      <c r="K627" s="18">
        <v>31500</v>
      </c>
      <c r="L627" s="15">
        <v>580</v>
      </c>
      <c r="M627" s="15">
        <v>-87.3</v>
      </c>
      <c r="N627" s="15">
        <v>22.39</v>
      </c>
      <c r="O627" s="24">
        <v>3560</v>
      </c>
      <c r="P627" s="17">
        <v>471660</v>
      </c>
      <c r="Q627" s="16">
        <v>6865</v>
      </c>
      <c r="R627" s="19" t="s">
        <v>76</v>
      </c>
      <c r="S627" s="20" t="s">
        <v>39</v>
      </c>
      <c r="T627">
        <v>30966.15</v>
      </c>
    </row>
    <row r="628" spans="1:20" x14ac:dyDescent="0.25">
      <c r="A628" t="str">
        <f>(COUNTIF($K$2:K628,K628))&amp;K628</f>
        <v>3731600</v>
      </c>
      <c r="B628" s="34" t="s">
        <v>91</v>
      </c>
      <c r="C628" s="13" t="s">
        <v>39</v>
      </c>
      <c r="D628" s="14" t="s">
        <v>76</v>
      </c>
      <c r="E628" s="16">
        <v>213786</v>
      </c>
      <c r="F628" s="17">
        <v>359540</v>
      </c>
      <c r="G628" s="24">
        <v>75320</v>
      </c>
      <c r="H628" s="15">
        <v>22.39</v>
      </c>
      <c r="I628" s="15">
        <v>-9.15</v>
      </c>
      <c r="J628" s="15">
        <v>28.6</v>
      </c>
      <c r="K628" s="18">
        <v>31600</v>
      </c>
      <c r="L628" s="15">
        <v>665</v>
      </c>
      <c r="M628" s="15">
        <v>-95.85</v>
      </c>
      <c r="N628" s="15">
        <v>24.54</v>
      </c>
      <c r="O628" s="24" t="s">
        <v>14</v>
      </c>
      <c r="P628" s="17">
        <v>17660</v>
      </c>
      <c r="Q628" s="16">
        <v>304</v>
      </c>
      <c r="R628" s="19" t="s">
        <v>76</v>
      </c>
      <c r="S628" s="20" t="s">
        <v>39</v>
      </c>
      <c r="T628">
        <v>30966.15</v>
      </c>
    </row>
    <row r="629" spans="1:20" x14ac:dyDescent="0.25">
      <c r="A629" t="str">
        <f>(COUNTIF($K$2:K629,K629))&amp;K629</f>
        <v>3731700</v>
      </c>
      <c r="B629" s="34" t="s">
        <v>91</v>
      </c>
      <c r="C629" s="13" t="s">
        <v>39</v>
      </c>
      <c r="D629" s="14" t="s">
        <v>76</v>
      </c>
      <c r="E629" s="16">
        <v>141155</v>
      </c>
      <c r="F629" s="17">
        <v>384840</v>
      </c>
      <c r="G629" s="24">
        <v>26880</v>
      </c>
      <c r="H629" s="15">
        <v>22.67</v>
      </c>
      <c r="I629" s="15">
        <v>-8.15</v>
      </c>
      <c r="J629" s="15">
        <v>20</v>
      </c>
      <c r="K629" s="18">
        <v>31700</v>
      </c>
      <c r="L629" s="15">
        <v>748.05</v>
      </c>
      <c r="M629" s="15">
        <v>-95.65</v>
      </c>
      <c r="N629" s="15">
        <v>26.79</v>
      </c>
      <c r="O629" s="24">
        <v>-1240</v>
      </c>
      <c r="P629" s="17">
        <v>10100</v>
      </c>
      <c r="Q629" s="16">
        <v>319</v>
      </c>
      <c r="R629" s="19" t="s">
        <v>77</v>
      </c>
      <c r="S629" s="20" t="s">
        <v>37</v>
      </c>
      <c r="T629">
        <v>30966.15</v>
      </c>
    </row>
    <row r="630" spans="1:20" x14ac:dyDescent="0.25">
      <c r="A630" t="str">
        <f>(COUNTIF($K$2:K630,K630))&amp;K630</f>
        <v>37PCR</v>
      </c>
      <c r="B630" s="34" t="s">
        <v>91</v>
      </c>
      <c r="C630" s="41">
        <v>0.83480357360634672</v>
      </c>
      <c r="E630" s="33"/>
      <c r="F630" s="39">
        <v>6395780</v>
      </c>
      <c r="G630" s="40"/>
      <c r="H630" s="38"/>
      <c r="I630" s="38"/>
      <c r="J630" s="38"/>
      <c r="K630" s="56" t="s">
        <v>57</v>
      </c>
      <c r="L630" s="38"/>
      <c r="M630" s="38"/>
      <c r="N630" s="38"/>
      <c r="P630" s="40">
        <v>5339220</v>
      </c>
      <c r="Q630" s="33"/>
      <c r="R630" s="38"/>
      <c r="S630" s="38"/>
    </row>
    <row r="631" spans="1:20" x14ac:dyDescent="0.25">
      <c r="A631" t="str">
        <f>(COUNTIF($K$2:K631,K631))&amp;K631</f>
        <v>3830200</v>
      </c>
      <c r="B631" s="34" t="s">
        <v>91</v>
      </c>
      <c r="C631" s="13" t="s">
        <v>74</v>
      </c>
      <c r="D631" s="14" t="s">
        <v>76</v>
      </c>
      <c r="E631" s="16">
        <v>168</v>
      </c>
      <c r="F631" s="17">
        <v>1440</v>
      </c>
      <c r="G631" s="24">
        <v>1020</v>
      </c>
      <c r="H631" s="15">
        <v>27.63</v>
      </c>
      <c r="I631" s="15">
        <v>100.2</v>
      </c>
      <c r="J631" s="15">
        <v>821.15</v>
      </c>
      <c r="K631" s="18">
        <v>30200</v>
      </c>
      <c r="L631" s="15">
        <v>20.7</v>
      </c>
      <c r="M631" s="15">
        <v>-19.45</v>
      </c>
      <c r="N631" s="15">
        <v>24.46</v>
      </c>
      <c r="O631" s="24">
        <v>27900</v>
      </c>
      <c r="P631" s="17">
        <v>241960</v>
      </c>
      <c r="Q631" s="16">
        <v>158498</v>
      </c>
      <c r="R631" s="19" t="s">
        <v>76</v>
      </c>
      <c r="S631" s="20" t="s">
        <v>39</v>
      </c>
      <c r="T631">
        <v>30966.15</v>
      </c>
    </row>
    <row r="632" spans="1:20" x14ac:dyDescent="0.25">
      <c r="A632" t="str">
        <f>(COUNTIF($K$2:K632,K632))&amp;K632</f>
        <v>3830300</v>
      </c>
      <c r="B632" s="34" t="s">
        <v>91</v>
      </c>
      <c r="C632" s="13" t="s">
        <v>40</v>
      </c>
      <c r="D632" s="14" t="s">
        <v>76</v>
      </c>
      <c r="E632" s="16">
        <v>599</v>
      </c>
      <c r="F632" s="17">
        <v>4860</v>
      </c>
      <c r="G632" s="24">
        <v>2700</v>
      </c>
      <c r="H632" s="15">
        <v>21.31</v>
      </c>
      <c r="I632" s="15">
        <v>59.25</v>
      </c>
      <c r="J632" s="15">
        <v>688.9</v>
      </c>
      <c r="K632" s="18">
        <v>30300</v>
      </c>
      <c r="L632" s="15">
        <v>29.1</v>
      </c>
      <c r="M632" s="15">
        <v>-23.55</v>
      </c>
      <c r="N632" s="15">
        <v>24.06</v>
      </c>
      <c r="O632" s="24">
        <v>86100</v>
      </c>
      <c r="P632" s="17">
        <v>232400</v>
      </c>
      <c r="Q632" s="16">
        <v>202706</v>
      </c>
      <c r="R632" s="19" t="s">
        <v>76</v>
      </c>
      <c r="S632" s="20" t="s">
        <v>39</v>
      </c>
      <c r="T632">
        <v>30966.15</v>
      </c>
    </row>
    <row r="633" spans="1:20" x14ac:dyDescent="0.25">
      <c r="A633" t="str">
        <f>(COUNTIF($K$2:K633,K633))&amp;K633</f>
        <v>3830400</v>
      </c>
      <c r="B633" s="34" t="s">
        <v>91</v>
      </c>
      <c r="C633" s="13" t="s">
        <v>40</v>
      </c>
      <c r="D633" s="14" t="s">
        <v>76</v>
      </c>
      <c r="E633" s="16">
        <v>907</v>
      </c>
      <c r="F633" s="17">
        <v>2280</v>
      </c>
      <c r="G633" s="24">
        <v>880</v>
      </c>
      <c r="H633" s="15">
        <v>24.88</v>
      </c>
      <c r="I633" s="15">
        <v>60.65</v>
      </c>
      <c r="J633" s="15">
        <v>614</v>
      </c>
      <c r="K633" s="18">
        <v>30400</v>
      </c>
      <c r="L633" s="15">
        <v>40.15</v>
      </c>
      <c r="M633" s="15">
        <v>-29.6</v>
      </c>
      <c r="N633" s="15">
        <v>23.57</v>
      </c>
      <c r="O633" s="24">
        <v>154760</v>
      </c>
      <c r="P633" s="17">
        <v>286080</v>
      </c>
      <c r="Q633" s="16">
        <v>299789</v>
      </c>
      <c r="R633" s="19" t="s">
        <v>76</v>
      </c>
      <c r="S633" s="20" t="s">
        <v>39</v>
      </c>
      <c r="T633">
        <v>30966.15</v>
      </c>
    </row>
    <row r="634" spans="1:20" x14ac:dyDescent="0.25">
      <c r="A634" t="str">
        <f>(COUNTIF($K$2:K634,K634))&amp;K634</f>
        <v>3830500</v>
      </c>
      <c r="B634" s="34" t="s">
        <v>91</v>
      </c>
      <c r="C634" s="13" t="s">
        <v>40</v>
      </c>
      <c r="D634" s="14" t="s">
        <v>76</v>
      </c>
      <c r="E634" s="16">
        <v>13343</v>
      </c>
      <c r="F634" s="17">
        <v>57600</v>
      </c>
      <c r="G634" s="24">
        <v>9580</v>
      </c>
      <c r="H634" s="15">
        <v>22.2</v>
      </c>
      <c r="I634" s="15">
        <v>43.55</v>
      </c>
      <c r="J634" s="15">
        <v>517.1</v>
      </c>
      <c r="K634" s="18">
        <v>30500</v>
      </c>
      <c r="L634" s="15">
        <v>54.95</v>
      </c>
      <c r="M634" s="15">
        <v>-37.299999999999997</v>
      </c>
      <c r="N634" s="15">
        <v>23.26</v>
      </c>
      <c r="O634" s="24">
        <v>331060</v>
      </c>
      <c r="P634" s="17">
        <v>869400</v>
      </c>
      <c r="Q634" s="16">
        <v>648532</v>
      </c>
      <c r="R634" s="19" t="s">
        <v>76</v>
      </c>
      <c r="S634" s="20" t="s">
        <v>39</v>
      </c>
      <c r="T634">
        <v>30966.15</v>
      </c>
    </row>
    <row r="635" spans="1:20" x14ac:dyDescent="0.25">
      <c r="A635" t="str">
        <f>(COUNTIF($K$2:K635,K635))&amp;K635</f>
        <v>3830600</v>
      </c>
      <c r="B635" s="34" t="s">
        <v>91</v>
      </c>
      <c r="C635" s="13" t="s">
        <v>40</v>
      </c>
      <c r="D635" s="14" t="s">
        <v>76</v>
      </c>
      <c r="E635" s="16">
        <v>10755</v>
      </c>
      <c r="F635" s="17">
        <v>20080</v>
      </c>
      <c r="G635" s="24">
        <v>3700</v>
      </c>
      <c r="H635" s="15">
        <v>22.95</v>
      </c>
      <c r="I635" s="15">
        <v>37.35</v>
      </c>
      <c r="J635" s="15">
        <v>440.9</v>
      </c>
      <c r="K635" s="18">
        <v>30600</v>
      </c>
      <c r="L635" s="15">
        <v>74.599999999999994</v>
      </c>
      <c r="M635" s="15">
        <v>-43.65</v>
      </c>
      <c r="N635" s="15">
        <v>22.94</v>
      </c>
      <c r="O635" s="24">
        <v>251480</v>
      </c>
      <c r="P635" s="17">
        <v>425300</v>
      </c>
      <c r="Q635" s="16">
        <v>372692</v>
      </c>
      <c r="R635" s="19" t="s">
        <v>76</v>
      </c>
      <c r="S635" s="20" t="s">
        <v>39</v>
      </c>
      <c r="T635">
        <v>30966.15</v>
      </c>
    </row>
    <row r="636" spans="1:20" x14ac:dyDescent="0.25">
      <c r="A636" t="str">
        <f>(COUNTIF($K$2:K636,K636))&amp;K636</f>
        <v>3830700</v>
      </c>
      <c r="B636" s="34" t="s">
        <v>91</v>
      </c>
      <c r="C636" s="13" t="s">
        <v>40</v>
      </c>
      <c r="D636" s="14" t="s">
        <v>76</v>
      </c>
      <c r="E636" s="16">
        <v>48095</v>
      </c>
      <c r="F636" s="17">
        <v>55900</v>
      </c>
      <c r="G636" s="24">
        <v>27700</v>
      </c>
      <c r="H636" s="15">
        <v>21.85</v>
      </c>
      <c r="I636" s="15">
        <v>28.25</v>
      </c>
      <c r="J636" s="15">
        <v>360.7</v>
      </c>
      <c r="K636" s="18">
        <v>30700</v>
      </c>
      <c r="L636" s="15">
        <v>99.85</v>
      </c>
      <c r="M636" s="15">
        <v>-52.35</v>
      </c>
      <c r="N636" s="15">
        <v>22.57</v>
      </c>
      <c r="O636" s="24">
        <v>304060</v>
      </c>
      <c r="P636" s="17">
        <v>476540</v>
      </c>
      <c r="Q636" s="16">
        <v>442093</v>
      </c>
      <c r="R636" s="19" t="s">
        <v>76</v>
      </c>
      <c r="S636" s="20" t="s">
        <v>39</v>
      </c>
      <c r="T636">
        <v>30966.15</v>
      </c>
    </row>
    <row r="637" spans="1:20" x14ac:dyDescent="0.25">
      <c r="A637" t="str">
        <f>(COUNTIF($K$2:K637,K637))&amp;K637</f>
        <v>3830800</v>
      </c>
      <c r="B637" s="34" t="s">
        <v>91</v>
      </c>
      <c r="C637" s="13" t="s">
        <v>40</v>
      </c>
      <c r="D637" s="14" t="s">
        <v>76</v>
      </c>
      <c r="E637" s="16">
        <v>155542</v>
      </c>
      <c r="F637" s="17">
        <v>208200</v>
      </c>
      <c r="G637" s="24">
        <v>65580</v>
      </c>
      <c r="H637" s="15">
        <v>21.82</v>
      </c>
      <c r="I637" s="15">
        <v>18.649999999999999</v>
      </c>
      <c r="J637" s="15">
        <v>292.3</v>
      </c>
      <c r="K637" s="18">
        <v>30800</v>
      </c>
      <c r="L637" s="15">
        <v>131.80000000000001</v>
      </c>
      <c r="M637" s="15">
        <v>-59.35</v>
      </c>
      <c r="N637" s="15">
        <v>22.28</v>
      </c>
      <c r="O637" s="24">
        <v>316700</v>
      </c>
      <c r="P637" s="17">
        <v>574340</v>
      </c>
      <c r="Q637" s="16">
        <v>453928</v>
      </c>
      <c r="R637" s="19" t="s">
        <v>76</v>
      </c>
      <c r="S637" s="20" t="s">
        <v>39</v>
      </c>
      <c r="T637">
        <v>30966.15</v>
      </c>
    </row>
    <row r="638" spans="1:20" x14ac:dyDescent="0.25">
      <c r="A638" t="str">
        <f>(COUNTIF($K$2:K638,K638))&amp;K638</f>
        <v>3830900</v>
      </c>
      <c r="B638" s="34" t="s">
        <v>91</v>
      </c>
      <c r="C638" s="13" t="s">
        <v>40</v>
      </c>
      <c r="D638" s="14" t="s">
        <v>76</v>
      </c>
      <c r="E638" s="16">
        <v>277020</v>
      </c>
      <c r="F638" s="17">
        <v>393380</v>
      </c>
      <c r="G638" s="24">
        <v>173180</v>
      </c>
      <c r="H638" s="15">
        <v>21.48</v>
      </c>
      <c r="I638" s="15">
        <v>12.15</v>
      </c>
      <c r="J638" s="15">
        <v>233</v>
      </c>
      <c r="K638" s="18">
        <v>30900</v>
      </c>
      <c r="L638" s="15">
        <v>171.2</v>
      </c>
      <c r="M638" s="15">
        <v>-65.3</v>
      </c>
      <c r="N638" s="15">
        <v>22.03</v>
      </c>
      <c r="O638" s="24">
        <v>313760</v>
      </c>
      <c r="P638" s="17">
        <v>522480</v>
      </c>
      <c r="Q638" s="16">
        <v>387005</v>
      </c>
      <c r="R638" s="19" t="s">
        <v>76</v>
      </c>
      <c r="S638" s="20" t="s">
        <v>39</v>
      </c>
      <c r="T638">
        <v>30966.15</v>
      </c>
    </row>
    <row r="639" spans="1:20" ht="15.75" x14ac:dyDescent="0.25">
      <c r="A639" t="str">
        <f>(COUNTIF($K$2:K639,K639))&amp;K639</f>
        <v>3831000</v>
      </c>
      <c r="B639" s="34" t="s">
        <v>91</v>
      </c>
      <c r="C639" s="13" t="s">
        <v>40</v>
      </c>
      <c r="D639" s="14" t="s">
        <v>76</v>
      </c>
      <c r="E639" s="16">
        <v>614557</v>
      </c>
      <c r="F639" s="17">
        <v>1075040</v>
      </c>
      <c r="G639" s="24">
        <v>296780</v>
      </c>
      <c r="H639" s="15">
        <v>21.62</v>
      </c>
      <c r="I639" s="15">
        <v>5.4</v>
      </c>
      <c r="J639" s="15">
        <v>183.2</v>
      </c>
      <c r="K639" s="21">
        <v>31000</v>
      </c>
      <c r="L639" s="15">
        <v>218.2</v>
      </c>
      <c r="M639" s="15">
        <v>-73.75</v>
      </c>
      <c r="N639" s="15">
        <v>21.96</v>
      </c>
      <c r="O639" s="24">
        <v>331920</v>
      </c>
      <c r="P639" s="17">
        <v>783140</v>
      </c>
      <c r="Q639" s="16">
        <v>380615</v>
      </c>
      <c r="R639" s="19" t="s">
        <v>76</v>
      </c>
      <c r="S639" s="20" t="s">
        <v>39</v>
      </c>
      <c r="T639">
        <v>30966.15</v>
      </c>
    </row>
    <row r="640" spans="1:20" x14ac:dyDescent="0.25">
      <c r="A640" t="str">
        <f>(COUNTIF($K$2:K640,K640))&amp;K640</f>
        <v>3831100</v>
      </c>
      <c r="B640" s="34" t="s">
        <v>91</v>
      </c>
      <c r="C640" s="13" t="s">
        <v>39</v>
      </c>
      <c r="D640" s="14" t="s">
        <v>76</v>
      </c>
      <c r="E640" s="16">
        <v>381974</v>
      </c>
      <c r="F640" s="17">
        <v>504360</v>
      </c>
      <c r="G640" s="24">
        <v>134440</v>
      </c>
      <c r="H640" s="15">
        <v>21.63</v>
      </c>
      <c r="I640" s="15">
        <v>-0.3</v>
      </c>
      <c r="J640" s="15">
        <v>139.94999999999999</v>
      </c>
      <c r="K640" s="18">
        <v>31100</v>
      </c>
      <c r="L640" s="15">
        <v>275.75</v>
      </c>
      <c r="M640" s="15">
        <v>-77.7</v>
      </c>
      <c r="N640" s="15">
        <v>22.1</v>
      </c>
      <c r="O640" s="24">
        <v>50900</v>
      </c>
      <c r="P640" s="17">
        <v>155160</v>
      </c>
      <c r="Q640" s="16">
        <v>86630</v>
      </c>
      <c r="R640" s="19" t="s">
        <v>76</v>
      </c>
      <c r="S640" s="20" t="s">
        <v>39</v>
      </c>
      <c r="T640">
        <v>30966.15</v>
      </c>
    </row>
    <row r="641" spans="1:20" x14ac:dyDescent="0.25">
      <c r="A641" t="str">
        <f>(COUNTIF($K$2:K641,K641))&amp;K641</f>
        <v>3831200</v>
      </c>
      <c r="B641" s="34" t="s">
        <v>91</v>
      </c>
      <c r="C641" s="13" t="s">
        <v>39</v>
      </c>
      <c r="D641" s="14" t="s">
        <v>76</v>
      </c>
      <c r="E641" s="16">
        <v>583803</v>
      </c>
      <c r="F641" s="17">
        <v>712080</v>
      </c>
      <c r="G641" s="24">
        <v>152680</v>
      </c>
      <c r="H641" s="15">
        <v>21.75</v>
      </c>
      <c r="I641" s="15">
        <v>-4.0999999999999996</v>
      </c>
      <c r="J641" s="15">
        <v>106.75</v>
      </c>
      <c r="K641" s="18">
        <v>31200</v>
      </c>
      <c r="L641" s="15">
        <v>342.25</v>
      </c>
      <c r="M641" s="15">
        <v>-83</v>
      </c>
      <c r="N641" s="15">
        <v>22.2</v>
      </c>
      <c r="O641" s="24">
        <v>15420</v>
      </c>
      <c r="P641" s="17">
        <v>120520</v>
      </c>
      <c r="Q641" s="16">
        <v>49269</v>
      </c>
      <c r="R641" s="19" t="s">
        <v>76</v>
      </c>
      <c r="S641" s="20" t="s">
        <v>39</v>
      </c>
      <c r="T641">
        <v>30966.15</v>
      </c>
    </row>
    <row r="642" spans="1:20" x14ac:dyDescent="0.25">
      <c r="A642" t="str">
        <f>(COUNTIF($K$2:K642,K642))&amp;K642</f>
        <v>3831300</v>
      </c>
      <c r="B642" s="34" t="s">
        <v>91</v>
      </c>
      <c r="C642" s="13" t="s">
        <v>39</v>
      </c>
      <c r="D642" s="14" t="s">
        <v>76</v>
      </c>
      <c r="E642" s="16">
        <v>414330</v>
      </c>
      <c r="F642" s="17">
        <v>633900</v>
      </c>
      <c r="G642" s="24">
        <v>186220</v>
      </c>
      <c r="H642" s="15">
        <v>21.86</v>
      </c>
      <c r="I642" s="15">
        <v>-6.8</v>
      </c>
      <c r="J642" s="15">
        <v>78.75</v>
      </c>
      <c r="K642" s="18">
        <v>31300</v>
      </c>
      <c r="L642" s="15">
        <v>414.3</v>
      </c>
      <c r="M642" s="15">
        <v>-94.4</v>
      </c>
      <c r="N642" s="15">
        <v>21.78</v>
      </c>
      <c r="O642" s="24">
        <v>-5440</v>
      </c>
      <c r="P642" s="17">
        <v>97740</v>
      </c>
      <c r="Q642" s="16">
        <v>13108</v>
      </c>
      <c r="R642" s="19" t="s">
        <v>77</v>
      </c>
      <c r="S642" s="20" t="s">
        <v>37</v>
      </c>
      <c r="T642">
        <v>30966.15</v>
      </c>
    </row>
    <row r="643" spans="1:20" x14ac:dyDescent="0.25">
      <c r="A643" t="str">
        <f>(COUNTIF($K$2:K643,K643))&amp;K643</f>
        <v>3831400</v>
      </c>
      <c r="B643" s="34" t="s">
        <v>91</v>
      </c>
      <c r="C643" s="13" t="s">
        <v>39</v>
      </c>
      <c r="D643" s="14" t="s">
        <v>76</v>
      </c>
      <c r="E643" s="16">
        <v>366184</v>
      </c>
      <c r="F643" s="17">
        <v>540720</v>
      </c>
      <c r="G643" s="24">
        <v>147560</v>
      </c>
      <c r="H643" s="15">
        <v>21.98</v>
      </c>
      <c r="I643" s="15">
        <v>-9.6999999999999993</v>
      </c>
      <c r="J643" s="15">
        <v>56.15</v>
      </c>
      <c r="K643" s="18">
        <v>31400</v>
      </c>
      <c r="L643" s="15">
        <v>494.6</v>
      </c>
      <c r="M643" s="15">
        <v>-87.35</v>
      </c>
      <c r="N643" s="15">
        <v>21.85</v>
      </c>
      <c r="O643" s="24">
        <v>4260</v>
      </c>
      <c r="P643" s="17">
        <v>54740</v>
      </c>
      <c r="Q643" s="16">
        <v>4243</v>
      </c>
      <c r="R643" s="19" t="s">
        <v>76</v>
      </c>
      <c r="S643" s="20" t="s">
        <v>39</v>
      </c>
      <c r="T643">
        <v>30966.15</v>
      </c>
    </row>
    <row r="644" spans="1:20" x14ac:dyDescent="0.25">
      <c r="A644" t="str">
        <f>(COUNTIF($K$2:K644,K644))&amp;K644</f>
        <v>3831500</v>
      </c>
      <c r="B644" s="34" t="s">
        <v>91</v>
      </c>
      <c r="C644" s="13" t="s">
        <v>39</v>
      </c>
      <c r="D644" s="14" t="s">
        <v>76</v>
      </c>
      <c r="E644" s="16">
        <v>540537</v>
      </c>
      <c r="F644" s="17">
        <v>1441560</v>
      </c>
      <c r="G644" s="24">
        <v>247200</v>
      </c>
      <c r="H644" s="15">
        <v>22.3</v>
      </c>
      <c r="I644" s="15">
        <v>-8.9499999999999993</v>
      </c>
      <c r="J644" s="15">
        <v>41</v>
      </c>
      <c r="K644" s="18">
        <v>31500</v>
      </c>
      <c r="L644" s="15">
        <v>580</v>
      </c>
      <c r="M644" s="15">
        <v>-87.3</v>
      </c>
      <c r="N644" s="15">
        <v>22.39</v>
      </c>
      <c r="O644" s="24">
        <v>3560</v>
      </c>
      <c r="P644" s="17">
        <v>471660</v>
      </c>
      <c r="Q644" s="16">
        <v>6865</v>
      </c>
      <c r="R644" s="19" t="s">
        <v>76</v>
      </c>
      <c r="S644" s="20" t="s">
        <v>39</v>
      </c>
      <c r="T644">
        <v>30966.15</v>
      </c>
    </row>
    <row r="645" spans="1:20" x14ac:dyDescent="0.25">
      <c r="A645" t="str">
        <f>(COUNTIF($K$2:K645,K645))&amp;K645</f>
        <v>3831600</v>
      </c>
      <c r="B645" s="34" t="s">
        <v>91</v>
      </c>
      <c r="C645" s="13" t="s">
        <v>39</v>
      </c>
      <c r="D645" s="14" t="s">
        <v>76</v>
      </c>
      <c r="E645" s="16">
        <v>213786</v>
      </c>
      <c r="F645" s="17">
        <v>359540</v>
      </c>
      <c r="G645" s="24">
        <v>75320</v>
      </c>
      <c r="H645" s="15">
        <v>22.39</v>
      </c>
      <c r="I645" s="15">
        <v>-9.15</v>
      </c>
      <c r="J645" s="15">
        <v>28.6</v>
      </c>
      <c r="K645" s="18">
        <v>31600</v>
      </c>
      <c r="L645" s="15">
        <v>665</v>
      </c>
      <c r="M645" s="15">
        <v>-95.85</v>
      </c>
      <c r="N645" s="15">
        <v>24.54</v>
      </c>
      <c r="O645" s="24" t="s">
        <v>14</v>
      </c>
      <c r="P645" s="17">
        <v>17660</v>
      </c>
      <c r="Q645" s="16">
        <v>304</v>
      </c>
      <c r="R645" s="19" t="s">
        <v>76</v>
      </c>
      <c r="S645" s="20" t="s">
        <v>39</v>
      </c>
      <c r="T645">
        <v>30966.15</v>
      </c>
    </row>
    <row r="646" spans="1:20" x14ac:dyDescent="0.25">
      <c r="A646" t="str">
        <f>(COUNTIF($K$2:K646,K646))&amp;K646</f>
        <v>3831700</v>
      </c>
      <c r="B646" s="34" t="s">
        <v>91</v>
      </c>
      <c r="C646" s="13" t="s">
        <v>39</v>
      </c>
      <c r="D646" s="14" t="s">
        <v>76</v>
      </c>
      <c r="E646" s="16">
        <v>141155</v>
      </c>
      <c r="F646" s="17">
        <v>384840</v>
      </c>
      <c r="G646" s="24">
        <v>26880</v>
      </c>
      <c r="H646" s="15">
        <v>22.67</v>
      </c>
      <c r="I646" s="15">
        <v>-8.15</v>
      </c>
      <c r="J646" s="15">
        <v>20</v>
      </c>
      <c r="K646" s="18">
        <v>31700</v>
      </c>
      <c r="L646" s="15">
        <v>748.05</v>
      </c>
      <c r="M646" s="15">
        <v>-95.65</v>
      </c>
      <c r="N646" s="15">
        <v>26.79</v>
      </c>
      <c r="O646" s="24">
        <v>-1240</v>
      </c>
      <c r="P646" s="17">
        <v>10100</v>
      </c>
      <c r="Q646" s="16">
        <v>319</v>
      </c>
      <c r="R646" s="19" t="s">
        <v>77</v>
      </c>
      <c r="S646" s="20" t="s">
        <v>37</v>
      </c>
      <c r="T646">
        <v>30966.15</v>
      </c>
    </row>
    <row r="647" spans="1:20" x14ac:dyDescent="0.25">
      <c r="A647" t="str">
        <f>(COUNTIF($K$2:K647,K647))&amp;K647</f>
        <v>38PCR</v>
      </c>
      <c r="B647" s="34" t="s">
        <v>91</v>
      </c>
      <c r="C647" s="41">
        <v>0.83480357360634672</v>
      </c>
      <c r="E647" s="33"/>
      <c r="F647" s="39">
        <v>6395780</v>
      </c>
      <c r="G647" s="40"/>
      <c r="H647" s="38"/>
      <c r="I647" s="38"/>
      <c r="J647" s="38"/>
      <c r="K647" s="56" t="s">
        <v>57</v>
      </c>
      <c r="L647" s="38"/>
      <c r="M647" s="38"/>
      <c r="N647" s="38"/>
      <c r="P647" s="40">
        <v>5339220</v>
      </c>
      <c r="Q647" s="33"/>
      <c r="R647" s="38"/>
      <c r="S647" s="38"/>
    </row>
    <row r="648" spans="1:20" x14ac:dyDescent="0.25">
      <c r="A648" t="str">
        <f>(COUNTIF($K$2:K648,K648))&amp;K648</f>
        <v>3930200</v>
      </c>
      <c r="B648" s="34" t="s">
        <v>91</v>
      </c>
      <c r="C648" s="13" t="s">
        <v>74</v>
      </c>
      <c r="D648" s="14" t="s">
        <v>76</v>
      </c>
      <c r="E648" s="16">
        <v>168</v>
      </c>
      <c r="F648" s="17">
        <v>1440</v>
      </c>
      <c r="G648" s="24">
        <v>1020</v>
      </c>
      <c r="H648" s="15">
        <v>27.63</v>
      </c>
      <c r="I648" s="15">
        <v>100.2</v>
      </c>
      <c r="J648" s="15">
        <v>821.15</v>
      </c>
      <c r="K648" s="18">
        <v>30200</v>
      </c>
      <c r="L648" s="15">
        <v>20.7</v>
      </c>
      <c r="M648" s="15">
        <v>-19.45</v>
      </c>
      <c r="N648" s="15">
        <v>24.46</v>
      </c>
      <c r="O648" s="24">
        <v>27900</v>
      </c>
      <c r="P648" s="17">
        <v>241960</v>
      </c>
      <c r="Q648" s="16">
        <v>158498</v>
      </c>
      <c r="R648" s="19" t="s">
        <v>76</v>
      </c>
      <c r="S648" s="20" t="s">
        <v>39</v>
      </c>
      <c r="T648">
        <v>30966.15</v>
      </c>
    </row>
    <row r="649" spans="1:20" x14ac:dyDescent="0.25">
      <c r="A649" t="str">
        <f>(COUNTIF($K$2:K649,K649))&amp;K649</f>
        <v>3930300</v>
      </c>
      <c r="B649" s="34" t="s">
        <v>91</v>
      </c>
      <c r="C649" s="13" t="s">
        <v>40</v>
      </c>
      <c r="D649" s="14" t="s">
        <v>76</v>
      </c>
      <c r="E649" s="16">
        <v>599</v>
      </c>
      <c r="F649" s="17">
        <v>4860</v>
      </c>
      <c r="G649" s="24">
        <v>2700</v>
      </c>
      <c r="H649" s="15">
        <v>21.31</v>
      </c>
      <c r="I649" s="15">
        <v>59.25</v>
      </c>
      <c r="J649" s="15">
        <v>688.9</v>
      </c>
      <c r="K649" s="18">
        <v>30300</v>
      </c>
      <c r="L649" s="15">
        <v>29.1</v>
      </c>
      <c r="M649" s="15">
        <v>-23.55</v>
      </c>
      <c r="N649" s="15">
        <v>24.06</v>
      </c>
      <c r="O649" s="24">
        <v>86100</v>
      </c>
      <c r="P649" s="17">
        <v>232400</v>
      </c>
      <c r="Q649" s="16">
        <v>202706</v>
      </c>
      <c r="R649" s="19" t="s">
        <v>76</v>
      </c>
      <c r="S649" s="20" t="s">
        <v>39</v>
      </c>
      <c r="T649">
        <v>30966.15</v>
      </c>
    </row>
    <row r="650" spans="1:20" x14ac:dyDescent="0.25">
      <c r="A650" t="str">
        <f>(COUNTIF($K$2:K650,K650))&amp;K650</f>
        <v>3930400</v>
      </c>
      <c r="B650" s="34" t="s">
        <v>91</v>
      </c>
      <c r="C650" s="13" t="s">
        <v>40</v>
      </c>
      <c r="D650" s="14" t="s">
        <v>76</v>
      </c>
      <c r="E650" s="16">
        <v>907</v>
      </c>
      <c r="F650" s="17">
        <v>2280</v>
      </c>
      <c r="G650" s="24">
        <v>880</v>
      </c>
      <c r="H650" s="15">
        <v>24.88</v>
      </c>
      <c r="I650" s="15">
        <v>60.65</v>
      </c>
      <c r="J650" s="15">
        <v>614</v>
      </c>
      <c r="K650" s="18">
        <v>30400</v>
      </c>
      <c r="L650" s="15">
        <v>40.15</v>
      </c>
      <c r="M650" s="15">
        <v>-29.6</v>
      </c>
      <c r="N650" s="15">
        <v>23.57</v>
      </c>
      <c r="O650" s="24">
        <v>154760</v>
      </c>
      <c r="P650" s="17">
        <v>286080</v>
      </c>
      <c r="Q650" s="16">
        <v>299789</v>
      </c>
      <c r="R650" s="19" t="s">
        <v>76</v>
      </c>
      <c r="S650" s="20" t="s">
        <v>39</v>
      </c>
      <c r="T650">
        <v>30966.15</v>
      </c>
    </row>
    <row r="651" spans="1:20" x14ac:dyDescent="0.25">
      <c r="A651" t="str">
        <f>(COUNTIF($K$2:K651,K651))&amp;K651</f>
        <v>3930500</v>
      </c>
      <c r="B651" s="34" t="s">
        <v>91</v>
      </c>
      <c r="C651" s="13" t="s">
        <v>40</v>
      </c>
      <c r="D651" s="14" t="s">
        <v>76</v>
      </c>
      <c r="E651" s="16">
        <v>13343</v>
      </c>
      <c r="F651" s="17">
        <v>57600</v>
      </c>
      <c r="G651" s="24">
        <v>9580</v>
      </c>
      <c r="H651" s="15">
        <v>22.2</v>
      </c>
      <c r="I651" s="15">
        <v>43.55</v>
      </c>
      <c r="J651" s="15">
        <v>517.1</v>
      </c>
      <c r="K651" s="18">
        <v>30500</v>
      </c>
      <c r="L651" s="15">
        <v>54.95</v>
      </c>
      <c r="M651" s="15">
        <v>-37.299999999999997</v>
      </c>
      <c r="N651" s="15">
        <v>23.26</v>
      </c>
      <c r="O651" s="24">
        <v>331060</v>
      </c>
      <c r="P651" s="17">
        <v>869400</v>
      </c>
      <c r="Q651" s="16">
        <v>648532</v>
      </c>
      <c r="R651" s="19" t="s">
        <v>76</v>
      </c>
      <c r="S651" s="20" t="s">
        <v>39</v>
      </c>
      <c r="T651">
        <v>30966.15</v>
      </c>
    </row>
    <row r="652" spans="1:20" x14ac:dyDescent="0.25">
      <c r="A652" t="str">
        <f>(COUNTIF($K$2:K652,K652))&amp;K652</f>
        <v>3930600</v>
      </c>
      <c r="B652" s="34" t="s">
        <v>91</v>
      </c>
      <c r="C652" s="13" t="s">
        <v>40</v>
      </c>
      <c r="D652" s="14" t="s">
        <v>76</v>
      </c>
      <c r="E652" s="16">
        <v>10755</v>
      </c>
      <c r="F652" s="17">
        <v>20080</v>
      </c>
      <c r="G652" s="24">
        <v>3700</v>
      </c>
      <c r="H652" s="15">
        <v>22.95</v>
      </c>
      <c r="I652" s="15">
        <v>37.35</v>
      </c>
      <c r="J652" s="15">
        <v>440.9</v>
      </c>
      <c r="K652" s="18">
        <v>30600</v>
      </c>
      <c r="L652" s="15">
        <v>74.599999999999994</v>
      </c>
      <c r="M652" s="15">
        <v>-43.65</v>
      </c>
      <c r="N652" s="15">
        <v>22.94</v>
      </c>
      <c r="O652" s="24">
        <v>251480</v>
      </c>
      <c r="P652" s="17">
        <v>425300</v>
      </c>
      <c r="Q652" s="16">
        <v>372692</v>
      </c>
      <c r="R652" s="19" t="s">
        <v>76</v>
      </c>
      <c r="S652" s="20" t="s">
        <v>39</v>
      </c>
      <c r="T652">
        <v>30966.15</v>
      </c>
    </row>
    <row r="653" spans="1:20" x14ac:dyDescent="0.25">
      <c r="A653" t="str">
        <f>(COUNTIF($K$2:K653,K653))&amp;K653</f>
        <v>3930700</v>
      </c>
      <c r="B653" s="34" t="s">
        <v>91</v>
      </c>
      <c r="C653" s="13" t="s">
        <v>40</v>
      </c>
      <c r="D653" s="14" t="s">
        <v>76</v>
      </c>
      <c r="E653" s="16">
        <v>48095</v>
      </c>
      <c r="F653" s="17">
        <v>55900</v>
      </c>
      <c r="G653" s="24">
        <v>27700</v>
      </c>
      <c r="H653" s="15">
        <v>21.85</v>
      </c>
      <c r="I653" s="15">
        <v>28.25</v>
      </c>
      <c r="J653" s="15">
        <v>360.7</v>
      </c>
      <c r="K653" s="18">
        <v>30700</v>
      </c>
      <c r="L653" s="15">
        <v>99.85</v>
      </c>
      <c r="M653" s="15">
        <v>-52.35</v>
      </c>
      <c r="N653" s="15">
        <v>22.57</v>
      </c>
      <c r="O653" s="24">
        <v>304060</v>
      </c>
      <c r="P653" s="17">
        <v>476540</v>
      </c>
      <c r="Q653" s="16">
        <v>442093</v>
      </c>
      <c r="R653" s="19" t="s">
        <v>76</v>
      </c>
      <c r="S653" s="20" t="s">
        <v>39</v>
      </c>
      <c r="T653">
        <v>30966.15</v>
      </c>
    </row>
    <row r="654" spans="1:20" x14ac:dyDescent="0.25">
      <c r="A654" t="str">
        <f>(COUNTIF($K$2:K654,K654))&amp;K654</f>
        <v>3930800</v>
      </c>
      <c r="B654" s="34" t="s">
        <v>91</v>
      </c>
      <c r="C654" s="13" t="s">
        <v>40</v>
      </c>
      <c r="D654" s="14" t="s">
        <v>76</v>
      </c>
      <c r="E654" s="16">
        <v>155542</v>
      </c>
      <c r="F654" s="17">
        <v>208200</v>
      </c>
      <c r="G654" s="24">
        <v>65580</v>
      </c>
      <c r="H654" s="15">
        <v>21.82</v>
      </c>
      <c r="I654" s="15">
        <v>18.649999999999999</v>
      </c>
      <c r="J654" s="15">
        <v>292.3</v>
      </c>
      <c r="K654" s="18">
        <v>30800</v>
      </c>
      <c r="L654" s="15">
        <v>131.80000000000001</v>
      </c>
      <c r="M654" s="15">
        <v>-59.35</v>
      </c>
      <c r="N654" s="15">
        <v>22.28</v>
      </c>
      <c r="O654" s="24">
        <v>316700</v>
      </c>
      <c r="P654" s="17">
        <v>574340</v>
      </c>
      <c r="Q654" s="16">
        <v>453928</v>
      </c>
      <c r="R654" s="19" t="s">
        <v>76</v>
      </c>
      <c r="S654" s="20" t="s">
        <v>39</v>
      </c>
      <c r="T654">
        <v>30966.15</v>
      </c>
    </row>
    <row r="655" spans="1:20" x14ac:dyDescent="0.25">
      <c r="A655" t="str">
        <f>(COUNTIF($K$2:K655,K655))&amp;K655</f>
        <v>3930900</v>
      </c>
      <c r="B655" s="34" t="s">
        <v>91</v>
      </c>
      <c r="C655" s="13" t="s">
        <v>40</v>
      </c>
      <c r="D655" s="14" t="s">
        <v>76</v>
      </c>
      <c r="E655" s="16">
        <v>277020</v>
      </c>
      <c r="F655" s="17">
        <v>393380</v>
      </c>
      <c r="G655" s="24">
        <v>173180</v>
      </c>
      <c r="H655" s="15">
        <v>21.48</v>
      </c>
      <c r="I655" s="15">
        <v>12.15</v>
      </c>
      <c r="J655" s="15">
        <v>233</v>
      </c>
      <c r="K655" s="18">
        <v>30900</v>
      </c>
      <c r="L655" s="15">
        <v>171.2</v>
      </c>
      <c r="M655" s="15">
        <v>-65.3</v>
      </c>
      <c r="N655" s="15">
        <v>22.03</v>
      </c>
      <c r="O655" s="24">
        <v>313760</v>
      </c>
      <c r="P655" s="17">
        <v>522480</v>
      </c>
      <c r="Q655" s="16">
        <v>387005</v>
      </c>
      <c r="R655" s="19" t="s">
        <v>76</v>
      </c>
      <c r="S655" s="20" t="s">
        <v>39</v>
      </c>
      <c r="T655">
        <v>30966.15</v>
      </c>
    </row>
    <row r="656" spans="1:20" ht="15.75" x14ac:dyDescent="0.25">
      <c r="A656" t="str">
        <f>(COUNTIF($K$2:K656,K656))&amp;K656</f>
        <v>3931000</v>
      </c>
      <c r="B656" s="34" t="s">
        <v>91</v>
      </c>
      <c r="C656" s="13" t="s">
        <v>40</v>
      </c>
      <c r="D656" s="14" t="s">
        <v>76</v>
      </c>
      <c r="E656" s="16">
        <v>614557</v>
      </c>
      <c r="F656" s="17">
        <v>1075040</v>
      </c>
      <c r="G656" s="24">
        <v>296780</v>
      </c>
      <c r="H656" s="15">
        <v>21.62</v>
      </c>
      <c r="I656" s="15">
        <v>5.4</v>
      </c>
      <c r="J656" s="15">
        <v>183.2</v>
      </c>
      <c r="K656" s="21">
        <v>31000</v>
      </c>
      <c r="L656" s="15">
        <v>218.2</v>
      </c>
      <c r="M656" s="15">
        <v>-73.75</v>
      </c>
      <c r="N656" s="15">
        <v>21.96</v>
      </c>
      <c r="O656" s="24">
        <v>331920</v>
      </c>
      <c r="P656" s="17">
        <v>783140</v>
      </c>
      <c r="Q656" s="16">
        <v>380615</v>
      </c>
      <c r="R656" s="19" t="s">
        <v>76</v>
      </c>
      <c r="S656" s="20" t="s">
        <v>39</v>
      </c>
      <c r="T656">
        <v>30966.15</v>
      </c>
    </row>
    <row r="657" spans="1:20" x14ac:dyDescent="0.25">
      <c r="A657" t="str">
        <f>(COUNTIF($K$2:K657,K657))&amp;K657</f>
        <v>3931100</v>
      </c>
      <c r="B657" s="34" t="s">
        <v>91</v>
      </c>
      <c r="C657" s="13" t="s">
        <v>39</v>
      </c>
      <c r="D657" s="14" t="s">
        <v>76</v>
      </c>
      <c r="E657" s="16">
        <v>381974</v>
      </c>
      <c r="F657" s="17">
        <v>504360</v>
      </c>
      <c r="G657" s="24">
        <v>134440</v>
      </c>
      <c r="H657" s="15">
        <v>21.63</v>
      </c>
      <c r="I657" s="15">
        <v>-0.3</v>
      </c>
      <c r="J657" s="15">
        <v>139.94999999999999</v>
      </c>
      <c r="K657" s="18">
        <v>31100</v>
      </c>
      <c r="L657" s="15">
        <v>275.75</v>
      </c>
      <c r="M657" s="15">
        <v>-77.7</v>
      </c>
      <c r="N657" s="15">
        <v>22.1</v>
      </c>
      <c r="O657" s="24">
        <v>50900</v>
      </c>
      <c r="P657" s="17">
        <v>155160</v>
      </c>
      <c r="Q657" s="16">
        <v>86630</v>
      </c>
      <c r="R657" s="19" t="s">
        <v>76</v>
      </c>
      <c r="S657" s="20" t="s">
        <v>39</v>
      </c>
      <c r="T657">
        <v>30966.15</v>
      </c>
    </row>
    <row r="658" spans="1:20" x14ac:dyDescent="0.25">
      <c r="A658" t="str">
        <f>(COUNTIF($K$2:K658,K658))&amp;K658</f>
        <v>3931200</v>
      </c>
      <c r="B658" s="34" t="s">
        <v>91</v>
      </c>
      <c r="C658" s="13" t="s">
        <v>39</v>
      </c>
      <c r="D658" s="14" t="s">
        <v>76</v>
      </c>
      <c r="E658" s="16">
        <v>583803</v>
      </c>
      <c r="F658" s="17">
        <v>712080</v>
      </c>
      <c r="G658" s="24">
        <v>152680</v>
      </c>
      <c r="H658" s="15">
        <v>21.75</v>
      </c>
      <c r="I658" s="15">
        <v>-4.0999999999999996</v>
      </c>
      <c r="J658" s="15">
        <v>106.75</v>
      </c>
      <c r="K658" s="18">
        <v>31200</v>
      </c>
      <c r="L658" s="15">
        <v>342.25</v>
      </c>
      <c r="M658" s="15">
        <v>-83</v>
      </c>
      <c r="N658" s="15">
        <v>22.2</v>
      </c>
      <c r="O658" s="24">
        <v>15420</v>
      </c>
      <c r="P658" s="17">
        <v>120520</v>
      </c>
      <c r="Q658" s="16">
        <v>49269</v>
      </c>
      <c r="R658" s="19" t="s">
        <v>76</v>
      </c>
      <c r="S658" s="20" t="s">
        <v>39</v>
      </c>
      <c r="T658">
        <v>30966.15</v>
      </c>
    </row>
    <row r="659" spans="1:20" x14ac:dyDescent="0.25">
      <c r="A659" t="str">
        <f>(COUNTIF($K$2:K659,K659))&amp;K659</f>
        <v>3931300</v>
      </c>
      <c r="B659" s="34" t="s">
        <v>91</v>
      </c>
      <c r="C659" s="13" t="s">
        <v>39</v>
      </c>
      <c r="D659" s="14" t="s">
        <v>76</v>
      </c>
      <c r="E659" s="16">
        <v>414330</v>
      </c>
      <c r="F659" s="17">
        <v>633900</v>
      </c>
      <c r="G659" s="24">
        <v>186220</v>
      </c>
      <c r="H659" s="15">
        <v>21.86</v>
      </c>
      <c r="I659" s="15">
        <v>-6.8</v>
      </c>
      <c r="J659" s="15">
        <v>78.75</v>
      </c>
      <c r="K659" s="18">
        <v>31300</v>
      </c>
      <c r="L659" s="15">
        <v>414.3</v>
      </c>
      <c r="M659" s="15">
        <v>-94.4</v>
      </c>
      <c r="N659" s="15">
        <v>21.78</v>
      </c>
      <c r="O659" s="24">
        <v>-5440</v>
      </c>
      <c r="P659" s="17">
        <v>97740</v>
      </c>
      <c r="Q659" s="16">
        <v>13108</v>
      </c>
      <c r="R659" s="19" t="s">
        <v>77</v>
      </c>
      <c r="S659" s="20" t="s">
        <v>37</v>
      </c>
      <c r="T659">
        <v>30966.15</v>
      </c>
    </row>
    <row r="660" spans="1:20" x14ac:dyDescent="0.25">
      <c r="A660" t="str">
        <f>(COUNTIF($K$2:K660,K660))&amp;K660</f>
        <v>3931400</v>
      </c>
      <c r="B660" s="34" t="s">
        <v>91</v>
      </c>
      <c r="C660" s="13" t="s">
        <v>39</v>
      </c>
      <c r="D660" s="14" t="s">
        <v>76</v>
      </c>
      <c r="E660" s="16">
        <v>366184</v>
      </c>
      <c r="F660" s="17">
        <v>540720</v>
      </c>
      <c r="G660" s="24">
        <v>147560</v>
      </c>
      <c r="H660" s="15">
        <v>21.98</v>
      </c>
      <c r="I660" s="15">
        <v>-9.6999999999999993</v>
      </c>
      <c r="J660" s="15">
        <v>56.15</v>
      </c>
      <c r="K660" s="18">
        <v>31400</v>
      </c>
      <c r="L660" s="15">
        <v>494.6</v>
      </c>
      <c r="M660" s="15">
        <v>-87.35</v>
      </c>
      <c r="N660" s="15">
        <v>21.85</v>
      </c>
      <c r="O660" s="24">
        <v>4260</v>
      </c>
      <c r="P660" s="17">
        <v>54740</v>
      </c>
      <c r="Q660" s="16">
        <v>4243</v>
      </c>
      <c r="R660" s="19" t="s">
        <v>76</v>
      </c>
      <c r="S660" s="20" t="s">
        <v>39</v>
      </c>
      <c r="T660">
        <v>30966.15</v>
      </c>
    </row>
    <row r="661" spans="1:20" x14ac:dyDescent="0.25">
      <c r="A661" t="str">
        <f>(COUNTIF($K$2:K661,K661))&amp;K661</f>
        <v>3931500</v>
      </c>
      <c r="B661" s="34" t="s">
        <v>91</v>
      </c>
      <c r="C661" s="13" t="s">
        <v>39</v>
      </c>
      <c r="D661" s="14" t="s">
        <v>76</v>
      </c>
      <c r="E661" s="16">
        <v>540537</v>
      </c>
      <c r="F661" s="17">
        <v>1441560</v>
      </c>
      <c r="G661" s="24">
        <v>247200</v>
      </c>
      <c r="H661" s="15">
        <v>22.3</v>
      </c>
      <c r="I661" s="15">
        <v>-8.9499999999999993</v>
      </c>
      <c r="J661" s="15">
        <v>41</v>
      </c>
      <c r="K661" s="18">
        <v>31500</v>
      </c>
      <c r="L661" s="15">
        <v>580</v>
      </c>
      <c r="M661" s="15">
        <v>-87.3</v>
      </c>
      <c r="N661" s="15">
        <v>22.39</v>
      </c>
      <c r="O661" s="24">
        <v>3560</v>
      </c>
      <c r="P661" s="17">
        <v>471660</v>
      </c>
      <c r="Q661" s="16">
        <v>6865</v>
      </c>
      <c r="R661" s="19" t="s">
        <v>76</v>
      </c>
      <c r="S661" s="20" t="s">
        <v>39</v>
      </c>
      <c r="T661">
        <v>30966.15</v>
      </c>
    </row>
    <row r="662" spans="1:20" x14ac:dyDescent="0.25">
      <c r="A662" t="str">
        <f>(COUNTIF($K$2:K662,K662))&amp;K662</f>
        <v>3931600</v>
      </c>
      <c r="B662" s="34" t="s">
        <v>91</v>
      </c>
      <c r="C662" s="13" t="s">
        <v>39</v>
      </c>
      <c r="D662" s="14" t="s">
        <v>76</v>
      </c>
      <c r="E662" s="16">
        <v>213786</v>
      </c>
      <c r="F662" s="17">
        <v>359540</v>
      </c>
      <c r="G662" s="24">
        <v>75320</v>
      </c>
      <c r="H662" s="15">
        <v>22.39</v>
      </c>
      <c r="I662" s="15">
        <v>-9.15</v>
      </c>
      <c r="J662" s="15">
        <v>28.6</v>
      </c>
      <c r="K662" s="18">
        <v>31600</v>
      </c>
      <c r="L662" s="15">
        <v>665</v>
      </c>
      <c r="M662" s="15">
        <v>-95.85</v>
      </c>
      <c r="N662" s="15">
        <v>24.54</v>
      </c>
      <c r="O662" s="24" t="s">
        <v>14</v>
      </c>
      <c r="P662" s="17">
        <v>17660</v>
      </c>
      <c r="Q662" s="16">
        <v>304</v>
      </c>
      <c r="R662" s="19" t="s">
        <v>76</v>
      </c>
      <c r="S662" s="20" t="s">
        <v>39</v>
      </c>
      <c r="T662">
        <v>30966.15</v>
      </c>
    </row>
    <row r="663" spans="1:20" x14ac:dyDescent="0.25">
      <c r="A663" t="str">
        <f>(COUNTIF($K$2:K663,K663))&amp;K663</f>
        <v>3931700</v>
      </c>
      <c r="B663" s="34" t="s">
        <v>91</v>
      </c>
      <c r="C663" s="13" t="s">
        <v>39</v>
      </c>
      <c r="D663" s="14" t="s">
        <v>76</v>
      </c>
      <c r="E663" s="16">
        <v>141155</v>
      </c>
      <c r="F663" s="17">
        <v>384840</v>
      </c>
      <c r="G663" s="24">
        <v>26880</v>
      </c>
      <c r="H663" s="15">
        <v>22.67</v>
      </c>
      <c r="I663" s="15">
        <v>-8.15</v>
      </c>
      <c r="J663" s="15">
        <v>20</v>
      </c>
      <c r="K663" s="18">
        <v>31700</v>
      </c>
      <c r="L663" s="15">
        <v>748.05</v>
      </c>
      <c r="M663" s="15">
        <v>-95.65</v>
      </c>
      <c r="N663" s="15">
        <v>26.79</v>
      </c>
      <c r="O663" s="24">
        <v>-1240</v>
      </c>
      <c r="P663" s="17">
        <v>10100</v>
      </c>
      <c r="Q663" s="16">
        <v>319</v>
      </c>
      <c r="R663" s="19" t="s">
        <v>77</v>
      </c>
      <c r="S663" s="20" t="s">
        <v>37</v>
      </c>
      <c r="T663">
        <v>30966.15</v>
      </c>
    </row>
    <row r="664" spans="1:20" x14ac:dyDescent="0.25">
      <c r="A664" t="str">
        <f>(COUNTIF($K$2:K664,K664))&amp;K664</f>
        <v>39PCR</v>
      </c>
      <c r="B664" s="34" t="s">
        <v>91</v>
      </c>
      <c r="C664" s="41">
        <v>0.83480357360634672</v>
      </c>
      <c r="E664" s="33"/>
      <c r="F664" s="39">
        <v>6395780</v>
      </c>
      <c r="G664" s="40"/>
      <c r="H664" s="38"/>
      <c r="I664" s="38"/>
      <c r="J664" s="38"/>
      <c r="K664" s="56" t="s">
        <v>57</v>
      </c>
      <c r="L664" s="38"/>
      <c r="M664" s="38"/>
      <c r="N664" s="38"/>
      <c r="P664" s="40">
        <v>5339220</v>
      </c>
      <c r="Q664" s="33"/>
      <c r="R664" s="38"/>
      <c r="S664" s="38"/>
    </row>
    <row r="665" spans="1:20" x14ac:dyDescent="0.25">
      <c r="A665" t="str">
        <f>(COUNTIF($K$2:K665,K665))&amp;K665</f>
        <v>0</v>
      </c>
      <c r="B665" s="34"/>
      <c r="C665" s="13"/>
      <c r="D665" s="14"/>
      <c r="E665" s="16"/>
      <c r="F665" s="17"/>
      <c r="G665" s="24"/>
      <c r="H665" s="15"/>
      <c r="I665" s="15"/>
      <c r="J665" s="15"/>
      <c r="K665" s="18"/>
      <c r="L665" s="15"/>
      <c r="M665" s="15"/>
      <c r="N665" s="15"/>
      <c r="O665" s="24"/>
      <c r="P665" s="17"/>
      <c r="Q665" s="16"/>
      <c r="R665" s="19"/>
      <c r="S665" s="20"/>
    </row>
    <row r="666" spans="1:20" x14ac:dyDescent="0.25">
      <c r="A666" t="str">
        <f>(COUNTIF($K$2:K666,K666))&amp;K666</f>
        <v>0</v>
      </c>
      <c r="B666" s="34"/>
      <c r="C666" s="13"/>
      <c r="D666" s="14"/>
      <c r="E666" s="16"/>
      <c r="F666" s="17"/>
      <c r="G666" s="24"/>
      <c r="H666" s="15"/>
      <c r="I666" s="15"/>
      <c r="J666" s="15"/>
      <c r="K666" s="18"/>
      <c r="L666" s="15"/>
      <c r="M666" s="15"/>
      <c r="N666" s="15"/>
      <c r="O666" s="24"/>
      <c r="P666" s="17"/>
      <c r="Q666" s="16"/>
      <c r="R666" s="19"/>
      <c r="S666" s="20"/>
    </row>
    <row r="667" spans="1:20" x14ac:dyDescent="0.25">
      <c r="A667" t="str">
        <f>(COUNTIF($K$2:K667,K667))&amp;K667</f>
        <v>0</v>
      </c>
      <c r="B667" s="34"/>
      <c r="C667" s="13"/>
      <c r="D667" s="14"/>
      <c r="E667" s="16"/>
      <c r="F667" s="17"/>
      <c r="G667" s="24"/>
      <c r="H667" s="15"/>
      <c r="I667" s="15"/>
      <c r="J667" s="15"/>
      <c r="K667" s="18"/>
      <c r="L667" s="15"/>
      <c r="M667" s="15"/>
      <c r="N667" s="15"/>
      <c r="O667" s="24"/>
      <c r="P667" s="17"/>
      <c r="Q667" s="16"/>
      <c r="R667" s="19"/>
      <c r="S667" s="20"/>
    </row>
    <row r="668" spans="1:20" x14ac:dyDescent="0.25">
      <c r="A668" t="str">
        <f>(COUNTIF($K$2:K668,K668))&amp;K668</f>
        <v>0</v>
      </c>
      <c r="B668" s="34"/>
      <c r="C668" s="13"/>
      <c r="D668" s="14"/>
      <c r="E668" s="16"/>
      <c r="F668" s="17"/>
      <c r="G668" s="24"/>
      <c r="H668" s="15"/>
      <c r="I668" s="15"/>
      <c r="J668" s="15"/>
      <c r="K668" s="18"/>
      <c r="L668" s="15"/>
      <c r="M668" s="15"/>
      <c r="N668" s="15"/>
      <c r="O668" s="24"/>
      <c r="P668" s="17"/>
      <c r="Q668" s="16"/>
      <c r="R668" s="19"/>
      <c r="S668" s="20"/>
    </row>
    <row r="669" spans="1:20" x14ac:dyDescent="0.25">
      <c r="A669" t="str">
        <f>(COUNTIF($K$2:K669,K669))&amp;K669</f>
        <v>0</v>
      </c>
      <c r="B669" s="34"/>
      <c r="C669" s="13"/>
      <c r="D669" s="14"/>
      <c r="E669" s="16"/>
      <c r="F669" s="17"/>
      <c r="G669" s="24"/>
      <c r="H669" s="15"/>
      <c r="I669" s="15"/>
      <c r="J669" s="15"/>
      <c r="K669" s="18"/>
      <c r="L669" s="15"/>
      <c r="M669" s="15"/>
      <c r="N669" s="15"/>
      <c r="O669" s="24"/>
      <c r="P669" s="17"/>
      <c r="Q669" s="16"/>
      <c r="R669" s="19"/>
      <c r="S669" s="20"/>
    </row>
    <row r="670" spans="1:20" x14ac:dyDescent="0.25">
      <c r="A670" t="str">
        <f>(COUNTIF($K$2:K670,K670))&amp;K670</f>
        <v>0</v>
      </c>
      <c r="B670" s="34"/>
      <c r="C670" s="13"/>
      <c r="D670" s="14"/>
      <c r="E670" s="16"/>
      <c r="F670" s="17"/>
      <c r="G670" s="24"/>
      <c r="H670" s="15"/>
      <c r="I670" s="15"/>
      <c r="J670" s="15"/>
      <c r="K670" s="18"/>
      <c r="L670" s="15"/>
      <c r="M670" s="15"/>
      <c r="N670" s="15"/>
      <c r="O670" s="24"/>
      <c r="P670" s="17"/>
      <c r="Q670" s="16"/>
      <c r="R670" s="19"/>
      <c r="S670" s="20"/>
    </row>
    <row r="671" spans="1:20" x14ac:dyDescent="0.25">
      <c r="A671" t="str">
        <f>(COUNTIF($K$2:K671,K671))&amp;K671</f>
        <v>0</v>
      </c>
      <c r="B671" s="34"/>
      <c r="C671" s="13"/>
      <c r="D671" s="14"/>
      <c r="E671" s="16"/>
      <c r="F671" s="17"/>
      <c r="G671" s="24"/>
      <c r="H671" s="15"/>
      <c r="I671" s="15"/>
      <c r="J671" s="15"/>
      <c r="K671" s="18"/>
      <c r="L671" s="15"/>
      <c r="M671" s="15"/>
      <c r="N671" s="15"/>
      <c r="O671" s="24"/>
      <c r="P671" s="17"/>
      <c r="Q671" s="16"/>
      <c r="R671" s="19"/>
      <c r="S671" s="20"/>
    </row>
    <row r="672" spans="1:20" x14ac:dyDescent="0.25">
      <c r="A672" t="str">
        <f>(COUNTIF($K$2:K672,K672))&amp;K672</f>
        <v>0</v>
      </c>
      <c r="B672" s="34"/>
      <c r="C672" s="13"/>
      <c r="D672" s="14"/>
      <c r="E672" s="16"/>
      <c r="F672" s="17"/>
      <c r="G672" s="24"/>
      <c r="H672" s="15"/>
      <c r="I672" s="15"/>
      <c r="J672" s="15"/>
      <c r="K672" s="18"/>
      <c r="L672" s="15"/>
      <c r="M672" s="15"/>
      <c r="N672" s="15"/>
      <c r="O672" s="24"/>
      <c r="P672" s="17"/>
      <c r="Q672" s="16"/>
      <c r="R672" s="19"/>
      <c r="S672" s="20"/>
    </row>
    <row r="673" spans="1:19" ht="15.75" x14ac:dyDescent="0.25">
      <c r="A673" t="str">
        <f>(COUNTIF($K$2:K673,K673))&amp;K673</f>
        <v>0</v>
      </c>
      <c r="B673" s="34"/>
      <c r="C673" s="13"/>
      <c r="D673" s="14"/>
      <c r="E673" s="16"/>
      <c r="F673" s="17"/>
      <c r="G673" s="24"/>
      <c r="H673" s="15"/>
      <c r="I673" s="15"/>
      <c r="J673" s="15"/>
      <c r="K673" s="21"/>
      <c r="L673" s="15"/>
      <c r="M673" s="15"/>
      <c r="N673" s="15"/>
      <c r="O673" s="24"/>
      <c r="P673" s="17"/>
      <c r="Q673" s="16"/>
      <c r="R673" s="19"/>
      <c r="S673" s="20"/>
    </row>
    <row r="674" spans="1:19" x14ac:dyDescent="0.25">
      <c r="A674" t="str">
        <f>(COUNTIF($K$2:K674,K674))&amp;K674</f>
        <v>0</v>
      </c>
      <c r="B674" s="34"/>
      <c r="C674" s="13"/>
      <c r="D674" s="14"/>
      <c r="E674" s="16"/>
      <c r="F674" s="17"/>
      <c r="G674" s="24"/>
      <c r="H674" s="15"/>
      <c r="I674" s="15"/>
      <c r="J674" s="15"/>
      <c r="K674" s="18"/>
      <c r="L674" s="15"/>
      <c r="M674" s="15"/>
      <c r="N674" s="15"/>
      <c r="O674" s="24"/>
      <c r="P674" s="17"/>
      <c r="Q674" s="16"/>
      <c r="R674" s="19"/>
      <c r="S674" s="20"/>
    </row>
    <row r="675" spans="1:19" x14ac:dyDescent="0.25">
      <c r="A675" t="str">
        <f>(COUNTIF($K$2:K675,K675))&amp;K675</f>
        <v>0</v>
      </c>
      <c r="B675" s="34"/>
      <c r="C675" s="13"/>
      <c r="D675" s="14"/>
      <c r="E675" s="16"/>
      <c r="F675" s="17"/>
      <c r="G675" s="24"/>
      <c r="H675" s="15"/>
      <c r="I675" s="15"/>
      <c r="J675" s="15"/>
      <c r="K675" s="18"/>
      <c r="L675" s="15"/>
      <c r="M675" s="15"/>
      <c r="N675" s="15"/>
      <c r="O675" s="24"/>
      <c r="P675" s="17"/>
      <c r="Q675" s="16"/>
      <c r="R675" s="19"/>
      <c r="S675" s="20"/>
    </row>
    <row r="676" spans="1:19" x14ac:dyDescent="0.25">
      <c r="A676" t="str">
        <f>(COUNTIF($K$2:K676,K676))&amp;K676</f>
        <v>0</v>
      </c>
      <c r="B676" s="34"/>
      <c r="C676" s="13"/>
      <c r="D676" s="14"/>
      <c r="E676" s="16"/>
      <c r="F676" s="17"/>
      <c r="G676" s="24"/>
      <c r="H676" s="15"/>
      <c r="I676" s="15"/>
      <c r="J676" s="15"/>
      <c r="K676" s="18"/>
      <c r="L676" s="15"/>
      <c r="M676" s="15"/>
      <c r="N676" s="15"/>
      <c r="O676" s="24"/>
      <c r="P676" s="17"/>
      <c r="Q676" s="16"/>
      <c r="R676" s="19"/>
      <c r="S676" s="20"/>
    </row>
    <row r="677" spans="1:19" x14ac:dyDescent="0.25">
      <c r="A677" t="str">
        <f>(COUNTIF($K$2:K677,K677))&amp;K677</f>
        <v>0</v>
      </c>
      <c r="B677" s="34"/>
      <c r="C677" s="13"/>
      <c r="D677" s="14"/>
      <c r="E677" s="16"/>
      <c r="F677" s="17"/>
      <c r="G677" s="24"/>
      <c r="H677" s="15"/>
      <c r="I677" s="15"/>
      <c r="J677" s="15"/>
      <c r="K677" s="18"/>
      <c r="L677" s="15"/>
      <c r="M677" s="15"/>
      <c r="N677" s="15"/>
      <c r="O677" s="24"/>
      <c r="P677" s="17"/>
      <c r="Q677" s="16"/>
      <c r="R677" s="19"/>
      <c r="S677" s="20"/>
    </row>
    <row r="678" spans="1:19" x14ac:dyDescent="0.25">
      <c r="A678" t="str">
        <f>(COUNTIF($K$2:K678,K678))&amp;K678</f>
        <v>0</v>
      </c>
      <c r="B678" s="34"/>
      <c r="C678" s="13"/>
      <c r="D678" s="14"/>
      <c r="E678" s="16"/>
      <c r="F678" s="17"/>
      <c r="G678" s="24"/>
      <c r="H678" s="15"/>
      <c r="I678" s="15"/>
      <c r="J678" s="15"/>
      <c r="K678" s="18"/>
      <c r="L678" s="15"/>
      <c r="M678" s="15"/>
      <c r="N678" s="15"/>
      <c r="O678" s="24"/>
      <c r="P678" s="17"/>
      <c r="Q678" s="16"/>
      <c r="R678" s="19"/>
      <c r="S678" s="20"/>
    </row>
    <row r="679" spans="1:19" x14ac:dyDescent="0.25">
      <c r="A679" t="str">
        <f>(COUNTIF($K$2:K679,K679))&amp;K679</f>
        <v>0</v>
      </c>
      <c r="B679" s="34"/>
      <c r="C679" s="13"/>
      <c r="D679" s="14"/>
      <c r="E679" s="16"/>
      <c r="F679" s="17"/>
      <c r="G679" s="24"/>
      <c r="H679" s="15"/>
      <c r="I679" s="15"/>
      <c r="J679" s="15"/>
      <c r="K679" s="18"/>
      <c r="L679" s="15"/>
      <c r="M679" s="15"/>
      <c r="N679" s="15"/>
      <c r="O679" s="24"/>
      <c r="P679" s="17"/>
      <c r="Q679" s="16"/>
      <c r="R679" s="19"/>
      <c r="S679" s="20"/>
    </row>
    <row r="680" spans="1:19" x14ac:dyDescent="0.25">
      <c r="A680" t="str">
        <f>(COUNTIF($K$2:K680,K680))&amp;K680</f>
        <v>0</v>
      </c>
      <c r="B680" s="34"/>
      <c r="C680" s="13"/>
      <c r="D680" s="14"/>
      <c r="E680" s="16"/>
      <c r="F680" s="17"/>
      <c r="G680" s="24"/>
      <c r="H680" s="15"/>
      <c r="I680" s="15"/>
      <c r="J680" s="15"/>
      <c r="K680" s="18"/>
      <c r="L680" s="15"/>
      <c r="M680" s="15"/>
      <c r="N680" s="15"/>
      <c r="O680" s="24"/>
      <c r="P680" s="17"/>
      <c r="Q680" s="16"/>
      <c r="R680" s="19"/>
      <c r="S680" s="20"/>
    </row>
    <row r="681" spans="1:19" x14ac:dyDescent="0.25">
      <c r="A681" t="str">
        <f>(COUNTIF($K$2:K681,K681))&amp;K681</f>
        <v>0</v>
      </c>
      <c r="B681" s="34"/>
      <c r="C681" s="41"/>
      <c r="E681" s="33"/>
      <c r="F681" s="39"/>
      <c r="G681" s="40"/>
      <c r="H681" s="38"/>
      <c r="I681" s="38"/>
      <c r="J681" s="38"/>
      <c r="K681" s="55"/>
      <c r="L681" s="38"/>
      <c r="M681" s="38"/>
      <c r="N681" s="38"/>
      <c r="P681" s="40"/>
      <c r="Q681" s="33"/>
      <c r="R681" s="38"/>
      <c r="S681" s="38"/>
    </row>
    <row r="682" spans="1:19" x14ac:dyDescent="0.25">
      <c r="A682" t="str">
        <f>(COUNTIF($K$2:K682,K682))&amp;K682</f>
        <v>0</v>
      </c>
      <c r="B682" s="34"/>
      <c r="C682" s="13"/>
      <c r="D682" s="14"/>
      <c r="E682" s="16"/>
      <c r="F682" s="17"/>
      <c r="G682" s="24"/>
      <c r="H682" s="15"/>
      <c r="I682" s="15"/>
      <c r="J682" s="15"/>
      <c r="K682" s="18"/>
      <c r="L682" s="15"/>
      <c r="M682" s="15"/>
      <c r="N682" s="15"/>
      <c r="O682" s="24"/>
      <c r="P682" s="17"/>
      <c r="Q682" s="16"/>
      <c r="R682" s="19"/>
      <c r="S682" s="20"/>
    </row>
    <row r="683" spans="1:19" x14ac:dyDescent="0.25">
      <c r="A683" t="str">
        <f>(COUNTIF($K$2:K683,K683))&amp;K683</f>
        <v>0</v>
      </c>
      <c r="B683" s="34"/>
      <c r="C683" s="13"/>
      <c r="D683" s="14"/>
      <c r="E683" s="16"/>
      <c r="F683" s="17"/>
      <c r="G683" s="24"/>
      <c r="H683" s="15"/>
      <c r="I683" s="15"/>
      <c r="J683" s="15"/>
      <c r="K683" s="18"/>
      <c r="L683" s="15"/>
      <c r="M683" s="15"/>
      <c r="N683" s="15"/>
      <c r="O683" s="24"/>
      <c r="P683" s="17"/>
      <c r="Q683" s="16"/>
      <c r="R683" s="19"/>
      <c r="S683" s="20"/>
    </row>
    <row r="684" spans="1:19" x14ac:dyDescent="0.25">
      <c r="A684" t="str">
        <f>(COUNTIF($K$2:K684,K684))&amp;K684</f>
        <v>0</v>
      </c>
      <c r="B684" s="34"/>
      <c r="C684" s="13"/>
      <c r="D684" s="14"/>
      <c r="E684" s="16"/>
      <c r="F684" s="17"/>
      <c r="G684" s="24"/>
      <c r="H684" s="15"/>
      <c r="I684" s="15"/>
      <c r="J684" s="15"/>
      <c r="K684" s="18"/>
      <c r="L684" s="15"/>
      <c r="M684" s="15"/>
      <c r="N684" s="15"/>
      <c r="O684" s="24"/>
      <c r="P684" s="17"/>
      <c r="Q684" s="16"/>
      <c r="R684" s="19"/>
      <c r="S684" s="20"/>
    </row>
    <row r="685" spans="1:19" x14ac:dyDescent="0.25">
      <c r="A685" t="str">
        <f>(COUNTIF($K$2:K685,K685))&amp;K685</f>
        <v>0</v>
      </c>
      <c r="B685" s="34"/>
      <c r="C685" s="13"/>
      <c r="D685" s="14"/>
      <c r="E685" s="16"/>
      <c r="F685" s="17"/>
      <c r="G685" s="24"/>
      <c r="H685" s="15"/>
      <c r="I685" s="15"/>
      <c r="J685" s="15"/>
      <c r="K685" s="18"/>
      <c r="L685" s="15"/>
      <c r="M685" s="15"/>
      <c r="N685" s="15"/>
      <c r="O685" s="24"/>
      <c r="P685" s="17"/>
      <c r="Q685" s="16"/>
      <c r="R685" s="19"/>
      <c r="S685" s="20"/>
    </row>
    <row r="686" spans="1:19" x14ac:dyDescent="0.25">
      <c r="A686" t="str">
        <f>(COUNTIF($K$2:K686,K686))&amp;K686</f>
        <v>0</v>
      </c>
      <c r="B686" s="34"/>
      <c r="C686" s="13"/>
      <c r="D686" s="14"/>
      <c r="E686" s="16"/>
      <c r="F686" s="17"/>
      <c r="G686" s="24"/>
      <c r="H686" s="15"/>
      <c r="I686" s="15"/>
      <c r="J686" s="15"/>
      <c r="K686" s="18"/>
      <c r="L686" s="15"/>
      <c r="M686" s="15"/>
      <c r="N686" s="15"/>
      <c r="O686" s="24"/>
      <c r="P686" s="17"/>
      <c r="Q686" s="16"/>
      <c r="R686" s="19"/>
      <c r="S686" s="20"/>
    </row>
    <row r="687" spans="1:19" x14ac:dyDescent="0.25">
      <c r="A687" t="str">
        <f>(COUNTIF($K$2:K687,K687))&amp;K687</f>
        <v>0</v>
      </c>
      <c r="B687" s="34"/>
      <c r="C687" s="13"/>
      <c r="D687" s="14"/>
      <c r="E687" s="16"/>
      <c r="F687" s="17"/>
      <c r="G687" s="24"/>
      <c r="H687" s="15"/>
      <c r="I687" s="15"/>
      <c r="J687" s="15"/>
      <c r="K687" s="18"/>
      <c r="L687" s="15"/>
      <c r="M687" s="15"/>
      <c r="N687" s="15"/>
      <c r="O687" s="24"/>
      <c r="P687" s="17"/>
      <c r="Q687" s="16"/>
      <c r="R687" s="19"/>
      <c r="S687" s="20"/>
    </row>
    <row r="688" spans="1:19" x14ac:dyDescent="0.25">
      <c r="A688" t="str">
        <f>(COUNTIF($K$2:K688,K688))&amp;K688</f>
        <v>0</v>
      </c>
      <c r="B688" s="34"/>
      <c r="C688" s="13"/>
      <c r="D688" s="14"/>
      <c r="E688" s="16"/>
      <c r="F688" s="17"/>
      <c r="G688" s="24"/>
      <c r="H688" s="15"/>
      <c r="I688" s="15"/>
      <c r="J688" s="15"/>
      <c r="K688" s="18"/>
      <c r="L688" s="15"/>
      <c r="M688" s="15"/>
      <c r="N688" s="15"/>
      <c r="O688" s="24"/>
      <c r="P688" s="17"/>
      <c r="Q688" s="16"/>
      <c r="R688" s="19"/>
      <c r="S688" s="20"/>
    </row>
    <row r="689" spans="1:19" x14ac:dyDescent="0.25">
      <c r="A689" t="str">
        <f>(COUNTIF($K$2:K689,K689))&amp;K689</f>
        <v>0</v>
      </c>
      <c r="B689" s="34"/>
      <c r="C689" s="13"/>
      <c r="D689" s="14"/>
      <c r="E689" s="16"/>
      <c r="F689" s="17"/>
      <c r="G689" s="24"/>
      <c r="H689" s="15"/>
      <c r="I689" s="15"/>
      <c r="J689" s="15"/>
      <c r="K689" s="18"/>
      <c r="L689" s="15"/>
      <c r="M689" s="15"/>
      <c r="N689" s="15"/>
      <c r="O689" s="24"/>
      <c r="P689" s="17"/>
      <c r="Q689" s="16"/>
      <c r="R689" s="19"/>
      <c r="S689" s="20"/>
    </row>
    <row r="690" spans="1:19" ht="15.75" x14ac:dyDescent="0.25">
      <c r="A690" t="str">
        <f>(COUNTIF($K$2:K690,K690))&amp;K690</f>
        <v>0</v>
      </c>
      <c r="B690" s="34"/>
      <c r="C690" s="13"/>
      <c r="D690" s="14"/>
      <c r="E690" s="16"/>
      <c r="F690" s="17"/>
      <c r="G690" s="24"/>
      <c r="H690" s="15"/>
      <c r="I690" s="15"/>
      <c r="J690" s="15"/>
      <c r="K690" s="21"/>
      <c r="L690" s="15"/>
      <c r="M690" s="15"/>
      <c r="N690" s="15"/>
      <c r="O690" s="24"/>
      <c r="P690" s="17"/>
      <c r="Q690" s="16"/>
      <c r="R690" s="19"/>
      <c r="S690" s="20"/>
    </row>
    <row r="691" spans="1:19" x14ac:dyDescent="0.25">
      <c r="A691" t="str">
        <f>(COUNTIF($K$2:K691,K691))&amp;K691</f>
        <v>0</v>
      </c>
      <c r="B691" s="34"/>
      <c r="C691" s="13"/>
      <c r="D691" s="14"/>
      <c r="E691" s="16"/>
      <c r="F691" s="17"/>
      <c r="G691" s="24"/>
      <c r="H691" s="15"/>
      <c r="I691" s="15"/>
      <c r="J691" s="15"/>
      <c r="K691" s="18"/>
      <c r="L691" s="15"/>
      <c r="M691" s="15"/>
      <c r="N691" s="15"/>
      <c r="O691" s="24"/>
      <c r="P691" s="17"/>
      <c r="Q691" s="16"/>
      <c r="R691" s="19"/>
      <c r="S691" s="20"/>
    </row>
    <row r="692" spans="1:19" x14ac:dyDescent="0.25">
      <c r="A692" t="str">
        <f>(COUNTIF($K$2:K692,K692))&amp;K692</f>
        <v>0</v>
      </c>
      <c r="B692" s="34"/>
      <c r="C692" s="13"/>
      <c r="D692" s="14"/>
      <c r="E692" s="16"/>
      <c r="F692" s="17"/>
      <c r="G692" s="24"/>
      <c r="H692" s="15"/>
      <c r="I692" s="15"/>
      <c r="J692" s="15"/>
      <c r="K692" s="18"/>
      <c r="L692" s="15"/>
      <c r="M692" s="15"/>
      <c r="N692" s="15"/>
      <c r="O692" s="24"/>
      <c r="P692" s="17"/>
      <c r="Q692" s="16"/>
      <c r="R692" s="19"/>
      <c r="S692" s="20"/>
    </row>
    <row r="693" spans="1:19" x14ac:dyDescent="0.25">
      <c r="A693" t="str">
        <f>(COUNTIF($K$2:K693,K693))&amp;K693</f>
        <v>0</v>
      </c>
      <c r="B693" s="34"/>
      <c r="C693" s="13"/>
      <c r="D693" s="14"/>
      <c r="E693" s="16"/>
      <c r="F693" s="17"/>
      <c r="G693" s="24"/>
      <c r="H693" s="15"/>
      <c r="I693" s="15"/>
      <c r="J693" s="15"/>
      <c r="K693" s="18"/>
      <c r="L693" s="15"/>
      <c r="M693" s="15"/>
      <c r="N693" s="15"/>
      <c r="O693" s="24"/>
      <c r="P693" s="17"/>
      <c r="Q693" s="16"/>
      <c r="R693" s="19"/>
      <c r="S693" s="20"/>
    </row>
    <row r="694" spans="1:19" x14ac:dyDescent="0.25">
      <c r="A694" t="str">
        <f>(COUNTIF($K$2:K694,K694))&amp;K694</f>
        <v>0</v>
      </c>
      <c r="B694" s="34"/>
      <c r="C694" s="13"/>
      <c r="D694" s="14"/>
      <c r="E694" s="16"/>
      <c r="F694" s="17"/>
      <c r="G694" s="24"/>
      <c r="H694" s="15"/>
      <c r="I694" s="15"/>
      <c r="J694" s="15"/>
      <c r="K694" s="18"/>
      <c r="L694" s="15"/>
      <c r="M694" s="15"/>
      <c r="N694" s="15"/>
      <c r="O694" s="24"/>
      <c r="P694" s="17"/>
      <c r="Q694" s="16"/>
      <c r="R694" s="19"/>
      <c r="S694" s="20"/>
    </row>
    <row r="695" spans="1:19" x14ac:dyDescent="0.25">
      <c r="A695" t="str">
        <f>(COUNTIF($K$2:K695,K695))&amp;K695</f>
        <v>0</v>
      </c>
      <c r="B695" s="34"/>
      <c r="C695" s="13"/>
      <c r="D695" s="14"/>
      <c r="E695" s="16"/>
      <c r="F695" s="17"/>
      <c r="G695" s="24"/>
      <c r="H695" s="15"/>
      <c r="I695" s="15"/>
      <c r="J695" s="15"/>
      <c r="K695" s="18"/>
      <c r="L695" s="15"/>
      <c r="M695" s="15"/>
      <c r="N695" s="15"/>
      <c r="O695" s="24"/>
      <c r="P695" s="17"/>
      <c r="Q695" s="16"/>
      <c r="R695" s="19"/>
      <c r="S695" s="20"/>
    </row>
    <row r="696" spans="1:19" x14ac:dyDescent="0.25">
      <c r="A696" t="str">
        <f>(COUNTIF($K$2:K696,K696))&amp;K696</f>
        <v>0</v>
      </c>
      <c r="B696" s="34"/>
      <c r="C696" s="13"/>
      <c r="D696" s="14"/>
      <c r="E696" s="16"/>
      <c r="F696" s="17"/>
      <c r="G696" s="24"/>
      <c r="H696" s="15"/>
      <c r="I696" s="15"/>
      <c r="J696" s="15"/>
      <c r="K696" s="18"/>
      <c r="L696" s="15"/>
      <c r="M696" s="15"/>
      <c r="N696" s="15"/>
      <c r="O696" s="24"/>
      <c r="P696" s="17"/>
      <c r="Q696" s="16"/>
      <c r="R696" s="19"/>
      <c r="S696" s="20"/>
    </row>
    <row r="697" spans="1:19" x14ac:dyDescent="0.25">
      <c r="A697" t="str">
        <f>(COUNTIF($K$2:K697,K697))&amp;K697</f>
        <v>0</v>
      </c>
      <c r="B697" s="34"/>
      <c r="C697" s="13"/>
      <c r="D697" s="14"/>
      <c r="E697" s="16"/>
      <c r="F697" s="17"/>
      <c r="G697" s="24"/>
      <c r="H697" s="15"/>
      <c r="I697" s="15"/>
      <c r="J697" s="15"/>
      <c r="K697" s="18"/>
      <c r="L697" s="15"/>
      <c r="M697" s="15"/>
      <c r="N697" s="15"/>
      <c r="O697" s="24"/>
      <c r="P697" s="17"/>
      <c r="Q697" s="16"/>
      <c r="R697" s="19"/>
      <c r="S697" s="20"/>
    </row>
    <row r="698" spans="1:19" x14ac:dyDescent="0.25">
      <c r="A698" t="str">
        <f>(COUNTIF($K$2:K698,K698))&amp;K698</f>
        <v>0</v>
      </c>
      <c r="B698" s="34"/>
      <c r="C698" s="41"/>
      <c r="E698" s="33"/>
      <c r="F698" s="39"/>
      <c r="G698" s="40"/>
      <c r="H698" s="38"/>
      <c r="I698" s="38"/>
      <c r="J698" s="38"/>
      <c r="K698" s="55"/>
      <c r="L698" s="38"/>
      <c r="M698" s="38"/>
      <c r="N698" s="38"/>
      <c r="P698" s="40"/>
      <c r="Q698" s="33"/>
      <c r="R698" s="38"/>
      <c r="S698" s="38"/>
    </row>
    <row r="699" spans="1:19" x14ac:dyDescent="0.25">
      <c r="A699" t="str">
        <f>(COUNTIF($K$2:K699,K699))&amp;K699</f>
        <v>0</v>
      </c>
      <c r="B699" s="34"/>
      <c r="C699" s="13"/>
      <c r="D699" s="14"/>
      <c r="E699" s="16"/>
      <c r="F699" s="17"/>
      <c r="G699" s="24"/>
      <c r="H699" s="15"/>
      <c r="I699" s="15"/>
      <c r="J699" s="15"/>
      <c r="K699" s="18"/>
      <c r="L699" s="15"/>
      <c r="M699" s="15"/>
      <c r="N699" s="15"/>
      <c r="O699" s="24"/>
      <c r="P699" s="17"/>
      <c r="Q699" s="16"/>
      <c r="R699" s="19"/>
      <c r="S699" s="20"/>
    </row>
    <row r="700" spans="1:19" x14ac:dyDescent="0.25">
      <c r="A700" t="str">
        <f>(COUNTIF($K$2:K700,K700))&amp;K700</f>
        <v>0</v>
      </c>
      <c r="B700" s="34"/>
      <c r="C700" s="13"/>
      <c r="D700" s="14"/>
      <c r="E700" s="16"/>
      <c r="F700" s="17"/>
      <c r="G700" s="24"/>
      <c r="H700" s="15"/>
      <c r="I700" s="15"/>
      <c r="J700" s="15"/>
      <c r="K700" s="18"/>
      <c r="L700" s="15"/>
      <c r="M700" s="15"/>
      <c r="N700" s="15"/>
      <c r="O700" s="24"/>
      <c r="P700" s="17"/>
      <c r="Q700" s="16"/>
      <c r="R700" s="19"/>
      <c r="S700" s="20"/>
    </row>
    <row r="701" spans="1:19" x14ac:dyDescent="0.25">
      <c r="A701" t="str">
        <f>(COUNTIF($K$2:K701,K701))&amp;K701</f>
        <v>0</v>
      </c>
      <c r="B701" s="34"/>
      <c r="C701" s="13"/>
      <c r="D701" s="14"/>
      <c r="E701" s="16"/>
      <c r="F701" s="17"/>
      <c r="G701" s="24"/>
      <c r="H701" s="15"/>
      <c r="I701" s="15"/>
      <c r="J701" s="15"/>
      <c r="K701" s="18"/>
      <c r="L701" s="15"/>
      <c r="M701" s="15"/>
      <c r="N701" s="15"/>
      <c r="O701" s="24"/>
      <c r="P701" s="17"/>
      <c r="Q701" s="16"/>
      <c r="R701" s="19"/>
      <c r="S701" s="20"/>
    </row>
    <row r="702" spans="1:19" x14ac:dyDescent="0.25">
      <c r="A702" t="str">
        <f>(COUNTIF($K$2:K702,K702))&amp;K702</f>
        <v>0</v>
      </c>
      <c r="B702" s="34"/>
      <c r="C702" s="13"/>
      <c r="D702" s="14"/>
      <c r="E702" s="16"/>
      <c r="F702" s="17"/>
      <c r="G702" s="24"/>
      <c r="H702" s="15"/>
      <c r="I702" s="15"/>
      <c r="J702" s="15"/>
      <c r="K702" s="18"/>
      <c r="L702" s="15"/>
      <c r="M702" s="15"/>
      <c r="N702" s="15"/>
      <c r="O702" s="24"/>
      <c r="P702" s="17"/>
      <c r="Q702" s="16"/>
      <c r="R702" s="19"/>
      <c r="S702" s="20"/>
    </row>
    <row r="703" spans="1:19" x14ac:dyDescent="0.25">
      <c r="A703" t="str">
        <f>(COUNTIF($K$2:K703,K703))&amp;K703</f>
        <v>0</v>
      </c>
      <c r="B703" s="34"/>
      <c r="C703" s="13"/>
      <c r="D703" s="14"/>
      <c r="E703" s="16"/>
      <c r="F703" s="17"/>
      <c r="G703" s="24"/>
      <c r="H703" s="15"/>
      <c r="I703" s="15"/>
      <c r="J703" s="15"/>
      <c r="K703" s="18"/>
      <c r="L703" s="15"/>
      <c r="M703" s="15"/>
      <c r="N703" s="15"/>
      <c r="O703" s="24"/>
      <c r="P703" s="17"/>
      <c r="Q703" s="16"/>
      <c r="R703" s="19"/>
      <c r="S703" s="20"/>
    </row>
    <row r="704" spans="1:19" x14ac:dyDescent="0.25">
      <c r="A704" t="str">
        <f>(COUNTIF($K$2:K704,K704))&amp;K704</f>
        <v>0</v>
      </c>
      <c r="B704" s="34"/>
      <c r="C704" s="13"/>
      <c r="D704" s="14"/>
      <c r="E704" s="16"/>
      <c r="F704" s="17"/>
      <c r="G704" s="24"/>
      <c r="H704" s="15"/>
      <c r="I704" s="15"/>
      <c r="J704" s="15"/>
      <c r="K704" s="18"/>
      <c r="L704" s="15"/>
      <c r="M704" s="15"/>
      <c r="N704" s="15"/>
      <c r="O704" s="24"/>
      <c r="P704" s="17"/>
      <c r="Q704" s="16"/>
      <c r="R704" s="19"/>
      <c r="S704" s="20"/>
    </row>
    <row r="705" spans="1:19" x14ac:dyDescent="0.25">
      <c r="A705" t="str">
        <f>(COUNTIF($K$2:K705,K705))&amp;K705</f>
        <v>0</v>
      </c>
      <c r="B705" s="34"/>
      <c r="C705" s="13"/>
      <c r="D705" s="14"/>
      <c r="E705" s="16"/>
      <c r="F705" s="17"/>
      <c r="G705" s="24"/>
      <c r="H705" s="15"/>
      <c r="I705" s="15"/>
      <c r="J705" s="15"/>
      <c r="K705" s="18"/>
      <c r="L705" s="15"/>
      <c r="M705" s="15"/>
      <c r="N705" s="15"/>
      <c r="O705" s="24"/>
      <c r="P705" s="17"/>
      <c r="Q705" s="16"/>
      <c r="R705" s="19"/>
      <c r="S705" s="20"/>
    </row>
    <row r="706" spans="1:19" x14ac:dyDescent="0.25">
      <c r="A706" t="str">
        <f>(COUNTIF($K$2:K706,K706))&amp;K706</f>
        <v>0</v>
      </c>
      <c r="B706" s="34"/>
      <c r="C706" s="13"/>
      <c r="D706" s="14"/>
      <c r="E706" s="16"/>
      <c r="F706" s="17"/>
      <c r="G706" s="24"/>
      <c r="H706" s="15"/>
      <c r="I706" s="15"/>
      <c r="J706" s="15"/>
      <c r="K706" s="18"/>
      <c r="L706" s="15"/>
      <c r="M706" s="15"/>
      <c r="N706" s="15"/>
      <c r="O706" s="24"/>
      <c r="P706" s="17"/>
      <c r="Q706" s="16"/>
      <c r="R706" s="19"/>
      <c r="S706" s="20"/>
    </row>
    <row r="707" spans="1:19" ht="15.75" x14ac:dyDescent="0.25">
      <c r="A707" t="str">
        <f>(COUNTIF($K$2:K707,K707))&amp;K707</f>
        <v>0</v>
      </c>
      <c r="B707" s="34"/>
      <c r="C707" s="13"/>
      <c r="D707" s="14"/>
      <c r="E707" s="16"/>
      <c r="F707" s="17"/>
      <c r="G707" s="24"/>
      <c r="H707" s="15"/>
      <c r="I707" s="15"/>
      <c r="J707" s="15"/>
      <c r="K707" s="21"/>
      <c r="L707" s="15"/>
      <c r="M707" s="15"/>
      <c r="N707" s="15"/>
      <c r="O707" s="24"/>
      <c r="P707" s="17"/>
      <c r="Q707" s="16"/>
      <c r="R707" s="19"/>
      <c r="S707" s="20"/>
    </row>
    <row r="708" spans="1:19" x14ac:dyDescent="0.25">
      <c r="A708" t="str">
        <f>(COUNTIF($K$2:K708,K708))&amp;K708</f>
        <v>0</v>
      </c>
      <c r="B708" s="34"/>
      <c r="C708" s="13"/>
      <c r="D708" s="14"/>
      <c r="E708" s="16"/>
      <c r="F708" s="17"/>
      <c r="G708" s="24"/>
      <c r="H708" s="15"/>
      <c r="I708" s="15"/>
      <c r="J708" s="15"/>
      <c r="K708" s="18"/>
      <c r="L708" s="15"/>
      <c r="M708" s="15"/>
      <c r="N708" s="15"/>
      <c r="O708" s="24"/>
      <c r="P708" s="17"/>
      <c r="Q708" s="16"/>
      <c r="R708" s="19"/>
      <c r="S708" s="20"/>
    </row>
    <row r="709" spans="1:19" x14ac:dyDescent="0.25">
      <c r="A709" t="str">
        <f>(COUNTIF($K$2:K709,K709))&amp;K709</f>
        <v>0</v>
      </c>
      <c r="B709" s="34"/>
      <c r="C709" s="13"/>
      <c r="D709" s="14"/>
      <c r="E709" s="16"/>
      <c r="F709" s="17"/>
      <c r="G709" s="24"/>
      <c r="H709" s="15"/>
      <c r="I709" s="15"/>
      <c r="J709" s="15"/>
      <c r="K709" s="18"/>
      <c r="L709" s="15"/>
      <c r="M709" s="15"/>
      <c r="N709" s="15"/>
      <c r="O709" s="24"/>
      <c r="P709" s="17"/>
      <c r="Q709" s="16"/>
      <c r="R709" s="19"/>
      <c r="S709" s="20"/>
    </row>
    <row r="710" spans="1:19" x14ac:dyDescent="0.25">
      <c r="A710" t="str">
        <f>(COUNTIF($K$2:K710,K710))&amp;K710</f>
        <v>0</v>
      </c>
      <c r="B710" s="34"/>
      <c r="C710" s="13"/>
      <c r="D710" s="14"/>
      <c r="E710" s="16"/>
      <c r="F710" s="17"/>
      <c r="G710" s="24"/>
      <c r="H710" s="15"/>
      <c r="I710" s="15"/>
      <c r="J710" s="15"/>
      <c r="K710" s="18"/>
      <c r="L710" s="15"/>
      <c r="M710" s="15"/>
      <c r="N710" s="15"/>
      <c r="O710" s="24"/>
      <c r="P710" s="17"/>
      <c r="Q710" s="16"/>
      <c r="R710" s="19"/>
      <c r="S710" s="20"/>
    </row>
    <row r="711" spans="1:19" x14ac:dyDescent="0.25">
      <c r="A711" t="str">
        <f>(COUNTIF($K$2:K711,K711))&amp;K711</f>
        <v>0</v>
      </c>
      <c r="B711" s="34"/>
      <c r="C711" s="13"/>
      <c r="D711" s="14"/>
      <c r="E711" s="16"/>
      <c r="F711" s="17"/>
      <c r="G711" s="24"/>
      <c r="H711" s="15"/>
      <c r="I711" s="15"/>
      <c r="J711" s="15"/>
      <c r="K711" s="18"/>
      <c r="L711" s="15"/>
      <c r="M711" s="15"/>
      <c r="N711" s="15"/>
      <c r="O711" s="24"/>
      <c r="P711" s="17"/>
      <c r="Q711" s="16"/>
      <c r="R711" s="19"/>
      <c r="S711" s="20"/>
    </row>
    <row r="712" spans="1:19" x14ac:dyDescent="0.25">
      <c r="A712" t="str">
        <f>(COUNTIF($K$2:K712,K712))&amp;K712</f>
        <v>0</v>
      </c>
      <c r="B712" s="34"/>
      <c r="C712" s="13"/>
      <c r="D712" s="14"/>
      <c r="E712" s="16"/>
      <c r="F712" s="17"/>
      <c r="G712" s="24"/>
      <c r="H712" s="15"/>
      <c r="I712" s="15"/>
      <c r="J712" s="15"/>
      <c r="K712" s="18"/>
      <c r="L712" s="15"/>
      <c r="M712" s="15"/>
      <c r="N712" s="15"/>
      <c r="O712" s="24"/>
      <c r="P712" s="17"/>
      <c r="Q712" s="16"/>
      <c r="R712" s="19"/>
      <c r="S712" s="20"/>
    </row>
    <row r="713" spans="1:19" x14ac:dyDescent="0.25">
      <c r="A713" t="str">
        <f>(COUNTIF($K$2:K713,K713))&amp;K713</f>
        <v>0</v>
      </c>
      <c r="B713" s="34"/>
      <c r="C713" s="13"/>
      <c r="D713" s="14"/>
      <c r="E713" s="16"/>
      <c r="F713" s="17"/>
      <c r="G713" s="24"/>
      <c r="H713" s="15"/>
      <c r="I713" s="15"/>
      <c r="J713" s="15"/>
      <c r="K713" s="18"/>
      <c r="L713" s="15"/>
      <c r="M713" s="15"/>
      <c r="N713" s="15"/>
      <c r="O713" s="24"/>
      <c r="P713" s="17"/>
      <c r="Q713" s="16"/>
      <c r="R713" s="19"/>
      <c r="S713" s="20"/>
    </row>
    <row r="714" spans="1:19" x14ac:dyDescent="0.25">
      <c r="A714" t="str">
        <f>(COUNTIF($K$2:K714,K714))&amp;K714</f>
        <v>0</v>
      </c>
      <c r="B714" s="34"/>
      <c r="C714" s="13"/>
      <c r="D714" s="14"/>
      <c r="E714" s="16"/>
      <c r="F714" s="17"/>
      <c r="G714" s="24"/>
      <c r="H714" s="15"/>
      <c r="I714" s="15"/>
      <c r="J714" s="15"/>
      <c r="K714" s="18"/>
      <c r="L714" s="15"/>
      <c r="M714" s="15"/>
      <c r="N714" s="15"/>
      <c r="O714" s="24"/>
      <c r="P714" s="17"/>
      <c r="Q714" s="16"/>
      <c r="R714" s="19"/>
      <c r="S714" s="20"/>
    </row>
    <row r="715" spans="1:19" x14ac:dyDescent="0.25">
      <c r="A715" t="str">
        <f>(COUNTIF($K$2:K715,K715))&amp;K715</f>
        <v>0</v>
      </c>
      <c r="B715" s="34"/>
      <c r="C715" s="41"/>
      <c r="E715" s="33"/>
      <c r="F715" s="39"/>
      <c r="G715" s="40"/>
      <c r="H715" s="38"/>
      <c r="I715" s="38"/>
      <c r="J715" s="38"/>
      <c r="K715" s="54"/>
      <c r="L715" s="38"/>
      <c r="M715" s="38"/>
      <c r="N715" s="38"/>
      <c r="P715" s="40"/>
      <c r="Q715" s="33"/>
      <c r="R715" s="38"/>
      <c r="S715" s="38"/>
    </row>
    <row r="716" spans="1:19" x14ac:dyDescent="0.25">
      <c r="A716" t="str">
        <f>(COUNTIF($K$2:K716,K716))&amp;K716</f>
        <v>0</v>
      </c>
      <c r="B716" s="34"/>
      <c r="C716" s="13"/>
      <c r="D716" s="14"/>
      <c r="E716" s="16"/>
      <c r="F716" s="17"/>
      <c r="G716" s="24"/>
      <c r="H716" s="15"/>
      <c r="I716" s="15"/>
      <c r="J716" s="15"/>
      <c r="K716" s="18"/>
      <c r="L716" s="15"/>
      <c r="M716" s="15"/>
      <c r="N716" s="15"/>
      <c r="O716" s="24"/>
      <c r="P716" s="17"/>
      <c r="Q716" s="16"/>
      <c r="R716" s="19"/>
      <c r="S716" s="20"/>
    </row>
    <row r="717" spans="1:19" x14ac:dyDescent="0.25">
      <c r="A717" t="str">
        <f>(COUNTIF($K$2:K717,K717))&amp;K717</f>
        <v>0</v>
      </c>
      <c r="B717" s="34"/>
      <c r="C717" s="13"/>
      <c r="D717" s="14"/>
      <c r="E717" s="16"/>
      <c r="F717" s="17"/>
      <c r="G717" s="24"/>
      <c r="H717" s="15"/>
      <c r="I717" s="15"/>
      <c r="J717" s="15"/>
      <c r="K717" s="18"/>
      <c r="L717" s="15"/>
      <c r="M717" s="15"/>
      <c r="N717" s="15"/>
      <c r="O717" s="24"/>
      <c r="P717" s="17"/>
      <c r="Q717" s="16"/>
      <c r="R717" s="19"/>
      <c r="S717" s="20"/>
    </row>
    <row r="718" spans="1:19" x14ac:dyDescent="0.25">
      <c r="A718" t="str">
        <f>(COUNTIF($K$2:K718,K718))&amp;K718</f>
        <v>0</v>
      </c>
      <c r="B718" s="34"/>
      <c r="C718" s="13"/>
      <c r="D718" s="14"/>
      <c r="E718" s="16"/>
      <c r="F718" s="17"/>
      <c r="G718" s="24"/>
      <c r="H718" s="15"/>
      <c r="I718" s="15"/>
      <c r="J718" s="15"/>
      <c r="K718" s="18"/>
      <c r="L718" s="15"/>
      <c r="M718" s="15"/>
      <c r="N718" s="15"/>
      <c r="O718" s="24"/>
      <c r="P718" s="17"/>
      <c r="Q718" s="16"/>
      <c r="R718" s="19"/>
      <c r="S718" s="20"/>
    </row>
    <row r="719" spans="1:19" x14ac:dyDescent="0.25">
      <c r="A719" t="str">
        <f>(COUNTIF($K$2:K719,K719))&amp;K719</f>
        <v>0</v>
      </c>
      <c r="B719" s="34"/>
      <c r="C719" s="13"/>
      <c r="D719" s="14"/>
      <c r="E719" s="16"/>
      <c r="F719" s="17"/>
      <c r="G719" s="24"/>
      <c r="H719" s="15"/>
      <c r="I719" s="15"/>
      <c r="J719" s="15"/>
      <c r="K719" s="18"/>
      <c r="L719" s="15"/>
      <c r="M719" s="15"/>
      <c r="N719" s="15"/>
      <c r="O719" s="24"/>
      <c r="P719" s="17"/>
      <c r="Q719" s="16"/>
      <c r="R719" s="19"/>
      <c r="S719" s="20"/>
    </row>
    <row r="720" spans="1:19" x14ac:dyDescent="0.25">
      <c r="A720" t="str">
        <f>(COUNTIF($K$2:K720,K720))&amp;K720</f>
        <v>0</v>
      </c>
      <c r="B720" s="34"/>
      <c r="C720" s="13"/>
      <c r="D720" s="14"/>
      <c r="E720" s="16"/>
      <c r="F720" s="17"/>
      <c r="G720" s="24"/>
      <c r="H720" s="15"/>
      <c r="I720" s="15"/>
      <c r="J720" s="15"/>
      <c r="K720" s="18"/>
      <c r="L720" s="15"/>
      <c r="M720" s="15"/>
      <c r="N720" s="15"/>
      <c r="O720" s="24"/>
      <c r="P720" s="17"/>
      <c r="Q720" s="16"/>
      <c r="R720" s="19"/>
      <c r="S720" s="20"/>
    </row>
    <row r="721" spans="1:19" x14ac:dyDescent="0.25">
      <c r="A721" t="str">
        <f>(COUNTIF($K$2:K721,K721))&amp;K721</f>
        <v>0</v>
      </c>
      <c r="B721" s="34"/>
      <c r="C721" s="13"/>
      <c r="D721" s="14"/>
      <c r="E721" s="16"/>
      <c r="F721" s="17"/>
      <c r="G721" s="24"/>
      <c r="H721" s="15"/>
      <c r="I721" s="15"/>
      <c r="J721" s="15"/>
      <c r="K721" s="18"/>
      <c r="L721" s="15"/>
      <c r="M721" s="15"/>
      <c r="N721" s="15"/>
      <c r="O721" s="24"/>
      <c r="P721" s="17"/>
      <c r="Q721" s="16"/>
      <c r="R721" s="19"/>
      <c r="S721" s="20"/>
    </row>
    <row r="722" spans="1:19" x14ac:dyDescent="0.25">
      <c r="A722" t="str">
        <f>(COUNTIF($K$2:K722,K722))&amp;K722</f>
        <v>0</v>
      </c>
      <c r="B722" s="34"/>
      <c r="C722" s="13"/>
      <c r="D722" s="14"/>
      <c r="E722" s="16"/>
      <c r="F722" s="17"/>
      <c r="G722" s="24"/>
      <c r="H722" s="15"/>
      <c r="I722" s="15"/>
      <c r="J722" s="15"/>
      <c r="K722" s="18"/>
      <c r="L722" s="15"/>
      <c r="M722" s="15"/>
      <c r="N722" s="15"/>
      <c r="O722" s="24"/>
      <c r="P722" s="17"/>
      <c r="Q722" s="16"/>
      <c r="R722" s="19"/>
      <c r="S722" s="20"/>
    </row>
    <row r="723" spans="1:19" x14ac:dyDescent="0.25">
      <c r="A723" t="str">
        <f>(COUNTIF($K$2:K723,K723))&amp;K723</f>
        <v>0</v>
      </c>
      <c r="B723" s="34"/>
      <c r="C723" s="13"/>
      <c r="D723" s="14"/>
      <c r="E723" s="16"/>
      <c r="F723" s="17"/>
      <c r="G723" s="24"/>
      <c r="H723" s="15"/>
      <c r="I723" s="15"/>
      <c r="J723" s="15"/>
      <c r="K723" s="18"/>
      <c r="L723" s="15"/>
      <c r="M723" s="15"/>
      <c r="N723" s="15"/>
      <c r="O723" s="24"/>
      <c r="P723" s="17"/>
      <c r="Q723" s="16"/>
      <c r="R723" s="19"/>
      <c r="S723" s="20"/>
    </row>
    <row r="724" spans="1:19" ht="15.75" x14ac:dyDescent="0.25">
      <c r="A724" t="str">
        <f>(COUNTIF($K$2:K724,K724))&amp;K724</f>
        <v>0</v>
      </c>
      <c r="B724" s="34"/>
      <c r="C724" s="13"/>
      <c r="D724" s="14"/>
      <c r="E724" s="16"/>
      <c r="F724" s="17"/>
      <c r="G724" s="24"/>
      <c r="H724" s="15"/>
      <c r="I724" s="15"/>
      <c r="J724" s="15"/>
      <c r="K724" s="21"/>
      <c r="L724" s="15"/>
      <c r="M724" s="15"/>
      <c r="N724" s="15"/>
      <c r="O724" s="24"/>
      <c r="P724" s="17"/>
      <c r="Q724" s="16"/>
      <c r="R724" s="19"/>
      <c r="S724" s="20"/>
    </row>
    <row r="725" spans="1:19" x14ac:dyDescent="0.25">
      <c r="A725" t="str">
        <f>(COUNTIF($K$2:K725,K725))&amp;K725</f>
        <v>0</v>
      </c>
      <c r="B725" s="34"/>
      <c r="C725" s="13"/>
      <c r="D725" s="14"/>
      <c r="E725" s="16"/>
      <c r="F725" s="17"/>
      <c r="G725" s="24"/>
      <c r="H725" s="15"/>
      <c r="I725" s="15"/>
      <c r="J725" s="15"/>
      <c r="K725" s="18"/>
      <c r="L725" s="15"/>
      <c r="M725" s="15"/>
      <c r="N725" s="15"/>
      <c r="O725" s="24"/>
      <c r="P725" s="17"/>
      <c r="Q725" s="16"/>
      <c r="R725" s="19"/>
      <c r="S725" s="20"/>
    </row>
    <row r="726" spans="1:19" x14ac:dyDescent="0.25">
      <c r="A726" t="str">
        <f>(COUNTIF($K$2:K726,K726))&amp;K726</f>
        <v>0</v>
      </c>
      <c r="B726" s="34"/>
      <c r="C726" s="13"/>
      <c r="D726" s="14"/>
      <c r="E726" s="16"/>
      <c r="F726" s="17"/>
      <c r="G726" s="24"/>
      <c r="H726" s="15"/>
      <c r="I726" s="15"/>
      <c r="J726" s="15"/>
      <c r="K726" s="18"/>
      <c r="L726" s="15"/>
      <c r="M726" s="15"/>
      <c r="N726" s="15"/>
      <c r="O726" s="24"/>
      <c r="P726" s="17"/>
      <c r="Q726" s="16"/>
      <c r="R726" s="19"/>
      <c r="S726" s="20"/>
    </row>
    <row r="727" spans="1:19" x14ac:dyDescent="0.25">
      <c r="A727" t="str">
        <f>(COUNTIF($K$2:K727,K727))&amp;K727</f>
        <v>0</v>
      </c>
      <c r="B727" s="34"/>
      <c r="C727" s="13"/>
      <c r="D727" s="14"/>
      <c r="E727" s="16"/>
      <c r="F727" s="17"/>
      <c r="G727" s="24"/>
      <c r="H727" s="15"/>
      <c r="I727" s="15"/>
      <c r="J727" s="15"/>
      <c r="K727" s="18"/>
      <c r="L727" s="15"/>
      <c r="M727" s="15"/>
      <c r="N727" s="15"/>
      <c r="O727" s="24"/>
      <c r="P727" s="17"/>
      <c r="Q727" s="16"/>
      <c r="R727" s="19"/>
      <c r="S727" s="20"/>
    </row>
    <row r="728" spans="1:19" x14ac:dyDescent="0.25">
      <c r="A728" t="str">
        <f>(COUNTIF($K$2:K728,K728))&amp;K728</f>
        <v>0</v>
      </c>
      <c r="B728" s="34"/>
      <c r="C728" s="13"/>
      <c r="D728" s="14"/>
      <c r="E728" s="16"/>
      <c r="F728" s="17"/>
      <c r="G728" s="24"/>
      <c r="H728" s="15"/>
      <c r="I728" s="15"/>
      <c r="J728" s="15"/>
      <c r="K728" s="18"/>
      <c r="L728" s="15"/>
      <c r="M728" s="15"/>
      <c r="N728" s="15"/>
      <c r="O728" s="24"/>
      <c r="P728" s="17"/>
      <c r="Q728" s="16"/>
      <c r="R728" s="19"/>
      <c r="S728" s="20"/>
    </row>
    <row r="729" spans="1:19" x14ac:dyDescent="0.25">
      <c r="A729" t="str">
        <f>(COUNTIF($K$2:K729,K729))&amp;K729</f>
        <v>0</v>
      </c>
      <c r="B729" s="34"/>
      <c r="C729" s="13"/>
      <c r="D729" s="14"/>
      <c r="E729" s="16"/>
      <c r="F729" s="17"/>
      <c r="G729" s="24"/>
      <c r="H729" s="15"/>
      <c r="I729" s="15"/>
      <c r="J729" s="15"/>
      <c r="K729" s="18"/>
      <c r="L729" s="15"/>
      <c r="M729" s="15"/>
      <c r="N729" s="15"/>
      <c r="O729" s="24"/>
      <c r="P729" s="17"/>
      <c r="Q729" s="16"/>
      <c r="R729" s="19"/>
      <c r="S729" s="20"/>
    </row>
    <row r="730" spans="1:19" x14ac:dyDescent="0.25">
      <c r="A730" t="str">
        <f>(COUNTIF($K$2:K730,K730))&amp;K730</f>
        <v>0</v>
      </c>
      <c r="B730" s="34"/>
      <c r="C730" s="13"/>
      <c r="D730" s="14"/>
      <c r="E730" s="16"/>
      <c r="F730" s="17"/>
      <c r="G730" s="24"/>
      <c r="H730" s="15"/>
      <c r="I730" s="15"/>
      <c r="J730" s="15"/>
      <c r="K730" s="18"/>
      <c r="L730" s="15"/>
      <c r="M730" s="15"/>
      <c r="N730" s="15"/>
      <c r="O730" s="24"/>
      <c r="P730" s="17"/>
      <c r="Q730" s="16"/>
      <c r="R730" s="19"/>
      <c r="S730" s="20"/>
    </row>
    <row r="731" spans="1:19" x14ac:dyDescent="0.25">
      <c r="A731" t="str">
        <f>(COUNTIF($K$2:K731,K731))&amp;K731</f>
        <v>0</v>
      </c>
      <c r="B731" s="34"/>
      <c r="C731" s="13"/>
      <c r="D731" s="14"/>
      <c r="E731" s="16"/>
      <c r="F731" s="17"/>
      <c r="G731" s="24"/>
      <c r="H731" s="15"/>
      <c r="I731" s="15"/>
      <c r="J731" s="15"/>
      <c r="K731" s="18"/>
      <c r="L731" s="15"/>
      <c r="M731" s="15"/>
      <c r="N731" s="15"/>
      <c r="O731" s="24"/>
      <c r="P731" s="17"/>
      <c r="Q731" s="16"/>
      <c r="R731" s="19"/>
      <c r="S731" s="20"/>
    </row>
    <row r="732" spans="1:19" x14ac:dyDescent="0.25">
      <c r="A732" t="str">
        <f>(COUNTIF($K$2:K732,K732))&amp;K732</f>
        <v>0</v>
      </c>
      <c r="B732" s="34"/>
      <c r="C732" s="41"/>
      <c r="E732" s="33"/>
      <c r="F732" s="39"/>
      <c r="G732" s="40"/>
      <c r="H732" s="38"/>
      <c r="I732" s="38"/>
      <c r="J732" s="38"/>
      <c r="K732" s="54"/>
      <c r="L732" s="38"/>
      <c r="M732" s="38"/>
      <c r="N732" s="38"/>
      <c r="P732" s="40"/>
      <c r="Q732" s="33"/>
      <c r="R732" s="38"/>
      <c r="S732" s="38"/>
    </row>
    <row r="733" spans="1:19" x14ac:dyDescent="0.25">
      <c r="A733" t="str">
        <f>(COUNTIF($K$2:K733,K733))&amp;K733</f>
        <v>0</v>
      </c>
      <c r="B733" s="34"/>
      <c r="C733" s="13"/>
      <c r="D733" s="14"/>
      <c r="E733" s="16"/>
      <c r="F733" s="17"/>
      <c r="G733" s="24"/>
      <c r="H733" s="15"/>
      <c r="I733" s="15"/>
      <c r="J733" s="15"/>
      <c r="K733" s="18"/>
      <c r="L733" s="15"/>
      <c r="M733" s="15"/>
      <c r="N733" s="15"/>
      <c r="O733" s="24"/>
      <c r="P733" s="17"/>
      <c r="Q733" s="16"/>
      <c r="R733" s="19"/>
      <c r="S733" s="20"/>
    </row>
    <row r="734" spans="1:19" x14ac:dyDescent="0.25">
      <c r="A734" t="str">
        <f>(COUNTIF($K$2:K734,K734))&amp;K734</f>
        <v>0</v>
      </c>
      <c r="B734" s="34"/>
      <c r="C734" s="13"/>
      <c r="D734" s="14"/>
      <c r="E734" s="16"/>
      <c r="F734" s="17"/>
      <c r="G734" s="24"/>
      <c r="H734" s="15"/>
      <c r="I734" s="15"/>
      <c r="J734" s="15"/>
      <c r="K734" s="18"/>
      <c r="L734" s="15"/>
      <c r="M734" s="15"/>
      <c r="N734" s="15"/>
      <c r="O734" s="24"/>
      <c r="P734" s="17"/>
      <c r="Q734" s="16"/>
      <c r="R734" s="19"/>
      <c r="S734" s="20"/>
    </row>
    <row r="735" spans="1:19" x14ac:dyDescent="0.25">
      <c r="A735" t="str">
        <f>(COUNTIF($K$2:K735,K735))&amp;K735</f>
        <v>0</v>
      </c>
      <c r="B735" s="34"/>
      <c r="C735" s="13"/>
      <c r="D735" s="14"/>
      <c r="E735" s="16"/>
      <c r="F735" s="17"/>
      <c r="G735" s="24"/>
      <c r="H735" s="15"/>
      <c r="I735" s="15"/>
      <c r="J735" s="15"/>
      <c r="K735" s="18"/>
      <c r="L735" s="15"/>
      <c r="M735" s="15"/>
      <c r="N735" s="15"/>
      <c r="O735" s="24"/>
      <c r="P735" s="17"/>
      <c r="Q735" s="16"/>
      <c r="R735" s="19"/>
      <c r="S735" s="20"/>
    </row>
    <row r="736" spans="1:19" x14ac:dyDescent="0.25">
      <c r="A736" t="str">
        <f>(COUNTIF($K$2:K736,K736))&amp;K736</f>
        <v>0</v>
      </c>
      <c r="B736" s="34"/>
      <c r="C736" s="13"/>
      <c r="D736" s="14"/>
      <c r="E736" s="16"/>
      <c r="F736" s="17"/>
      <c r="G736" s="24"/>
      <c r="H736" s="15"/>
      <c r="I736" s="15"/>
      <c r="J736" s="15"/>
      <c r="K736" s="18"/>
      <c r="L736" s="15"/>
      <c r="M736" s="15"/>
      <c r="N736" s="15"/>
      <c r="O736" s="24"/>
      <c r="P736" s="17"/>
      <c r="Q736" s="16"/>
      <c r="R736" s="19"/>
      <c r="S736" s="20"/>
    </row>
    <row r="737" spans="1:19" x14ac:dyDescent="0.25">
      <c r="A737" t="str">
        <f>(COUNTIF($K$2:K737,K737))&amp;K737</f>
        <v>0</v>
      </c>
      <c r="B737" s="34"/>
      <c r="C737" s="13"/>
      <c r="D737" s="14"/>
      <c r="E737" s="16"/>
      <c r="F737" s="17"/>
      <c r="G737" s="24"/>
      <c r="H737" s="15"/>
      <c r="I737" s="15"/>
      <c r="J737" s="15"/>
      <c r="K737" s="18"/>
      <c r="L737" s="15"/>
      <c r="M737" s="15"/>
      <c r="N737" s="15"/>
      <c r="O737" s="24"/>
      <c r="P737" s="17"/>
      <c r="Q737" s="16"/>
      <c r="R737" s="19"/>
      <c r="S737" s="20"/>
    </row>
    <row r="738" spans="1:19" x14ac:dyDescent="0.25">
      <c r="A738" t="str">
        <f>(COUNTIF($K$2:K738,K738))&amp;K738</f>
        <v>0</v>
      </c>
      <c r="B738" s="34"/>
      <c r="C738" s="13"/>
      <c r="D738" s="14"/>
      <c r="E738" s="16"/>
      <c r="F738" s="17"/>
      <c r="G738" s="24"/>
      <c r="H738" s="15"/>
      <c r="I738" s="15"/>
      <c r="J738" s="15"/>
      <c r="K738" s="18"/>
      <c r="L738" s="15"/>
      <c r="M738" s="15"/>
      <c r="N738" s="15"/>
      <c r="O738" s="24"/>
      <c r="P738" s="17"/>
      <c r="Q738" s="16"/>
      <c r="R738" s="19"/>
      <c r="S738" s="20"/>
    </row>
    <row r="739" spans="1:19" x14ac:dyDescent="0.25">
      <c r="A739" t="str">
        <f>(COUNTIF($K$2:K739,K739))&amp;K739</f>
        <v>0</v>
      </c>
      <c r="B739" s="34"/>
      <c r="C739" s="13"/>
      <c r="D739" s="14"/>
      <c r="E739" s="16"/>
      <c r="F739" s="17"/>
      <c r="G739" s="24"/>
      <c r="H739" s="15"/>
      <c r="I739" s="15"/>
      <c r="J739" s="15"/>
      <c r="K739" s="18"/>
      <c r="L739" s="15"/>
      <c r="M739" s="15"/>
      <c r="N739" s="15"/>
      <c r="O739" s="24"/>
      <c r="P739" s="17"/>
      <c r="Q739" s="16"/>
      <c r="R739" s="19"/>
      <c r="S739" s="20"/>
    </row>
    <row r="740" spans="1:19" x14ac:dyDescent="0.25">
      <c r="A740" t="str">
        <f>(COUNTIF($K$2:K740,K740))&amp;K740</f>
        <v>0</v>
      </c>
      <c r="B740" s="34"/>
      <c r="C740" s="13"/>
      <c r="D740" s="14"/>
      <c r="E740" s="16"/>
      <c r="F740" s="17"/>
      <c r="G740" s="24"/>
      <c r="H740" s="15"/>
      <c r="I740" s="15"/>
      <c r="J740" s="15"/>
      <c r="K740" s="18"/>
      <c r="L740" s="15"/>
      <c r="M740" s="15"/>
      <c r="N740" s="15"/>
      <c r="O740" s="24"/>
      <c r="P740" s="17"/>
      <c r="Q740" s="16"/>
      <c r="R740" s="19"/>
      <c r="S740" s="20"/>
    </row>
    <row r="741" spans="1:19" ht="15.75" x14ac:dyDescent="0.25">
      <c r="A741" t="str">
        <f>(COUNTIF($K$2:K741,K741))&amp;K741</f>
        <v>0</v>
      </c>
      <c r="B741" s="34"/>
      <c r="C741" s="13"/>
      <c r="D741" s="14"/>
      <c r="E741" s="16"/>
      <c r="F741" s="17"/>
      <c r="G741" s="24"/>
      <c r="H741" s="15"/>
      <c r="I741" s="15"/>
      <c r="J741" s="15"/>
      <c r="K741" s="21"/>
      <c r="L741" s="15"/>
      <c r="M741" s="15"/>
      <c r="N741" s="15"/>
      <c r="O741" s="24"/>
      <c r="P741" s="17"/>
      <c r="Q741" s="16"/>
      <c r="R741" s="19"/>
      <c r="S741" s="20"/>
    </row>
    <row r="742" spans="1:19" x14ac:dyDescent="0.25">
      <c r="A742" t="str">
        <f>(COUNTIF($K$2:K742,K742))&amp;K742</f>
        <v>0</v>
      </c>
      <c r="B742" s="34"/>
      <c r="C742" s="13"/>
      <c r="D742" s="14"/>
      <c r="E742" s="16"/>
      <c r="F742" s="17"/>
      <c r="G742" s="24"/>
      <c r="H742" s="15"/>
      <c r="I742" s="15"/>
      <c r="J742" s="15"/>
      <c r="K742" s="18"/>
      <c r="L742" s="15"/>
      <c r="M742" s="15"/>
      <c r="N742" s="15"/>
      <c r="O742" s="24"/>
      <c r="P742" s="17"/>
      <c r="Q742" s="16"/>
      <c r="R742" s="19"/>
      <c r="S742" s="20"/>
    </row>
    <row r="743" spans="1:19" x14ac:dyDescent="0.25">
      <c r="A743" t="str">
        <f>(COUNTIF($K$2:K743,K743))&amp;K743</f>
        <v>0</v>
      </c>
      <c r="B743" s="34"/>
      <c r="C743" s="13"/>
      <c r="D743" s="14"/>
      <c r="E743" s="16"/>
      <c r="F743" s="17"/>
      <c r="G743" s="24"/>
      <c r="H743" s="15"/>
      <c r="I743" s="15"/>
      <c r="J743" s="15"/>
      <c r="K743" s="18"/>
      <c r="L743" s="15"/>
      <c r="M743" s="15"/>
      <c r="N743" s="15"/>
      <c r="O743" s="24"/>
      <c r="P743" s="17"/>
      <c r="Q743" s="16"/>
      <c r="R743" s="19"/>
      <c r="S743" s="20"/>
    </row>
    <row r="744" spans="1:19" x14ac:dyDescent="0.25">
      <c r="A744" t="str">
        <f>(COUNTIF($K$2:K744,K744))&amp;K744</f>
        <v>0</v>
      </c>
      <c r="B744" s="34"/>
      <c r="C744" s="13"/>
      <c r="D744" s="14"/>
      <c r="E744" s="16"/>
      <c r="F744" s="17"/>
      <c r="G744" s="24"/>
      <c r="H744" s="15"/>
      <c r="I744" s="15"/>
      <c r="J744" s="15"/>
      <c r="K744" s="18"/>
      <c r="L744" s="15"/>
      <c r="M744" s="15"/>
      <c r="N744" s="15"/>
      <c r="O744" s="24"/>
      <c r="P744" s="17"/>
      <c r="Q744" s="16"/>
      <c r="R744" s="19"/>
      <c r="S744" s="20"/>
    </row>
    <row r="745" spans="1:19" x14ac:dyDescent="0.25">
      <c r="A745" t="str">
        <f>(COUNTIF($K$2:K745,K745))&amp;K745</f>
        <v>0</v>
      </c>
      <c r="B745" s="34"/>
      <c r="C745" s="13"/>
      <c r="D745" s="14"/>
      <c r="E745" s="16"/>
      <c r="F745" s="17"/>
      <c r="G745" s="24"/>
      <c r="H745" s="15"/>
      <c r="I745" s="15"/>
      <c r="J745" s="15"/>
      <c r="K745" s="18"/>
      <c r="L745" s="15"/>
      <c r="M745" s="15"/>
      <c r="N745" s="15"/>
      <c r="O745" s="24"/>
      <c r="P745" s="17"/>
      <c r="Q745" s="16"/>
      <c r="R745" s="19"/>
      <c r="S745" s="20"/>
    </row>
    <row r="746" spans="1:19" x14ac:dyDescent="0.25">
      <c r="A746" t="str">
        <f>(COUNTIF($K$2:K746,K746))&amp;K746</f>
        <v>0</v>
      </c>
      <c r="B746" s="34"/>
      <c r="C746" s="13"/>
      <c r="D746" s="14"/>
      <c r="E746" s="16"/>
      <c r="F746" s="17"/>
      <c r="G746" s="24"/>
      <c r="H746" s="15"/>
      <c r="I746" s="15"/>
      <c r="J746" s="15"/>
      <c r="K746" s="18"/>
      <c r="L746" s="15"/>
      <c r="M746" s="15"/>
      <c r="N746" s="15"/>
      <c r="O746" s="24"/>
      <c r="P746" s="17"/>
      <c r="Q746" s="16"/>
      <c r="R746" s="19"/>
      <c r="S746" s="20"/>
    </row>
    <row r="747" spans="1:19" x14ac:dyDescent="0.25">
      <c r="A747" t="str">
        <f>(COUNTIF($K$2:K747,K747))&amp;K747</f>
        <v>0</v>
      </c>
      <c r="B747" s="34"/>
      <c r="C747" s="13"/>
      <c r="D747" s="14"/>
      <c r="E747" s="16"/>
      <c r="F747" s="17"/>
      <c r="G747" s="24"/>
      <c r="H747" s="15"/>
      <c r="I747" s="15"/>
      <c r="J747" s="15"/>
      <c r="K747" s="18"/>
      <c r="L747" s="15"/>
      <c r="M747" s="15"/>
      <c r="N747" s="15"/>
      <c r="O747" s="24"/>
      <c r="P747" s="17"/>
      <c r="Q747" s="16"/>
      <c r="R747" s="19"/>
      <c r="S747" s="20"/>
    </row>
    <row r="748" spans="1:19" x14ac:dyDescent="0.25">
      <c r="A748" t="str">
        <f>(COUNTIF($K$2:K748,K748))&amp;K748</f>
        <v>0</v>
      </c>
      <c r="B748" s="34"/>
      <c r="C748" s="13"/>
      <c r="D748" s="14"/>
      <c r="E748" s="16"/>
      <c r="F748" s="17"/>
      <c r="G748" s="24"/>
      <c r="H748" s="15"/>
      <c r="I748" s="15"/>
      <c r="J748" s="15"/>
      <c r="K748" s="18"/>
      <c r="L748" s="15"/>
      <c r="M748" s="15"/>
      <c r="N748" s="15"/>
      <c r="O748" s="24"/>
      <c r="P748" s="17"/>
      <c r="Q748" s="16"/>
      <c r="R748" s="19"/>
      <c r="S748" s="20"/>
    </row>
    <row r="749" spans="1:19" x14ac:dyDescent="0.25">
      <c r="A749" t="str">
        <f>(COUNTIF($K$2:K749,K749))&amp;K749</f>
        <v>0</v>
      </c>
      <c r="B749" s="34"/>
      <c r="C749" s="41"/>
      <c r="E749" s="33"/>
      <c r="F749" s="39"/>
      <c r="G749" s="40"/>
      <c r="H749" s="38"/>
      <c r="I749" s="38"/>
      <c r="J749" s="38"/>
      <c r="K749" s="54"/>
      <c r="L749" s="38"/>
      <c r="M749" s="38"/>
      <c r="N749" s="38"/>
      <c r="P749" s="40"/>
      <c r="Q749" s="33"/>
      <c r="R749" s="38"/>
      <c r="S749" s="38"/>
    </row>
    <row r="750" spans="1:19" x14ac:dyDescent="0.25">
      <c r="A750" t="str">
        <f>(COUNTIF($K$2:K750,K750))&amp;K750</f>
        <v>0</v>
      </c>
      <c r="B750" s="34"/>
      <c r="C750" s="13"/>
      <c r="D750" s="14"/>
      <c r="E750" s="16"/>
      <c r="F750" s="17"/>
      <c r="G750" s="24"/>
      <c r="H750" s="15"/>
      <c r="I750" s="15"/>
      <c r="J750" s="15"/>
      <c r="K750" s="18"/>
      <c r="L750" s="15"/>
      <c r="M750" s="15"/>
      <c r="N750" s="15"/>
      <c r="O750" s="24"/>
      <c r="P750" s="17"/>
      <c r="Q750" s="16"/>
      <c r="R750" s="19"/>
      <c r="S750" s="20"/>
    </row>
    <row r="751" spans="1:19" x14ac:dyDescent="0.25">
      <c r="A751" t="str">
        <f>(COUNTIF($K$2:K751,K751))&amp;K751</f>
        <v>0</v>
      </c>
      <c r="B751" s="34"/>
      <c r="C751" s="13"/>
      <c r="D751" s="14"/>
      <c r="E751" s="16"/>
      <c r="F751" s="17"/>
      <c r="G751" s="24"/>
      <c r="H751" s="15"/>
      <c r="I751" s="15"/>
      <c r="J751" s="15"/>
      <c r="K751" s="18"/>
      <c r="L751" s="15"/>
      <c r="M751" s="15"/>
      <c r="N751" s="15"/>
      <c r="O751" s="24"/>
      <c r="P751" s="17"/>
      <c r="Q751" s="16"/>
      <c r="R751" s="19"/>
      <c r="S751" s="20"/>
    </row>
    <row r="752" spans="1:19" x14ac:dyDescent="0.25">
      <c r="A752" t="str">
        <f>(COUNTIF($K$2:K752,K752))&amp;K752</f>
        <v>0</v>
      </c>
      <c r="B752" s="34"/>
      <c r="C752" s="13"/>
      <c r="D752" s="14"/>
      <c r="E752" s="16"/>
      <c r="F752" s="17"/>
      <c r="G752" s="24"/>
      <c r="H752" s="15"/>
      <c r="I752" s="15"/>
      <c r="J752" s="15"/>
      <c r="K752" s="18"/>
      <c r="L752" s="15"/>
      <c r="M752" s="15"/>
      <c r="N752" s="15"/>
      <c r="O752" s="24"/>
      <c r="P752" s="17"/>
      <c r="Q752" s="16"/>
      <c r="R752" s="19"/>
      <c r="S752" s="20"/>
    </row>
    <row r="753" spans="1:19" x14ac:dyDescent="0.25">
      <c r="A753" t="str">
        <f>(COUNTIF($K$2:K753,K753))&amp;K753</f>
        <v>0</v>
      </c>
      <c r="B753" s="34"/>
      <c r="C753" s="13"/>
      <c r="D753" s="14"/>
      <c r="E753" s="16"/>
      <c r="F753" s="17"/>
      <c r="G753" s="24"/>
      <c r="H753" s="15"/>
      <c r="I753" s="15"/>
      <c r="J753" s="15"/>
      <c r="K753" s="18"/>
      <c r="L753" s="15"/>
      <c r="M753" s="15"/>
      <c r="N753" s="15"/>
      <c r="O753" s="24"/>
      <c r="P753" s="17"/>
      <c r="Q753" s="16"/>
      <c r="R753" s="19"/>
      <c r="S753" s="20"/>
    </row>
    <row r="754" spans="1:19" x14ac:dyDescent="0.25">
      <c r="A754" t="str">
        <f>(COUNTIF($K$2:K754,K754))&amp;K754</f>
        <v>0</v>
      </c>
      <c r="B754" s="34"/>
      <c r="C754" s="13"/>
      <c r="D754" s="14"/>
      <c r="E754" s="16"/>
      <c r="F754" s="17"/>
      <c r="G754" s="24"/>
      <c r="H754" s="15"/>
      <c r="I754" s="15"/>
      <c r="J754" s="15"/>
      <c r="K754" s="18"/>
      <c r="L754" s="15"/>
      <c r="M754" s="15"/>
      <c r="N754" s="15"/>
      <c r="O754" s="24"/>
      <c r="P754" s="17"/>
      <c r="Q754" s="16"/>
      <c r="R754" s="19"/>
      <c r="S754" s="20"/>
    </row>
    <row r="755" spans="1:19" x14ac:dyDescent="0.25">
      <c r="A755" t="str">
        <f>(COUNTIF($K$2:K755,K755))&amp;K755</f>
        <v>0</v>
      </c>
      <c r="B755" s="34"/>
      <c r="C755" s="13"/>
      <c r="D755" s="14"/>
      <c r="E755" s="16"/>
      <c r="F755" s="17"/>
      <c r="G755" s="24"/>
      <c r="H755" s="15"/>
      <c r="I755" s="15"/>
      <c r="J755" s="15"/>
      <c r="K755" s="18"/>
      <c r="L755" s="15"/>
      <c r="M755" s="15"/>
      <c r="N755" s="15"/>
      <c r="O755" s="24"/>
      <c r="P755" s="17"/>
      <c r="Q755" s="16"/>
      <c r="R755" s="19"/>
      <c r="S755" s="20"/>
    </row>
    <row r="756" spans="1:19" x14ac:dyDescent="0.25">
      <c r="A756" t="str">
        <f>(COUNTIF($K$2:K756,K756))&amp;K756</f>
        <v>0</v>
      </c>
      <c r="B756" s="34"/>
      <c r="C756" s="13"/>
      <c r="D756" s="14"/>
      <c r="E756" s="16"/>
      <c r="F756" s="17"/>
      <c r="G756" s="24"/>
      <c r="H756" s="15"/>
      <c r="I756" s="15"/>
      <c r="J756" s="15"/>
      <c r="K756" s="18"/>
      <c r="L756" s="15"/>
      <c r="M756" s="15"/>
      <c r="N756" s="15"/>
      <c r="O756" s="24"/>
      <c r="P756" s="17"/>
      <c r="Q756" s="16"/>
      <c r="R756" s="19"/>
      <c r="S756" s="20"/>
    </row>
    <row r="757" spans="1:19" x14ac:dyDescent="0.25">
      <c r="A757" t="str">
        <f>(COUNTIF($K$2:K757,K757))&amp;K757</f>
        <v>0</v>
      </c>
      <c r="B757" s="34"/>
      <c r="C757" s="13"/>
      <c r="D757" s="14"/>
      <c r="E757" s="16"/>
      <c r="F757" s="17"/>
      <c r="G757" s="24"/>
      <c r="H757" s="15"/>
      <c r="I757" s="15"/>
      <c r="J757" s="15"/>
      <c r="K757" s="18"/>
      <c r="L757" s="15"/>
      <c r="M757" s="15"/>
      <c r="N757" s="15"/>
      <c r="O757" s="24"/>
      <c r="P757" s="17"/>
      <c r="Q757" s="16"/>
      <c r="R757" s="19"/>
      <c r="S757" s="20"/>
    </row>
    <row r="758" spans="1:19" ht="15.75" x14ac:dyDescent="0.25">
      <c r="A758" t="str">
        <f>(COUNTIF($K$2:K758,K758))&amp;K758</f>
        <v>0</v>
      </c>
      <c r="B758" s="34"/>
      <c r="C758" s="13"/>
      <c r="D758" s="14"/>
      <c r="E758" s="16"/>
      <c r="F758" s="17"/>
      <c r="G758" s="24"/>
      <c r="H758" s="15"/>
      <c r="I758" s="15"/>
      <c r="J758" s="15"/>
      <c r="K758" s="21"/>
      <c r="L758" s="15"/>
      <c r="M758" s="15"/>
      <c r="N758" s="15"/>
      <c r="O758" s="24"/>
      <c r="P758" s="17"/>
      <c r="Q758" s="16"/>
      <c r="R758" s="19"/>
      <c r="S758" s="20"/>
    </row>
    <row r="759" spans="1:19" x14ac:dyDescent="0.25">
      <c r="A759" t="str">
        <f>(COUNTIF($K$2:K759,K759))&amp;K759</f>
        <v>0</v>
      </c>
      <c r="B759" s="34"/>
      <c r="C759" s="13"/>
      <c r="D759" s="14"/>
      <c r="E759" s="16"/>
      <c r="F759" s="17"/>
      <c r="G759" s="24"/>
      <c r="H759" s="15"/>
      <c r="I759" s="15"/>
      <c r="J759" s="15"/>
      <c r="K759" s="18"/>
      <c r="L759" s="15"/>
      <c r="M759" s="15"/>
      <c r="N759" s="15"/>
      <c r="O759" s="24"/>
      <c r="P759" s="17"/>
      <c r="Q759" s="16"/>
      <c r="R759" s="19"/>
      <c r="S759" s="20"/>
    </row>
    <row r="760" spans="1:19" x14ac:dyDescent="0.25">
      <c r="A760" t="str">
        <f>(COUNTIF($K$2:K760,K760))&amp;K760</f>
        <v>0</v>
      </c>
      <c r="B760" s="34"/>
      <c r="C760" s="13"/>
      <c r="D760" s="14"/>
      <c r="E760" s="16"/>
      <c r="F760" s="17"/>
      <c r="G760" s="24"/>
      <c r="H760" s="15"/>
      <c r="I760" s="15"/>
      <c r="J760" s="15"/>
      <c r="K760" s="18"/>
      <c r="L760" s="15"/>
      <c r="M760" s="15"/>
      <c r="N760" s="15"/>
      <c r="O760" s="24"/>
      <c r="P760" s="17"/>
      <c r="Q760" s="16"/>
      <c r="R760" s="19"/>
      <c r="S760" s="20"/>
    </row>
    <row r="761" spans="1:19" x14ac:dyDescent="0.25">
      <c r="A761" t="str">
        <f>(COUNTIF($K$2:K761,K761))&amp;K761</f>
        <v>0</v>
      </c>
      <c r="B761" s="34"/>
      <c r="C761" s="13"/>
      <c r="D761" s="14"/>
      <c r="E761" s="16"/>
      <c r="F761" s="17"/>
      <c r="G761" s="24"/>
      <c r="H761" s="15"/>
      <c r="I761" s="15"/>
      <c r="J761" s="15"/>
      <c r="K761" s="18"/>
      <c r="L761" s="15"/>
      <c r="M761" s="15"/>
      <c r="N761" s="15"/>
      <c r="O761" s="24"/>
      <c r="P761" s="17"/>
      <c r="Q761" s="16"/>
      <c r="R761" s="19"/>
      <c r="S761" s="20"/>
    </row>
    <row r="762" spans="1:19" x14ac:dyDescent="0.25">
      <c r="A762" t="str">
        <f>(COUNTIF($K$2:K762,K762))&amp;K762</f>
        <v>0</v>
      </c>
      <c r="B762" s="34"/>
      <c r="C762" s="13"/>
      <c r="D762" s="14"/>
      <c r="E762" s="16"/>
      <c r="F762" s="17"/>
      <c r="G762" s="24"/>
      <c r="H762" s="15"/>
      <c r="I762" s="15"/>
      <c r="J762" s="15"/>
      <c r="K762" s="18"/>
      <c r="L762" s="15"/>
      <c r="M762" s="15"/>
      <c r="N762" s="15"/>
      <c r="O762" s="24"/>
      <c r="P762" s="17"/>
      <c r="Q762" s="16"/>
      <c r="R762" s="19"/>
      <c r="S762" s="20"/>
    </row>
    <row r="763" spans="1:19" x14ac:dyDescent="0.25">
      <c r="A763" t="str">
        <f>(COUNTIF($K$2:K763,K763))&amp;K763</f>
        <v>0</v>
      </c>
      <c r="B763" s="34"/>
      <c r="C763" s="13"/>
      <c r="D763" s="14"/>
      <c r="E763" s="16"/>
      <c r="F763" s="17"/>
      <c r="G763" s="24"/>
      <c r="H763" s="15"/>
      <c r="I763" s="15"/>
      <c r="J763" s="15"/>
      <c r="K763" s="18"/>
      <c r="L763" s="15"/>
      <c r="M763" s="15"/>
      <c r="N763" s="15"/>
      <c r="O763" s="24"/>
      <c r="P763" s="17"/>
      <c r="Q763" s="16"/>
      <c r="R763" s="19"/>
      <c r="S763" s="20"/>
    </row>
    <row r="764" spans="1:19" x14ac:dyDescent="0.25">
      <c r="A764" t="str">
        <f>(COUNTIF($K$2:K764,K764))&amp;K764</f>
        <v>0</v>
      </c>
      <c r="B764" s="34"/>
      <c r="C764" s="13"/>
      <c r="D764" s="14"/>
      <c r="E764" s="16"/>
      <c r="F764" s="17"/>
      <c r="G764" s="24"/>
      <c r="H764" s="15"/>
      <c r="I764" s="15"/>
      <c r="J764" s="15"/>
      <c r="K764" s="18"/>
      <c r="L764" s="15"/>
      <c r="M764" s="15"/>
      <c r="N764" s="15"/>
      <c r="O764" s="24"/>
      <c r="P764" s="17"/>
      <c r="Q764" s="16"/>
      <c r="R764" s="19"/>
      <c r="S764" s="20"/>
    </row>
    <row r="765" spans="1:19" x14ac:dyDescent="0.25">
      <c r="A765" t="str">
        <f>(COUNTIF($K$2:K765,K765))&amp;K765</f>
        <v>0</v>
      </c>
      <c r="B765" s="34"/>
      <c r="C765" s="13"/>
      <c r="D765" s="14"/>
      <c r="E765" s="16"/>
      <c r="F765" s="17"/>
      <c r="G765" s="24"/>
      <c r="H765" s="15"/>
      <c r="I765" s="15"/>
      <c r="J765" s="15"/>
      <c r="K765" s="18"/>
      <c r="L765" s="15"/>
      <c r="M765" s="15"/>
      <c r="N765" s="15"/>
      <c r="O765" s="24"/>
      <c r="P765" s="17"/>
      <c r="Q765" s="16"/>
      <c r="R765" s="19"/>
      <c r="S765" s="20"/>
    </row>
    <row r="766" spans="1:19" x14ac:dyDescent="0.25">
      <c r="A766" t="str">
        <f>(COUNTIF($K$2:K766,K766))&amp;K766</f>
        <v>0</v>
      </c>
      <c r="B766" s="34"/>
      <c r="C766" s="41"/>
      <c r="E766" s="33"/>
      <c r="F766" s="39"/>
      <c r="G766" s="40"/>
      <c r="H766" s="38"/>
      <c r="I766" s="38"/>
      <c r="J766" s="38"/>
      <c r="K766" s="54"/>
      <c r="L766" s="38"/>
      <c r="M766" s="38"/>
      <c r="N766" s="38"/>
      <c r="P766" s="40"/>
      <c r="Q766" s="33"/>
      <c r="R766" s="38"/>
      <c r="S766" s="38"/>
    </row>
    <row r="767" spans="1:19" x14ac:dyDescent="0.25">
      <c r="A767" t="str">
        <f>(COUNTIF($K$2:K767,K767))&amp;K767</f>
        <v>0</v>
      </c>
      <c r="B767" s="34"/>
      <c r="C767" s="13"/>
      <c r="D767" s="14"/>
      <c r="E767" s="16"/>
      <c r="F767" s="17"/>
      <c r="G767" s="24"/>
      <c r="H767" s="15"/>
      <c r="I767" s="15"/>
      <c r="J767" s="15"/>
      <c r="K767" s="18"/>
      <c r="L767" s="15"/>
      <c r="M767" s="15"/>
      <c r="N767" s="15"/>
      <c r="O767" s="24"/>
      <c r="P767" s="17"/>
      <c r="Q767" s="16"/>
      <c r="R767" s="19"/>
      <c r="S767" s="20"/>
    </row>
    <row r="768" spans="1:19" x14ac:dyDescent="0.25">
      <c r="A768" t="str">
        <f>(COUNTIF($K$2:K768,K768))&amp;K768</f>
        <v>0</v>
      </c>
      <c r="B768" s="34"/>
      <c r="C768" s="13"/>
      <c r="D768" s="14"/>
      <c r="E768" s="16"/>
      <c r="F768" s="17"/>
      <c r="G768" s="24"/>
      <c r="H768" s="15"/>
      <c r="I768" s="15"/>
      <c r="J768" s="15"/>
      <c r="K768" s="18"/>
      <c r="L768" s="15"/>
      <c r="M768" s="15"/>
      <c r="N768" s="15"/>
      <c r="O768" s="24"/>
      <c r="P768" s="17"/>
      <c r="Q768" s="16"/>
      <c r="R768" s="19"/>
      <c r="S768" s="20"/>
    </row>
    <row r="769" spans="1:19" x14ac:dyDescent="0.25">
      <c r="A769" t="str">
        <f>(COUNTIF($K$2:K769,K769))&amp;K769</f>
        <v>0</v>
      </c>
      <c r="B769" s="34"/>
      <c r="C769" s="13"/>
      <c r="D769" s="14"/>
      <c r="E769" s="16"/>
      <c r="F769" s="17"/>
      <c r="G769" s="24"/>
      <c r="H769" s="15"/>
      <c r="I769" s="15"/>
      <c r="J769" s="15"/>
      <c r="K769" s="18"/>
      <c r="L769" s="15"/>
      <c r="M769" s="15"/>
      <c r="N769" s="15"/>
      <c r="O769" s="24"/>
      <c r="P769" s="17"/>
      <c r="Q769" s="16"/>
      <c r="R769" s="19"/>
      <c r="S769" s="20"/>
    </row>
    <row r="770" spans="1:19" x14ac:dyDescent="0.25">
      <c r="A770" t="str">
        <f>(COUNTIF($K$2:K770,K770))&amp;K770</f>
        <v>0</v>
      </c>
      <c r="B770" s="34"/>
      <c r="C770" s="13"/>
      <c r="D770" s="14"/>
      <c r="E770" s="16"/>
      <c r="F770" s="17"/>
      <c r="G770" s="24"/>
      <c r="H770" s="15"/>
      <c r="I770" s="15"/>
      <c r="J770" s="15"/>
      <c r="K770" s="18"/>
      <c r="L770" s="15"/>
      <c r="M770" s="15"/>
      <c r="N770" s="15"/>
      <c r="O770" s="24"/>
      <c r="P770" s="17"/>
      <c r="Q770" s="16"/>
      <c r="R770" s="19"/>
      <c r="S770" s="20"/>
    </row>
    <row r="771" spans="1:19" x14ac:dyDescent="0.25">
      <c r="A771" t="str">
        <f>(COUNTIF($K$2:K771,K771))&amp;K771</f>
        <v>0</v>
      </c>
      <c r="B771" s="34"/>
      <c r="C771" s="13"/>
      <c r="D771" s="14"/>
      <c r="E771" s="16"/>
      <c r="F771" s="17"/>
      <c r="G771" s="24"/>
      <c r="H771" s="15"/>
      <c r="I771" s="15"/>
      <c r="J771" s="15"/>
      <c r="K771" s="18"/>
      <c r="L771" s="15"/>
      <c r="M771" s="15"/>
      <c r="N771" s="15"/>
      <c r="O771" s="24"/>
      <c r="P771" s="17"/>
      <c r="Q771" s="16"/>
      <c r="R771" s="19"/>
      <c r="S771" s="20"/>
    </row>
    <row r="772" spans="1:19" x14ac:dyDescent="0.25">
      <c r="A772" t="str">
        <f>(COUNTIF($K$2:K772,K772))&amp;K772</f>
        <v>0</v>
      </c>
      <c r="B772" s="34"/>
      <c r="C772" s="13"/>
      <c r="D772" s="14"/>
      <c r="E772" s="16"/>
      <c r="F772" s="17"/>
      <c r="G772" s="24"/>
      <c r="H772" s="15"/>
      <c r="I772" s="15"/>
      <c r="J772" s="15"/>
      <c r="K772" s="18"/>
      <c r="L772" s="15"/>
      <c r="M772" s="15"/>
      <c r="N772" s="15"/>
      <c r="O772" s="24"/>
      <c r="P772" s="17"/>
      <c r="Q772" s="16"/>
      <c r="R772" s="19"/>
      <c r="S772" s="20"/>
    </row>
    <row r="773" spans="1:19" x14ac:dyDescent="0.25">
      <c r="A773" t="str">
        <f>(COUNTIF($K$2:K773,K773))&amp;K773</f>
        <v>0</v>
      </c>
      <c r="B773" s="34"/>
      <c r="C773" s="13"/>
      <c r="D773" s="14"/>
      <c r="E773" s="16"/>
      <c r="F773" s="17"/>
      <c r="G773" s="24"/>
      <c r="H773" s="15"/>
      <c r="I773" s="15"/>
      <c r="J773" s="15"/>
      <c r="K773" s="18"/>
      <c r="L773" s="15"/>
      <c r="M773" s="15"/>
      <c r="N773" s="15"/>
      <c r="O773" s="24"/>
      <c r="P773" s="17"/>
      <c r="Q773" s="16"/>
      <c r="R773" s="19"/>
      <c r="S773" s="20"/>
    </row>
    <row r="774" spans="1:19" x14ac:dyDescent="0.25">
      <c r="A774" t="str">
        <f>(COUNTIF($K$2:K774,K774))&amp;K774</f>
        <v>0</v>
      </c>
      <c r="B774" s="34"/>
      <c r="C774" s="13"/>
      <c r="D774" s="14"/>
      <c r="E774" s="16"/>
      <c r="F774" s="17"/>
      <c r="G774" s="24"/>
      <c r="H774" s="15"/>
      <c r="I774" s="15"/>
      <c r="J774" s="15"/>
      <c r="K774" s="18"/>
      <c r="L774" s="15"/>
      <c r="M774" s="15"/>
      <c r="N774" s="15"/>
      <c r="O774" s="24"/>
      <c r="P774" s="17"/>
      <c r="Q774" s="16"/>
      <c r="R774" s="19"/>
      <c r="S774" s="20"/>
    </row>
    <row r="775" spans="1:19" ht="15.75" x14ac:dyDescent="0.25">
      <c r="A775" t="str">
        <f>(COUNTIF($K$2:K775,K775))&amp;K775</f>
        <v>0</v>
      </c>
      <c r="B775" s="34"/>
      <c r="C775" s="13"/>
      <c r="D775" s="14"/>
      <c r="E775" s="16"/>
      <c r="F775" s="17"/>
      <c r="G775" s="24"/>
      <c r="H775" s="15"/>
      <c r="I775" s="15"/>
      <c r="J775" s="15"/>
      <c r="K775" s="21"/>
      <c r="L775" s="15"/>
      <c r="M775" s="15"/>
      <c r="N775" s="15"/>
      <c r="O775" s="24"/>
      <c r="P775" s="17"/>
      <c r="Q775" s="16"/>
      <c r="R775" s="19"/>
      <c r="S775" s="20"/>
    </row>
    <row r="776" spans="1:19" x14ac:dyDescent="0.25">
      <c r="A776" t="str">
        <f>(COUNTIF($K$2:K776,K776))&amp;K776</f>
        <v>0</v>
      </c>
      <c r="B776" s="34"/>
      <c r="C776" s="13"/>
      <c r="D776" s="14"/>
      <c r="E776" s="16"/>
      <c r="F776" s="17"/>
      <c r="G776" s="24"/>
      <c r="H776" s="15"/>
      <c r="I776" s="15"/>
      <c r="J776" s="15"/>
      <c r="K776" s="18"/>
      <c r="L776" s="15"/>
      <c r="M776" s="15"/>
      <c r="N776" s="15"/>
      <c r="O776" s="24"/>
      <c r="P776" s="17"/>
      <c r="Q776" s="16"/>
      <c r="R776" s="19"/>
      <c r="S776" s="20"/>
    </row>
    <row r="777" spans="1:19" x14ac:dyDescent="0.25">
      <c r="A777" t="str">
        <f>(COUNTIF($K$2:K777,K777))&amp;K777</f>
        <v>0</v>
      </c>
      <c r="B777" s="34"/>
      <c r="C777" s="13"/>
      <c r="D777" s="14"/>
      <c r="E777" s="16"/>
      <c r="F777" s="17"/>
      <c r="G777" s="24"/>
      <c r="H777" s="15"/>
      <c r="I777" s="15"/>
      <c r="J777" s="15"/>
      <c r="K777" s="18"/>
      <c r="L777" s="15"/>
      <c r="M777" s="15"/>
      <c r="N777" s="15"/>
      <c r="O777" s="24"/>
      <c r="P777" s="17"/>
      <c r="Q777" s="16"/>
      <c r="R777" s="19"/>
      <c r="S777" s="20"/>
    </row>
    <row r="778" spans="1:19" x14ac:dyDescent="0.25">
      <c r="A778" t="str">
        <f>(COUNTIF($K$2:K778,K778))&amp;K778</f>
        <v>0</v>
      </c>
      <c r="B778" s="34"/>
      <c r="C778" s="13"/>
      <c r="D778" s="14"/>
      <c r="E778" s="16"/>
      <c r="F778" s="17"/>
      <c r="G778" s="24"/>
      <c r="H778" s="15"/>
      <c r="I778" s="15"/>
      <c r="J778" s="15"/>
      <c r="K778" s="18"/>
      <c r="L778" s="15"/>
      <c r="M778" s="15"/>
      <c r="N778" s="15"/>
      <c r="O778" s="24"/>
      <c r="P778" s="17"/>
      <c r="Q778" s="16"/>
      <c r="R778" s="19"/>
      <c r="S778" s="20"/>
    </row>
    <row r="779" spans="1:19" x14ac:dyDescent="0.25">
      <c r="A779" t="str">
        <f>(COUNTIF($K$2:K779,K779))&amp;K779</f>
        <v>0</v>
      </c>
      <c r="B779" s="34"/>
      <c r="C779" s="13"/>
      <c r="D779" s="14"/>
      <c r="E779" s="16"/>
      <c r="F779" s="17"/>
      <c r="G779" s="24"/>
      <c r="H779" s="15"/>
      <c r="I779" s="15"/>
      <c r="J779" s="15"/>
      <c r="K779" s="18"/>
      <c r="L779" s="15"/>
      <c r="M779" s="15"/>
      <c r="N779" s="15"/>
      <c r="O779" s="24"/>
      <c r="P779" s="17"/>
      <c r="Q779" s="16"/>
      <c r="R779" s="19"/>
      <c r="S779" s="20"/>
    </row>
    <row r="780" spans="1:19" x14ac:dyDescent="0.25">
      <c r="A780" t="str">
        <f>(COUNTIF($K$2:K780,K780))&amp;K780</f>
        <v>0</v>
      </c>
      <c r="B780" s="34"/>
      <c r="C780" s="13"/>
      <c r="D780" s="14"/>
      <c r="E780" s="16"/>
      <c r="F780" s="17"/>
      <c r="G780" s="24"/>
      <c r="H780" s="15"/>
      <c r="I780" s="15"/>
      <c r="J780" s="15"/>
      <c r="K780" s="18"/>
      <c r="L780" s="15"/>
      <c r="M780" s="15"/>
      <c r="N780" s="15"/>
      <c r="O780" s="24"/>
      <c r="P780" s="17"/>
      <c r="Q780" s="16"/>
      <c r="R780" s="19"/>
      <c r="S780" s="20"/>
    </row>
    <row r="781" spans="1:19" x14ac:dyDescent="0.25">
      <c r="A781" t="str">
        <f>(COUNTIF($K$2:K781,K781))&amp;K781</f>
        <v>0</v>
      </c>
      <c r="B781" s="34"/>
      <c r="C781" s="13"/>
      <c r="D781" s="14"/>
      <c r="E781" s="16"/>
      <c r="F781" s="17"/>
      <c r="G781" s="24"/>
      <c r="H781" s="15"/>
      <c r="I781" s="15"/>
      <c r="J781" s="15"/>
      <c r="K781" s="18"/>
      <c r="L781" s="15"/>
      <c r="M781" s="15"/>
      <c r="N781" s="15"/>
      <c r="O781" s="24"/>
      <c r="P781" s="17"/>
      <c r="Q781" s="16"/>
      <c r="R781" s="19"/>
      <c r="S781" s="20"/>
    </row>
    <row r="782" spans="1:19" x14ac:dyDescent="0.25">
      <c r="A782" t="str">
        <f>(COUNTIF($K$2:K782,K782))&amp;K782</f>
        <v>0</v>
      </c>
      <c r="B782" s="34"/>
      <c r="C782" s="13"/>
      <c r="D782" s="14"/>
      <c r="E782" s="16"/>
      <c r="F782" s="17"/>
      <c r="G782" s="24"/>
      <c r="H782" s="15"/>
      <c r="I782" s="15"/>
      <c r="J782" s="15"/>
      <c r="K782" s="18"/>
      <c r="L782" s="15"/>
      <c r="M782" s="15"/>
      <c r="N782" s="15"/>
      <c r="O782" s="24"/>
      <c r="P782" s="17"/>
      <c r="Q782" s="16"/>
      <c r="R782" s="19"/>
      <c r="S782" s="20"/>
    </row>
    <row r="783" spans="1:19" x14ac:dyDescent="0.25">
      <c r="A783" t="str">
        <f>(COUNTIF($K$2:K783,K783))&amp;K783</f>
        <v>0</v>
      </c>
      <c r="B783" s="34"/>
      <c r="C783" s="41"/>
      <c r="E783" s="33"/>
      <c r="F783" s="39"/>
      <c r="G783" s="40"/>
      <c r="H783" s="38"/>
      <c r="I783" s="38"/>
      <c r="J783" s="38"/>
      <c r="K783" s="54"/>
      <c r="L783" s="38"/>
      <c r="M783" s="38"/>
      <c r="N783" s="38"/>
      <c r="P783" s="40"/>
      <c r="Q783" s="33"/>
      <c r="R783" s="38"/>
      <c r="S783" s="38"/>
    </row>
    <row r="784" spans="1:19" x14ac:dyDescent="0.25">
      <c r="A784" t="str">
        <f>(COUNTIF($K$2:K784,K784))&amp;K784</f>
        <v>0</v>
      </c>
      <c r="B784" s="34"/>
      <c r="C784" s="13"/>
      <c r="D784" s="14"/>
      <c r="E784" s="16"/>
      <c r="F784" s="17"/>
      <c r="G784" s="24"/>
      <c r="H784" s="15"/>
      <c r="I784" s="15"/>
      <c r="J784" s="15"/>
      <c r="K784" s="18"/>
      <c r="L784" s="15"/>
      <c r="M784" s="15"/>
      <c r="N784" s="15"/>
      <c r="O784" s="24"/>
      <c r="P784" s="17"/>
      <c r="Q784" s="16"/>
      <c r="R784" s="19"/>
      <c r="S784" s="20"/>
    </row>
    <row r="785" spans="1:19" x14ac:dyDescent="0.25">
      <c r="A785" t="str">
        <f>(COUNTIF($K$2:K785,K785))&amp;K785</f>
        <v>0</v>
      </c>
      <c r="B785" s="34"/>
      <c r="C785" s="13"/>
      <c r="D785" s="14"/>
      <c r="E785" s="16"/>
      <c r="F785" s="17"/>
      <c r="G785" s="24"/>
      <c r="H785" s="15"/>
      <c r="I785" s="15"/>
      <c r="J785" s="15"/>
      <c r="K785" s="18"/>
      <c r="L785" s="15"/>
      <c r="M785" s="15"/>
      <c r="N785" s="15"/>
      <c r="O785" s="24"/>
      <c r="P785" s="17"/>
      <c r="Q785" s="16"/>
      <c r="R785" s="19"/>
      <c r="S785" s="20"/>
    </row>
    <row r="786" spans="1:19" x14ac:dyDescent="0.25">
      <c r="A786" t="str">
        <f>(COUNTIF($K$2:K786,K786))&amp;K786</f>
        <v>0</v>
      </c>
      <c r="B786" s="34"/>
      <c r="C786" s="13"/>
      <c r="D786" s="14"/>
      <c r="E786" s="16"/>
      <c r="F786" s="17"/>
      <c r="G786" s="24"/>
      <c r="H786" s="15"/>
      <c r="I786" s="15"/>
      <c r="J786" s="15"/>
      <c r="K786" s="18"/>
      <c r="L786" s="15"/>
      <c r="M786" s="15"/>
      <c r="N786" s="15"/>
      <c r="O786" s="24"/>
      <c r="P786" s="17"/>
      <c r="Q786" s="16"/>
      <c r="R786" s="19"/>
      <c r="S786" s="20"/>
    </row>
    <row r="787" spans="1:19" x14ac:dyDescent="0.25">
      <c r="A787" t="str">
        <f>(COUNTIF($K$2:K787,K787))&amp;K787</f>
        <v>0</v>
      </c>
      <c r="B787" s="34"/>
      <c r="C787" s="13"/>
      <c r="D787" s="14"/>
      <c r="E787" s="16"/>
      <c r="F787" s="17"/>
      <c r="G787" s="24"/>
      <c r="H787" s="15"/>
      <c r="I787" s="15"/>
      <c r="J787" s="15"/>
      <c r="K787" s="18"/>
      <c r="L787" s="15"/>
      <c r="M787" s="15"/>
      <c r="N787" s="15"/>
      <c r="O787" s="24"/>
      <c r="P787" s="17"/>
      <c r="Q787" s="16"/>
      <c r="R787" s="19"/>
      <c r="S787" s="20"/>
    </row>
    <row r="788" spans="1:19" x14ac:dyDescent="0.25">
      <c r="A788" t="str">
        <f>(COUNTIF($K$2:K788,K788))&amp;K788</f>
        <v>0</v>
      </c>
      <c r="B788" s="34"/>
      <c r="C788" s="13"/>
      <c r="D788" s="14"/>
      <c r="E788" s="16"/>
      <c r="F788" s="17"/>
      <c r="G788" s="24"/>
      <c r="H788" s="15"/>
      <c r="I788" s="15"/>
      <c r="J788" s="15"/>
      <c r="K788" s="18"/>
      <c r="L788" s="15"/>
      <c r="M788" s="15"/>
      <c r="N788" s="15"/>
      <c r="O788" s="24"/>
      <c r="P788" s="17"/>
      <c r="Q788" s="16"/>
      <c r="R788" s="19"/>
      <c r="S788" s="20"/>
    </row>
    <row r="789" spans="1:19" x14ac:dyDescent="0.25">
      <c r="A789" t="str">
        <f>(COUNTIF($K$2:K789,K789))&amp;K789</f>
        <v>0</v>
      </c>
      <c r="B789" s="34"/>
      <c r="C789" s="13"/>
      <c r="D789" s="14"/>
      <c r="E789" s="16"/>
      <c r="F789" s="17"/>
      <c r="G789" s="24"/>
      <c r="H789" s="15"/>
      <c r="I789" s="15"/>
      <c r="J789" s="15"/>
      <c r="K789" s="18"/>
      <c r="L789" s="15"/>
      <c r="M789" s="15"/>
      <c r="N789" s="15"/>
      <c r="O789" s="24"/>
      <c r="P789" s="17"/>
      <c r="Q789" s="16"/>
      <c r="R789" s="19"/>
      <c r="S789" s="20"/>
    </row>
    <row r="790" spans="1:19" x14ac:dyDescent="0.25">
      <c r="A790" t="str">
        <f>(COUNTIF($K$2:K790,K790))&amp;K790</f>
        <v>0</v>
      </c>
      <c r="B790" s="34"/>
      <c r="C790" s="13"/>
      <c r="D790" s="14"/>
      <c r="E790" s="16"/>
      <c r="F790" s="17"/>
      <c r="G790" s="24"/>
      <c r="H790" s="15"/>
      <c r="I790" s="15"/>
      <c r="J790" s="15"/>
      <c r="K790" s="18"/>
      <c r="L790" s="15"/>
      <c r="M790" s="15"/>
      <c r="N790" s="15"/>
      <c r="O790" s="24"/>
      <c r="P790" s="17"/>
      <c r="Q790" s="16"/>
      <c r="R790" s="19"/>
      <c r="S790" s="20"/>
    </row>
    <row r="791" spans="1:19" x14ac:dyDescent="0.25">
      <c r="A791" t="str">
        <f>(COUNTIF($K$2:K791,K791))&amp;K791</f>
        <v>0</v>
      </c>
      <c r="B791" s="34"/>
      <c r="C791" s="13"/>
      <c r="D791" s="14"/>
      <c r="E791" s="16"/>
      <c r="F791" s="17"/>
      <c r="G791" s="24"/>
      <c r="H791" s="15"/>
      <c r="I791" s="15"/>
      <c r="J791" s="15"/>
      <c r="K791" s="18"/>
      <c r="L791" s="15"/>
      <c r="M791" s="15"/>
      <c r="N791" s="15"/>
      <c r="O791" s="24"/>
      <c r="P791" s="17"/>
      <c r="Q791" s="16"/>
      <c r="R791" s="19"/>
      <c r="S791" s="20"/>
    </row>
    <row r="792" spans="1:19" ht="15.75" x14ac:dyDescent="0.25">
      <c r="A792" t="str">
        <f>(COUNTIF($K$2:K792,K792))&amp;K792</f>
        <v>0</v>
      </c>
      <c r="B792" s="34"/>
      <c r="C792" s="13"/>
      <c r="D792" s="14"/>
      <c r="E792" s="16"/>
      <c r="F792" s="17"/>
      <c r="G792" s="24"/>
      <c r="H792" s="15"/>
      <c r="I792" s="15"/>
      <c r="J792" s="15"/>
      <c r="K792" s="21"/>
      <c r="L792" s="15"/>
      <c r="M792" s="15"/>
      <c r="N792" s="15"/>
      <c r="O792" s="24"/>
      <c r="P792" s="17"/>
      <c r="Q792" s="16"/>
      <c r="R792" s="19"/>
      <c r="S792" s="20"/>
    </row>
    <row r="793" spans="1:19" x14ac:dyDescent="0.25">
      <c r="A793" t="str">
        <f>(COUNTIF($K$2:K793,K793))&amp;K793</f>
        <v>0</v>
      </c>
      <c r="B793" s="34"/>
      <c r="C793" s="13"/>
      <c r="D793" s="14"/>
      <c r="E793" s="16"/>
      <c r="F793" s="17"/>
      <c r="G793" s="24"/>
      <c r="H793" s="15"/>
      <c r="I793" s="15"/>
      <c r="J793" s="15"/>
      <c r="K793" s="18"/>
      <c r="L793" s="15"/>
      <c r="M793" s="15"/>
      <c r="N793" s="15"/>
      <c r="O793" s="24"/>
      <c r="P793" s="17"/>
      <c r="Q793" s="16"/>
      <c r="R793" s="19"/>
      <c r="S793" s="20"/>
    </row>
    <row r="794" spans="1:19" x14ac:dyDescent="0.25">
      <c r="A794" t="str">
        <f>(COUNTIF($K$2:K794,K794))&amp;K794</f>
        <v>0</v>
      </c>
      <c r="B794" s="34"/>
      <c r="C794" s="13"/>
      <c r="D794" s="14"/>
      <c r="E794" s="16"/>
      <c r="F794" s="17"/>
      <c r="G794" s="24"/>
      <c r="H794" s="15"/>
      <c r="I794" s="15"/>
      <c r="J794" s="15"/>
      <c r="K794" s="18"/>
      <c r="L794" s="15"/>
      <c r="M794" s="15"/>
      <c r="N794" s="15"/>
      <c r="O794" s="24"/>
      <c r="P794" s="17"/>
      <c r="Q794" s="16"/>
      <c r="R794" s="19"/>
      <c r="S794" s="20"/>
    </row>
    <row r="795" spans="1:19" x14ac:dyDescent="0.25">
      <c r="A795" t="str">
        <f>(COUNTIF($K$2:K795,K795))&amp;K795</f>
        <v>0</v>
      </c>
      <c r="B795" s="34"/>
      <c r="C795" s="13"/>
      <c r="D795" s="14"/>
      <c r="E795" s="16"/>
      <c r="F795" s="17"/>
      <c r="G795" s="24"/>
      <c r="H795" s="15"/>
      <c r="I795" s="15"/>
      <c r="J795" s="15"/>
      <c r="K795" s="18"/>
      <c r="L795" s="15"/>
      <c r="M795" s="15"/>
      <c r="N795" s="15"/>
      <c r="O795" s="24"/>
      <c r="P795" s="17"/>
      <c r="Q795" s="16"/>
      <c r="R795" s="19"/>
      <c r="S795" s="20"/>
    </row>
    <row r="796" spans="1:19" x14ac:dyDescent="0.25">
      <c r="A796" t="str">
        <f>(COUNTIF($K$2:K796,K796))&amp;K796</f>
        <v>0</v>
      </c>
      <c r="B796" s="34"/>
      <c r="C796" s="13"/>
      <c r="D796" s="14"/>
      <c r="E796" s="16"/>
      <c r="F796" s="17"/>
      <c r="G796" s="24"/>
      <c r="H796" s="15"/>
      <c r="I796" s="15"/>
      <c r="J796" s="15"/>
      <c r="K796" s="18"/>
      <c r="L796" s="15"/>
      <c r="M796" s="15"/>
      <c r="N796" s="15"/>
      <c r="O796" s="24"/>
      <c r="P796" s="17"/>
      <c r="Q796" s="16"/>
      <c r="R796" s="19"/>
      <c r="S796" s="20"/>
    </row>
    <row r="797" spans="1:19" x14ac:dyDescent="0.25">
      <c r="A797" t="str">
        <f>(COUNTIF($K$2:K797,K797))&amp;K797</f>
        <v>0</v>
      </c>
      <c r="B797" s="34"/>
      <c r="C797" s="13"/>
      <c r="D797" s="14"/>
      <c r="E797" s="16"/>
      <c r="F797" s="17"/>
      <c r="G797" s="24"/>
      <c r="H797" s="15"/>
      <c r="I797" s="15"/>
      <c r="J797" s="15"/>
      <c r="K797" s="18"/>
      <c r="L797" s="15"/>
      <c r="M797" s="15"/>
      <c r="N797" s="15"/>
      <c r="O797" s="24"/>
      <c r="P797" s="17"/>
      <c r="Q797" s="16"/>
      <c r="R797" s="19"/>
      <c r="S797" s="20"/>
    </row>
    <row r="798" spans="1:19" x14ac:dyDescent="0.25">
      <c r="A798" t="str">
        <f>(COUNTIF($K$2:K798,K798))&amp;K798</f>
        <v>0</v>
      </c>
      <c r="B798" s="34"/>
      <c r="C798" s="13"/>
      <c r="D798" s="14"/>
      <c r="E798" s="16"/>
      <c r="F798" s="17"/>
      <c r="G798" s="24"/>
      <c r="H798" s="15"/>
      <c r="I798" s="15"/>
      <c r="J798" s="15"/>
      <c r="K798" s="18"/>
      <c r="L798" s="15"/>
      <c r="M798" s="15"/>
      <c r="N798" s="15"/>
      <c r="O798" s="24"/>
      <c r="P798" s="17"/>
      <c r="Q798" s="16"/>
      <c r="R798" s="19"/>
      <c r="S798" s="20"/>
    </row>
    <row r="799" spans="1:19" x14ac:dyDescent="0.25">
      <c r="A799" t="str">
        <f>(COUNTIF($K$2:K799,K799))&amp;K799</f>
        <v>0</v>
      </c>
      <c r="B799" s="34"/>
      <c r="C799" s="13"/>
      <c r="D799" s="14"/>
      <c r="E799" s="16"/>
      <c r="F799" s="17"/>
      <c r="G799" s="24"/>
      <c r="H799" s="15"/>
      <c r="I799" s="15"/>
      <c r="J799" s="15"/>
      <c r="K799" s="18"/>
      <c r="L799" s="15"/>
      <c r="M799" s="15"/>
      <c r="N799" s="15"/>
      <c r="O799" s="24"/>
      <c r="P799" s="17"/>
      <c r="Q799" s="16"/>
      <c r="R799" s="19"/>
      <c r="S799" s="20"/>
    </row>
    <row r="800" spans="1:19" x14ac:dyDescent="0.25">
      <c r="A800" t="str">
        <f>(COUNTIF($K$2:K800,K800))&amp;K800</f>
        <v>0</v>
      </c>
      <c r="B800" s="34"/>
      <c r="C800" s="41"/>
      <c r="E800" s="33"/>
      <c r="F800" s="39"/>
      <c r="G800" s="40"/>
      <c r="H800" s="38"/>
      <c r="I800" s="38"/>
      <c r="J800" s="38"/>
      <c r="K800" s="54"/>
      <c r="L800" s="38"/>
      <c r="M800" s="38"/>
      <c r="N800" s="38"/>
      <c r="P800" s="40"/>
      <c r="Q800" s="33"/>
      <c r="R800" s="38"/>
      <c r="S800" s="38"/>
    </row>
    <row r="801" spans="1:19" x14ac:dyDescent="0.25">
      <c r="A801" t="str">
        <f>(COUNTIF($K$2:K801,K801))&amp;K801</f>
        <v>0</v>
      </c>
      <c r="B801" s="34"/>
      <c r="C801" s="13"/>
      <c r="D801" s="14"/>
      <c r="E801" s="16"/>
      <c r="F801" s="17"/>
      <c r="G801" s="24"/>
      <c r="H801" s="15"/>
      <c r="I801" s="15"/>
      <c r="J801" s="15"/>
      <c r="K801" s="18"/>
      <c r="L801" s="15"/>
      <c r="M801" s="15"/>
      <c r="N801" s="15"/>
      <c r="O801" s="24"/>
      <c r="P801" s="17"/>
      <c r="Q801" s="16"/>
      <c r="R801" s="19"/>
      <c r="S801" s="20"/>
    </row>
    <row r="802" spans="1:19" x14ac:dyDescent="0.25">
      <c r="A802" t="str">
        <f>(COUNTIF($K$2:K802,K802))&amp;K802</f>
        <v>0</v>
      </c>
      <c r="B802" s="34"/>
      <c r="C802" s="13"/>
      <c r="D802" s="14"/>
      <c r="E802" s="16"/>
      <c r="F802" s="17"/>
      <c r="G802" s="24"/>
      <c r="H802" s="15"/>
      <c r="I802" s="15"/>
      <c r="J802" s="15"/>
      <c r="K802" s="18"/>
      <c r="L802" s="15"/>
      <c r="M802" s="15"/>
      <c r="N802" s="15"/>
      <c r="O802" s="24"/>
      <c r="P802" s="17"/>
      <c r="Q802" s="16"/>
      <c r="R802" s="19"/>
      <c r="S802" s="20"/>
    </row>
    <row r="803" spans="1:19" x14ac:dyDescent="0.25">
      <c r="A803" t="str">
        <f>(COUNTIF($K$2:K803,K803))&amp;K803</f>
        <v>0</v>
      </c>
      <c r="B803" s="34"/>
      <c r="C803" s="13"/>
      <c r="D803" s="14"/>
      <c r="E803" s="16"/>
      <c r="F803" s="17"/>
      <c r="G803" s="24"/>
      <c r="H803" s="15"/>
      <c r="I803" s="15"/>
      <c r="J803" s="15"/>
      <c r="K803" s="18"/>
      <c r="L803" s="15"/>
      <c r="M803" s="15"/>
      <c r="N803" s="15"/>
      <c r="O803" s="24"/>
      <c r="P803" s="17"/>
      <c r="Q803" s="16"/>
      <c r="R803" s="19"/>
      <c r="S803" s="20"/>
    </row>
    <row r="804" spans="1:19" x14ac:dyDescent="0.25">
      <c r="A804" t="str">
        <f>(COUNTIF($K$2:K804,K804))&amp;K804</f>
        <v>0</v>
      </c>
      <c r="B804" s="34"/>
      <c r="C804" s="13"/>
      <c r="D804" s="14"/>
      <c r="E804" s="16"/>
      <c r="F804" s="17"/>
      <c r="G804" s="24"/>
      <c r="H804" s="15"/>
      <c r="I804" s="15"/>
      <c r="J804" s="15"/>
      <c r="K804" s="18"/>
      <c r="L804" s="15"/>
      <c r="M804" s="15"/>
      <c r="N804" s="15"/>
      <c r="O804" s="24"/>
      <c r="P804" s="17"/>
      <c r="Q804" s="16"/>
      <c r="R804" s="19"/>
      <c r="S804" s="20"/>
    </row>
    <row r="805" spans="1:19" x14ac:dyDescent="0.25">
      <c r="A805" t="str">
        <f>(COUNTIF($K$2:K805,K805))&amp;K805</f>
        <v>0</v>
      </c>
      <c r="B805" s="34"/>
      <c r="C805" s="13"/>
      <c r="D805" s="14"/>
      <c r="E805" s="16"/>
      <c r="F805" s="17"/>
      <c r="G805" s="24"/>
      <c r="H805" s="15"/>
      <c r="I805" s="15"/>
      <c r="J805" s="15"/>
      <c r="K805" s="18"/>
      <c r="L805" s="15"/>
      <c r="M805" s="15"/>
      <c r="N805" s="15"/>
      <c r="O805" s="24"/>
      <c r="P805" s="17"/>
      <c r="Q805" s="16"/>
      <c r="R805" s="19"/>
      <c r="S805" s="20"/>
    </row>
    <row r="806" spans="1:19" x14ac:dyDescent="0.25">
      <c r="A806" t="str">
        <f>(COUNTIF($K$2:K806,K806))&amp;K806</f>
        <v>0</v>
      </c>
      <c r="B806" s="34"/>
      <c r="C806" s="13"/>
      <c r="D806" s="14"/>
      <c r="E806" s="16"/>
      <c r="F806" s="17"/>
      <c r="G806" s="24"/>
      <c r="H806" s="15"/>
      <c r="I806" s="15"/>
      <c r="J806" s="15"/>
      <c r="K806" s="18"/>
      <c r="L806" s="15"/>
      <c r="M806" s="15"/>
      <c r="N806" s="15"/>
      <c r="O806" s="24"/>
      <c r="P806" s="17"/>
      <c r="Q806" s="16"/>
      <c r="R806" s="19"/>
      <c r="S806" s="20"/>
    </row>
    <row r="807" spans="1:19" x14ac:dyDescent="0.25">
      <c r="A807" t="str">
        <f>(COUNTIF($K$2:K807,K807))&amp;K807</f>
        <v>0</v>
      </c>
      <c r="B807" s="34"/>
      <c r="C807" s="13"/>
      <c r="D807" s="14"/>
      <c r="E807" s="16"/>
      <c r="F807" s="17"/>
      <c r="G807" s="24"/>
      <c r="H807" s="15"/>
      <c r="I807" s="15"/>
      <c r="J807" s="15"/>
      <c r="K807" s="18"/>
      <c r="L807" s="15"/>
      <c r="M807" s="15"/>
      <c r="N807" s="15"/>
      <c r="O807" s="24"/>
      <c r="P807" s="17"/>
      <c r="Q807" s="16"/>
      <c r="R807" s="19"/>
      <c r="S807" s="20"/>
    </row>
    <row r="808" spans="1:19" x14ac:dyDescent="0.25">
      <c r="A808" t="str">
        <f>(COUNTIF($K$2:K808,K808))&amp;K808</f>
        <v>0</v>
      </c>
      <c r="B808" s="34"/>
      <c r="C808" s="13"/>
      <c r="D808" s="14"/>
      <c r="E808" s="16"/>
      <c r="F808" s="17"/>
      <c r="G808" s="24"/>
      <c r="H808" s="15"/>
      <c r="I808" s="15"/>
      <c r="J808" s="15"/>
      <c r="K808" s="18"/>
      <c r="L808" s="15"/>
      <c r="M808" s="15"/>
      <c r="N808" s="15"/>
      <c r="O808" s="24"/>
      <c r="P808" s="17"/>
      <c r="Q808" s="16"/>
      <c r="R808" s="19"/>
      <c r="S808" s="20"/>
    </row>
    <row r="809" spans="1:19" ht="15.75" x14ac:dyDescent="0.25">
      <c r="A809" t="str">
        <f>(COUNTIF($K$2:K809,K809))&amp;K809</f>
        <v>0</v>
      </c>
      <c r="B809" s="34"/>
      <c r="C809" s="13"/>
      <c r="D809" s="14"/>
      <c r="E809" s="16"/>
      <c r="F809" s="17"/>
      <c r="G809" s="24"/>
      <c r="H809" s="15"/>
      <c r="I809" s="15"/>
      <c r="J809" s="15"/>
      <c r="K809" s="21"/>
      <c r="L809" s="15"/>
      <c r="M809" s="15"/>
      <c r="N809" s="15"/>
      <c r="O809" s="24"/>
      <c r="P809" s="17"/>
      <c r="Q809" s="16"/>
      <c r="R809" s="19"/>
      <c r="S809" s="20"/>
    </row>
    <row r="810" spans="1:19" x14ac:dyDescent="0.25">
      <c r="A810" t="str">
        <f>(COUNTIF($K$2:K810,K810))&amp;K810</f>
        <v>0</v>
      </c>
      <c r="B810" s="34"/>
      <c r="C810" s="13"/>
      <c r="D810" s="14"/>
      <c r="E810" s="16"/>
      <c r="F810" s="17"/>
      <c r="G810" s="24"/>
      <c r="H810" s="15"/>
      <c r="I810" s="15"/>
      <c r="J810" s="15"/>
      <c r="K810" s="18"/>
      <c r="L810" s="15"/>
      <c r="M810" s="15"/>
      <c r="N810" s="15"/>
      <c r="O810" s="24"/>
      <c r="P810" s="17"/>
      <c r="Q810" s="16"/>
      <c r="R810" s="19"/>
      <c r="S810" s="20"/>
    </row>
    <row r="811" spans="1:19" x14ac:dyDescent="0.25">
      <c r="A811" t="str">
        <f>(COUNTIF($K$2:K811,K811))&amp;K811</f>
        <v>0</v>
      </c>
      <c r="B811" s="34"/>
      <c r="C811" s="13"/>
      <c r="D811" s="14"/>
      <c r="E811" s="16"/>
      <c r="F811" s="17"/>
      <c r="G811" s="24"/>
      <c r="H811" s="15"/>
      <c r="I811" s="15"/>
      <c r="J811" s="15"/>
      <c r="K811" s="18"/>
      <c r="L811" s="15"/>
      <c r="M811" s="15"/>
      <c r="N811" s="15"/>
      <c r="O811" s="24"/>
      <c r="P811" s="17"/>
      <c r="Q811" s="16"/>
      <c r="R811" s="19"/>
      <c r="S811" s="20"/>
    </row>
    <row r="812" spans="1:19" x14ac:dyDescent="0.25">
      <c r="A812" t="str">
        <f>(COUNTIF($K$2:K812,K812))&amp;K812</f>
        <v>0</v>
      </c>
      <c r="B812" s="34"/>
      <c r="C812" s="13"/>
      <c r="D812" s="14"/>
      <c r="E812" s="16"/>
      <c r="F812" s="17"/>
      <c r="G812" s="24"/>
      <c r="H812" s="15"/>
      <c r="I812" s="15"/>
      <c r="J812" s="15"/>
      <c r="K812" s="18"/>
      <c r="L812" s="15"/>
      <c r="M812" s="15"/>
      <c r="N812" s="15"/>
      <c r="O812" s="24"/>
      <c r="P812" s="17"/>
      <c r="Q812" s="16"/>
      <c r="R812" s="19"/>
      <c r="S812" s="20"/>
    </row>
    <row r="813" spans="1:19" x14ac:dyDescent="0.25">
      <c r="A813" t="str">
        <f>(COUNTIF($K$2:K813,K813))&amp;K813</f>
        <v>0</v>
      </c>
      <c r="B813" s="34"/>
      <c r="C813" s="13"/>
      <c r="D813" s="14"/>
      <c r="E813" s="16"/>
      <c r="F813" s="17"/>
      <c r="G813" s="24"/>
      <c r="H813" s="15"/>
      <c r="I813" s="15"/>
      <c r="J813" s="15"/>
      <c r="K813" s="18"/>
      <c r="L813" s="15"/>
      <c r="M813" s="15"/>
      <c r="N813" s="15"/>
      <c r="O813" s="24"/>
      <c r="P813" s="17"/>
      <c r="Q813" s="16"/>
      <c r="R813" s="19"/>
      <c r="S813" s="20"/>
    </row>
    <row r="814" spans="1:19" x14ac:dyDescent="0.25">
      <c r="A814" t="str">
        <f>(COUNTIF($K$2:K814,K814))&amp;K814</f>
        <v>0</v>
      </c>
      <c r="B814" s="34"/>
      <c r="C814" s="13"/>
      <c r="D814" s="14"/>
      <c r="E814" s="16"/>
      <c r="F814" s="17"/>
      <c r="G814" s="24"/>
      <c r="H814" s="15"/>
      <c r="I814" s="15"/>
      <c r="J814" s="15"/>
      <c r="K814" s="18"/>
      <c r="L814" s="15"/>
      <c r="M814" s="15"/>
      <c r="N814" s="15"/>
      <c r="O814" s="24"/>
      <c r="P814" s="17"/>
      <c r="Q814" s="16"/>
      <c r="R814" s="19"/>
      <c r="S814" s="20"/>
    </row>
    <row r="815" spans="1:19" x14ac:dyDescent="0.25">
      <c r="A815" t="str">
        <f>(COUNTIF($K$2:K815,K815))&amp;K815</f>
        <v>0</v>
      </c>
      <c r="B815" s="34"/>
      <c r="C815" s="13"/>
      <c r="D815" s="14"/>
      <c r="E815" s="16"/>
      <c r="F815" s="17"/>
      <c r="G815" s="24"/>
      <c r="H815" s="15"/>
      <c r="I815" s="15"/>
      <c r="J815" s="15"/>
      <c r="K815" s="18"/>
      <c r="L815" s="15"/>
      <c r="M815" s="15"/>
      <c r="N815" s="15"/>
      <c r="O815" s="24"/>
      <c r="P815" s="17"/>
      <c r="Q815" s="16"/>
      <c r="R815" s="19"/>
      <c r="S815" s="20"/>
    </row>
    <row r="816" spans="1:19" x14ac:dyDescent="0.25">
      <c r="A816" t="str">
        <f>(COUNTIF($K$2:K816,K816))&amp;K816</f>
        <v>0</v>
      </c>
      <c r="B816" s="34"/>
      <c r="C816" s="13"/>
      <c r="D816" s="14"/>
      <c r="E816" s="16"/>
      <c r="F816" s="17"/>
      <c r="G816" s="24"/>
      <c r="H816" s="15"/>
      <c r="I816" s="15"/>
      <c r="J816" s="15"/>
      <c r="K816" s="18"/>
      <c r="L816" s="15"/>
      <c r="M816" s="15"/>
      <c r="N816" s="15"/>
      <c r="O816" s="24"/>
      <c r="P816" s="17"/>
      <c r="Q816" s="16"/>
      <c r="R816" s="19"/>
      <c r="S816" s="20"/>
    </row>
    <row r="817" spans="1:19" x14ac:dyDescent="0.25">
      <c r="A817" t="str">
        <f>(COUNTIF($K$2:K817,K817))&amp;K817</f>
        <v>0</v>
      </c>
      <c r="B817" s="34"/>
      <c r="C817" s="41"/>
      <c r="E817" s="33"/>
      <c r="F817" s="39"/>
      <c r="G817" s="40"/>
      <c r="H817" s="38"/>
      <c r="I817" s="38"/>
      <c r="J817" s="38"/>
      <c r="K817" s="54"/>
      <c r="L817" s="38"/>
      <c r="M817" s="38"/>
      <c r="N817" s="38"/>
      <c r="P817" s="40"/>
      <c r="Q817" s="33"/>
      <c r="R817" s="38"/>
      <c r="S817" s="38"/>
    </row>
    <row r="818" spans="1:19" x14ac:dyDescent="0.25">
      <c r="A818" t="str">
        <f>(COUNTIF($K$2:K818,K818))&amp;K818</f>
        <v>0</v>
      </c>
      <c r="B818" s="34"/>
      <c r="C818" s="13"/>
      <c r="D818" s="14"/>
      <c r="E818" s="16"/>
      <c r="F818" s="17"/>
      <c r="G818" s="24"/>
      <c r="H818" s="15"/>
      <c r="I818" s="15"/>
      <c r="J818" s="15"/>
      <c r="K818" s="18"/>
      <c r="L818" s="15"/>
      <c r="M818" s="15"/>
      <c r="N818" s="15"/>
      <c r="O818" s="24"/>
      <c r="P818" s="17"/>
      <c r="Q818" s="16"/>
      <c r="R818" s="19"/>
      <c r="S818" s="20"/>
    </row>
    <row r="819" spans="1:19" x14ac:dyDescent="0.25">
      <c r="A819" t="str">
        <f>(COUNTIF($K$2:K819,K819))&amp;K819</f>
        <v>0</v>
      </c>
      <c r="B819" s="34"/>
      <c r="C819" s="13"/>
      <c r="D819" s="14"/>
      <c r="E819" s="16"/>
      <c r="F819" s="17"/>
      <c r="G819" s="24"/>
      <c r="H819" s="15"/>
      <c r="I819" s="15"/>
      <c r="J819" s="15"/>
      <c r="K819" s="18"/>
      <c r="L819" s="15"/>
      <c r="M819" s="15"/>
      <c r="N819" s="15"/>
      <c r="O819" s="24"/>
      <c r="P819" s="17"/>
      <c r="Q819" s="16"/>
      <c r="R819" s="19"/>
      <c r="S819" s="20"/>
    </row>
    <row r="820" spans="1:19" x14ac:dyDescent="0.25">
      <c r="A820" t="str">
        <f>(COUNTIF($K$2:K820,K820))&amp;K820</f>
        <v>0</v>
      </c>
      <c r="B820" s="34"/>
      <c r="C820" s="13"/>
      <c r="D820" s="14"/>
      <c r="E820" s="16"/>
      <c r="F820" s="17"/>
      <c r="G820" s="24"/>
      <c r="H820" s="15"/>
      <c r="I820" s="15"/>
      <c r="J820" s="15"/>
      <c r="K820" s="18"/>
      <c r="L820" s="15"/>
      <c r="M820" s="15"/>
      <c r="N820" s="15"/>
      <c r="O820" s="24"/>
      <c r="P820" s="17"/>
      <c r="Q820" s="16"/>
      <c r="R820" s="19"/>
      <c r="S820" s="20"/>
    </row>
    <row r="821" spans="1:19" x14ac:dyDescent="0.25">
      <c r="A821" t="str">
        <f>(COUNTIF($K$2:K821,K821))&amp;K821</f>
        <v>0</v>
      </c>
      <c r="B821" s="34"/>
      <c r="C821" s="13"/>
      <c r="D821" s="14"/>
      <c r="E821" s="16"/>
      <c r="F821" s="17"/>
      <c r="G821" s="24"/>
      <c r="H821" s="15"/>
      <c r="I821" s="15"/>
      <c r="J821" s="15"/>
      <c r="K821" s="18"/>
      <c r="L821" s="15"/>
      <c r="M821" s="15"/>
      <c r="N821" s="15"/>
      <c r="O821" s="24"/>
      <c r="P821" s="17"/>
      <c r="Q821" s="16"/>
      <c r="R821" s="19"/>
      <c r="S821" s="20"/>
    </row>
    <row r="822" spans="1:19" x14ac:dyDescent="0.25">
      <c r="A822" t="str">
        <f>(COUNTIF($K$2:K822,K822))&amp;K822</f>
        <v>0</v>
      </c>
      <c r="B822" s="34"/>
      <c r="C822" s="13"/>
      <c r="D822" s="14"/>
      <c r="E822" s="16"/>
      <c r="F822" s="17"/>
      <c r="G822" s="24"/>
      <c r="H822" s="15"/>
      <c r="I822" s="15"/>
      <c r="J822" s="15"/>
      <c r="K822" s="18"/>
      <c r="L822" s="15"/>
      <c r="M822" s="15"/>
      <c r="N822" s="15"/>
      <c r="O822" s="24"/>
      <c r="P822" s="17"/>
      <c r="Q822" s="16"/>
      <c r="R822" s="19"/>
      <c r="S822" s="20"/>
    </row>
    <row r="823" spans="1:19" x14ac:dyDescent="0.25">
      <c r="A823" t="str">
        <f>(COUNTIF($K$2:K823,K823))&amp;K823</f>
        <v>0</v>
      </c>
      <c r="B823" s="34"/>
      <c r="C823" s="13"/>
      <c r="D823" s="14"/>
      <c r="E823" s="16"/>
      <c r="F823" s="17"/>
      <c r="G823" s="24"/>
      <c r="H823" s="15"/>
      <c r="I823" s="15"/>
      <c r="J823" s="15"/>
      <c r="K823" s="18"/>
      <c r="L823" s="15"/>
      <c r="M823" s="15"/>
      <c r="N823" s="15"/>
      <c r="O823" s="24"/>
      <c r="P823" s="17"/>
      <c r="Q823" s="16"/>
      <c r="R823" s="19"/>
      <c r="S823" s="20"/>
    </row>
    <row r="824" spans="1:19" x14ac:dyDescent="0.25">
      <c r="A824" t="str">
        <f>(COUNTIF($K$2:K824,K824))&amp;K824</f>
        <v>0</v>
      </c>
      <c r="B824" s="34"/>
      <c r="C824" s="13"/>
      <c r="D824" s="14"/>
      <c r="E824" s="16"/>
      <c r="F824" s="17"/>
      <c r="G824" s="24"/>
      <c r="H824" s="15"/>
      <c r="I824" s="15"/>
      <c r="J824" s="15"/>
      <c r="K824" s="18"/>
      <c r="L824" s="15"/>
      <c r="M824" s="15"/>
      <c r="N824" s="15"/>
      <c r="O824" s="24"/>
      <c r="P824" s="17"/>
      <c r="Q824" s="16"/>
      <c r="R824" s="19"/>
      <c r="S824" s="20"/>
    </row>
    <row r="825" spans="1:19" x14ac:dyDescent="0.25">
      <c r="A825" t="str">
        <f>(COUNTIF($K$2:K825,K825))&amp;K825</f>
        <v>0</v>
      </c>
      <c r="B825" s="34"/>
      <c r="C825" s="13"/>
      <c r="D825" s="14"/>
      <c r="E825" s="16"/>
      <c r="F825" s="17"/>
      <c r="G825" s="24"/>
      <c r="H825" s="15"/>
      <c r="I825" s="15"/>
      <c r="J825" s="15"/>
      <c r="K825" s="18"/>
      <c r="L825" s="15"/>
      <c r="M825" s="15"/>
      <c r="N825" s="15"/>
      <c r="O825" s="24"/>
      <c r="P825" s="17"/>
      <c r="Q825" s="16"/>
      <c r="R825" s="19"/>
      <c r="S825" s="20"/>
    </row>
    <row r="826" spans="1:19" ht="15.75" x14ac:dyDescent="0.25">
      <c r="A826" t="str">
        <f>(COUNTIF($K$2:K826,K826))&amp;K826</f>
        <v>0</v>
      </c>
      <c r="B826" s="34"/>
      <c r="C826" s="13"/>
      <c r="D826" s="14"/>
      <c r="E826" s="16"/>
      <c r="F826" s="17"/>
      <c r="G826" s="24"/>
      <c r="H826" s="15"/>
      <c r="I826" s="15"/>
      <c r="J826" s="15"/>
      <c r="K826" s="21"/>
      <c r="L826" s="15"/>
      <c r="M826" s="15"/>
      <c r="N826" s="15"/>
      <c r="O826" s="24"/>
      <c r="P826" s="17"/>
      <c r="Q826" s="16"/>
      <c r="R826" s="19"/>
      <c r="S826" s="20"/>
    </row>
    <row r="827" spans="1:19" x14ac:dyDescent="0.25">
      <c r="A827" t="str">
        <f>(COUNTIF($K$2:K827,K827))&amp;K827</f>
        <v>0</v>
      </c>
      <c r="B827" s="34"/>
      <c r="C827" s="13"/>
      <c r="D827" s="14"/>
      <c r="E827" s="16"/>
      <c r="F827" s="17"/>
      <c r="G827" s="24"/>
      <c r="H827" s="15"/>
      <c r="I827" s="15"/>
      <c r="J827" s="15"/>
      <c r="K827" s="18"/>
      <c r="L827" s="15"/>
      <c r="M827" s="15"/>
      <c r="N827" s="15"/>
      <c r="O827" s="24"/>
      <c r="P827" s="17"/>
      <c r="Q827" s="16"/>
      <c r="R827" s="19"/>
      <c r="S827" s="20"/>
    </row>
    <row r="828" spans="1:19" x14ac:dyDescent="0.25">
      <c r="A828" t="str">
        <f>(COUNTIF($K$2:K828,K828))&amp;K828</f>
        <v>0</v>
      </c>
      <c r="B828" s="34"/>
      <c r="C828" s="13"/>
      <c r="D828" s="14"/>
      <c r="E828" s="16"/>
      <c r="F828" s="17"/>
      <c r="G828" s="24"/>
      <c r="H828" s="15"/>
      <c r="I828" s="15"/>
      <c r="J828" s="15"/>
      <c r="K828" s="18"/>
      <c r="L828" s="15"/>
      <c r="M828" s="15"/>
      <c r="N828" s="15"/>
      <c r="O828" s="24"/>
      <c r="P828" s="17"/>
      <c r="Q828" s="16"/>
      <c r="R828" s="19"/>
      <c r="S828" s="20"/>
    </row>
    <row r="829" spans="1:19" x14ac:dyDescent="0.25">
      <c r="A829" t="str">
        <f>(COUNTIF($K$2:K829,K829))&amp;K829</f>
        <v>0</v>
      </c>
      <c r="B829" s="34"/>
      <c r="C829" s="13"/>
      <c r="D829" s="14"/>
      <c r="E829" s="16"/>
      <c r="F829" s="17"/>
      <c r="G829" s="24"/>
      <c r="H829" s="15"/>
      <c r="I829" s="15"/>
      <c r="J829" s="15"/>
      <c r="K829" s="18"/>
      <c r="L829" s="15"/>
      <c r="M829" s="15"/>
      <c r="N829" s="15"/>
      <c r="O829" s="24"/>
      <c r="P829" s="17"/>
      <c r="Q829" s="16"/>
      <c r="R829" s="19"/>
      <c r="S829" s="20"/>
    </row>
    <row r="830" spans="1:19" x14ac:dyDescent="0.25">
      <c r="A830" t="str">
        <f>(COUNTIF($K$2:K830,K830))&amp;K830</f>
        <v>0</v>
      </c>
      <c r="B830" s="34"/>
      <c r="C830" s="13"/>
      <c r="D830" s="14"/>
      <c r="E830" s="16"/>
      <c r="F830" s="17"/>
      <c r="G830" s="24"/>
      <c r="H830" s="15"/>
      <c r="I830" s="15"/>
      <c r="J830" s="15"/>
      <c r="K830" s="18"/>
      <c r="L830" s="15"/>
      <c r="M830" s="15"/>
      <c r="N830" s="15"/>
      <c r="O830" s="24"/>
      <c r="P830" s="17"/>
      <c r="Q830" s="16"/>
      <c r="R830" s="19"/>
      <c r="S830" s="20"/>
    </row>
    <row r="831" spans="1:19" x14ac:dyDescent="0.25">
      <c r="A831" t="str">
        <f>(COUNTIF($K$2:K831,K831))&amp;K831</f>
        <v>0</v>
      </c>
      <c r="B831" s="34"/>
      <c r="C831" s="13"/>
      <c r="D831" s="14"/>
      <c r="E831" s="16"/>
      <c r="F831" s="17"/>
      <c r="G831" s="24"/>
      <c r="H831" s="15"/>
      <c r="I831" s="15"/>
      <c r="J831" s="15"/>
      <c r="K831" s="18"/>
      <c r="L831" s="15"/>
      <c r="M831" s="15"/>
      <c r="N831" s="15"/>
      <c r="O831" s="24"/>
      <c r="P831" s="17"/>
      <c r="Q831" s="16"/>
      <c r="R831" s="19"/>
      <c r="S831" s="20"/>
    </row>
    <row r="832" spans="1:19" x14ac:dyDescent="0.25">
      <c r="A832" t="str">
        <f>(COUNTIF($K$2:K832,K832))&amp;K832</f>
        <v>0</v>
      </c>
      <c r="B832" s="34"/>
      <c r="C832" s="13"/>
      <c r="D832" s="14"/>
      <c r="E832" s="16"/>
      <c r="F832" s="17"/>
      <c r="G832" s="24"/>
      <c r="H832" s="15"/>
      <c r="I832" s="15"/>
      <c r="J832" s="15"/>
      <c r="K832" s="18"/>
      <c r="L832" s="15"/>
      <c r="M832" s="15"/>
      <c r="N832" s="15"/>
      <c r="O832" s="24"/>
      <c r="P832" s="17"/>
      <c r="Q832" s="16"/>
      <c r="R832" s="19"/>
      <c r="S832" s="20"/>
    </row>
    <row r="833" spans="1:19" x14ac:dyDescent="0.25">
      <c r="A833" t="str">
        <f>(COUNTIF($K$2:K833,K833))&amp;K833</f>
        <v>0</v>
      </c>
      <c r="B833" s="34"/>
      <c r="C833" s="13"/>
      <c r="D833" s="14"/>
      <c r="E833" s="16"/>
      <c r="F833" s="17"/>
      <c r="G833" s="24"/>
      <c r="H833" s="15"/>
      <c r="I833" s="15"/>
      <c r="J833" s="15"/>
      <c r="K833" s="18"/>
      <c r="L833" s="15"/>
      <c r="M833" s="15"/>
      <c r="N833" s="15"/>
      <c r="O833" s="24"/>
      <c r="P833" s="17"/>
      <c r="Q833" s="16"/>
      <c r="R833" s="19"/>
      <c r="S833" s="20"/>
    </row>
    <row r="834" spans="1:19" x14ac:dyDescent="0.25">
      <c r="A834" t="str">
        <f>(COUNTIF($K$2:K834,K834))&amp;K834</f>
        <v>0</v>
      </c>
      <c r="B834" s="34"/>
      <c r="C834" s="41"/>
      <c r="E834" s="33"/>
      <c r="F834" s="39"/>
      <c r="G834" s="40"/>
      <c r="H834" s="38"/>
      <c r="I834" s="38"/>
      <c r="J834" s="38"/>
      <c r="K834" s="54"/>
      <c r="L834" s="38"/>
      <c r="M834" s="38"/>
      <c r="N834" s="38"/>
      <c r="P834" s="40"/>
      <c r="Q834" s="33"/>
      <c r="R834" s="38"/>
      <c r="S834" s="38"/>
    </row>
    <row r="835" spans="1:19" x14ac:dyDescent="0.25">
      <c r="A835" t="str">
        <f>(COUNTIF($K$2:K835,K835))&amp;K835</f>
        <v>0</v>
      </c>
      <c r="B835" s="34"/>
      <c r="C835" s="13"/>
      <c r="D835" s="14"/>
      <c r="E835" s="16"/>
      <c r="F835" s="17"/>
      <c r="G835" s="24"/>
      <c r="H835" s="15"/>
      <c r="I835" s="15"/>
      <c r="J835" s="15"/>
      <c r="K835" s="18"/>
      <c r="L835" s="15"/>
      <c r="M835" s="15"/>
      <c r="N835" s="15"/>
      <c r="O835" s="24"/>
      <c r="P835" s="17"/>
      <c r="Q835" s="16"/>
      <c r="R835" s="19"/>
      <c r="S835" s="20"/>
    </row>
    <row r="836" spans="1:19" x14ac:dyDescent="0.25">
      <c r="A836" t="str">
        <f>(COUNTIF($K$2:K836,K836))&amp;K836</f>
        <v>0</v>
      </c>
      <c r="B836" s="34"/>
      <c r="C836" s="13"/>
      <c r="D836" s="14"/>
      <c r="E836" s="16"/>
      <c r="F836" s="17"/>
      <c r="G836" s="24"/>
      <c r="H836" s="15"/>
      <c r="I836" s="15"/>
      <c r="J836" s="15"/>
      <c r="K836" s="18"/>
      <c r="L836" s="15"/>
      <c r="M836" s="15"/>
      <c r="N836" s="15"/>
      <c r="O836" s="24"/>
      <c r="P836" s="17"/>
      <c r="Q836" s="16"/>
      <c r="R836" s="19"/>
      <c r="S836" s="20"/>
    </row>
    <row r="837" spans="1:19" x14ac:dyDescent="0.25">
      <c r="A837" t="str">
        <f>(COUNTIF($K$2:K837,K837))&amp;K837</f>
        <v>0</v>
      </c>
      <c r="B837" s="34"/>
      <c r="C837" s="13"/>
      <c r="D837" s="14"/>
      <c r="E837" s="16"/>
      <c r="F837" s="17"/>
      <c r="G837" s="24"/>
      <c r="H837" s="15"/>
      <c r="I837" s="15"/>
      <c r="J837" s="15"/>
      <c r="K837" s="18"/>
      <c r="L837" s="15"/>
      <c r="M837" s="15"/>
      <c r="N837" s="15"/>
      <c r="O837" s="24"/>
      <c r="P837" s="17"/>
      <c r="Q837" s="16"/>
      <c r="R837" s="19"/>
      <c r="S837" s="20"/>
    </row>
    <row r="838" spans="1:19" x14ac:dyDescent="0.25">
      <c r="A838" t="str">
        <f>(COUNTIF($K$2:K838,K838))&amp;K838</f>
        <v>0</v>
      </c>
      <c r="B838" s="34"/>
      <c r="C838" s="13"/>
      <c r="D838" s="14"/>
      <c r="E838" s="16"/>
      <c r="F838" s="17"/>
      <c r="G838" s="24"/>
      <c r="H838" s="15"/>
      <c r="I838" s="15"/>
      <c r="J838" s="15"/>
      <c r="K838" s="18"/>
      <c r="L838" s="15"/>
      <c r="M838" s="15"/>
      <c r="N838" s="15"/>
      <c r="O838" s="24"/>
      <c r="P838" s="17"/>
      <c r="Q838" s="16"/>
      <c r="R838" s="19"/>
      <c r="S838" s="20"/>
    </row>
    <row r="839" spans="1:19" x14ac:dyDescent="0.25">
      <c r="A839" t="str">
        <f>(COUNTIF($K$2:K839,K839))&amp;K839</f>
        <v>0</v>
      </c>
      <c r="B839" s="34"/>
      <c r="C839" s="13"/>
      <c r="D839" s="14"/>
      <c r="E839" s="16"/>
      <c r="F839" s="17"/>
      <c r="G839" s="24"/>
      <c r="H839" s="15"/>
      <c r="I839" s="15"/>
      <c r="J839" s="15"/>
      <c r="K839" s="18"/>
      <c r="L839" s="15"/>
      <c r="M839" s="15"/>
      <c r="N839" s="15"/>
      <c r="O839" s="24"/>
      <c r="P839" s="17"/>
      <c r="Q839" s="16"/>
      <c r="R839" s="19"/>
      <c r="S839" s="20"/>
    </row>
    <row r="840" spans="1:19" x14ac:dyDescent="0.25">
      <c r="A840" t="str">
        <f>(COUNTIF($K$2:K840,K840))&amp;K840</f>
        <v>0</v>
      </c>
      <c r="B840" s="34"/>
      <c r="C840" s="13"/>
      <c r="D840" s="14"/>
      <c r="E840" s="16"/>
      <c r="F840" s="17"/>
      <c r="G840" s="24"/>
      <c r="H840" s="15"/>
      <c r="I840" s="15"/>
      <c r="J840" s="15"/>
      <c r="K840" s="18"/>
      <c r="L840" s="15"/>
      <c r="M840" s="15"/>
      <c r="N840" s="15"/>
      <c r="O840" s="24"/>
      <c r="P840" s="17"/>
      <c r="Q840" s="16"/>
      <c r="R840" s="19"/>
      <c r="S840" s="20"/>
    </row>
    <row r="841" spans="1:19" x14ac:dyDescent="0.25">
      <c r="A841" t="str">
        <f>(COUNTIF($K$2:K841,K841))&amp;K841</f>
        <v>0</v>
      </c>
      <c r="B841" s="34"/>
      <c r="C841" s="13"/>
      <c r="D841" s="14"/>
      <c r="E841" s="16"/>
      <c r="F841" s="17"/>
      <c r="G841" s="24"/>
      <c r="H841" s="15"/>
      <c r="I841" s="15"/>
      <c r="J841" s="15"/>
      <c r="K841" s="18"/>
      <c r="L841" s="15"/>
      <c r="M841" s="15"/>
      <c r="N841" s="15"/>
      <c r="O841" s="24"/>
      <c r="P841" s="17"/>
      <c r="Q841" s="16"/>
      <c r="R841" s="19"/>
      <c r="S841" s="20"/>
    </row>
    <row r="842" spans="1:19" x14ac:dyDescent="0.25">
      <c r="A842" t="str">
        <f>(COUNTIF($K$2:K842,K842))&amp;K842</f>
        <v>0</v>
      </c>
      <c r="B842" s="34"/>
      <c r="C842" s="13"/>
      <c r="D842" s="14"/>
      <c r="E842" s="16"/>
      <c r="F842" s="17"/>
      <c r="G842" s="24"/>
      <c r="H842" s="15"/>
      <c r="I842" s="15"/>
      <c r="J842" s="15"/>
      <c r="K842" s="18"/>
      <c r="L842" s="15"/>
      <c r="M842" s="15"/>
      <c r="N842" s="15"/>
      <c r="O842" s="24"/>
      <c r="P842" s="17"/>
      <c r="Q842" s="16"/>
      <c r="R842" s="19"/>
      <c r="S842" s="20"/>
    </row>
    <row r="843" spans="1:19" ht="15.75" x14ac:dyDescent="0.25">
      <c r="A843" t="str">
        <f>(COUNTIF($K$2:K843,K843))&amp;K843</f>
        <v>0</v>
      </c>
      <c r="B843" s="34"/>
      <c r="C843" s="13"/>
      <c r="D843" s="14"/>
      <c r="E843" s="16"/>
      <c r="F843" s="17"/>
      <c r="G843" s="24"/>
      <c r="H843" s="15"/>
      <c r="I843" s="15"/>
      <c r="J843" s="15"/>
      <c r="K843" s="21"/>
      <c r="L843" s="15"/>
      <c r="M843" s="15"/>
      <c r="N843" s="15"/>
      <c r="O843" s="24"/>
      <c r="P843" s="17"/>
      <c r="Q843" s="16"/>
      <c r="R843" s="19"/>
      <c r="S843" s="20"/>
    </row>
    <row r="844" spans="1:19" x14ac:dyDescent="0.25">
      <c r="A844" t="str">
        <f>(COUNTIF($K$2:K844,K844))&amp;K844</f>
        <v>0</v>
      </c>
      <c r="B844" s="34"/>
      <c r="C844" s="13"/>
      <c r="D844" s="14"/>
      <c r="E844" s="16"/>
      <c r="F844" s="17"/>
      <c r="G844" s="24"/>
      <c r="H844" s="15"/>
      <c r="I844" s="15"/>
      <c r="J844" s="15"/>
      <c r="K844" s="18"/>
      <c r="L844" s="15"/>
      <c r="M844" s="15"/>
      <c r="N844" s="15"/>
      <c r="O844" s="24"/>
      <c r="P844" s="17"/>
      <c r="Q844" s="16"/>
      <c r="R844" s="19"/>
      <c r="S844" s="20"/>
    </row>
    <row r="845" spans="1:19" x14ac:dyDescent="0.25">
      <c r="A845" t="str">
        <f>(COUNTIF($K$2:K845,K845))&amp;K845</f>
        <v>0</v>
      </c>
      <c r="B845" s="34"/>
      <c r="C845" s="13"/>
      <c r="D845" s="14"/>
      <c r="E845" s="16"/>
      <c r="F845" s="17"/>
      <c r="G845" s="24"/>
      <c r="H845" s="15"/>
      <c r="I845" s="15"/>
      <c r="J845" s="15"/>
      <c r="K845" s="18"/>
      <c r="L845" s="15"/>
      <c r="M845" s="15"/>
      <c r="N845" s="15"/>
      <c r="O845" s="24"/>
      <c r="P845" s="17"/>
      <c r="Q845" s="16"/>
      <c r="R845" s="19"/>
      <c r="S845" s="20"/>
    </row>
    <row r="846" spans="1:19" x14ac:dyDescent="0.25">
      <c r="A846" t="str">
        <f>(COUNTIF($K$2:K846,K846))&amp;K846</f>
        <v>0</v>
      </c>
      <c r="B846" s="34"/>
      <c r="C846" s="13"/>
      <c r="D846" s="14"/>
      <c r="E846" s="16"/>
      <c r="F846" s="17"/>
      <c r="G846" s="24"/>
      <c r="H846" s="15"/>
      <c r="I846" s="15"/>
      <c r="J846" s="15"/>
      <c r="K846" s="18"/>
      <c r="L846" s="15"/>
      <c r="M846" s="15"/>
      <c r="N846" s="15"/>
      <c r="O846" s="24"/>
      <c r="P846" s="17"/>
      <c r="Q846" s="16"/>
      <c r="R846" s="19"/>
      <c r="S846" s="20"/>
    </row>
    <row r="847" spans="1:19" x14ac:dyDescent="0.25">
      <c r="A847" t="str">
        <f>(COUNTIF($K$2:K847,K847))&amp;K847</f>
        <v>0</v>
      </c>
      <c r="B847" s="34"/>
      <c r="C847" s="13"/>
      <c r="D847" s="14"/>
      <c r="E847" s="16"/>
      <c r="F847" s="17"/>
      <c r="G847" s="24"/>
      <c r="H847" s="15"/>
      <c r="I847" s="15"/>
      <c r="J847" s="15"/>
      <c r="K847" s="18"/>
      <c r="L847" s="15"/>
      <c r="M847" s="15"/>
      <c r="N847" s="15"/>
      <c r="O847" s="24"/>
      <c r="P847" s="17"/>
      <c r="Q847" s="16"/>
      <c r="R847" s="19"/>
      <c r="S847" s="20"/>
    </row>
    <row r="848" spans="1:19" x14ac:dyDescent="0.25">
      <c r="A848" t="str">
        <f>(COUNTIF($K$2:K848,K848))&amp;K848</f>
        <v>0</v>
      </c>
      <c r="B848" s="34"/>
      <c r="C848" s="13"/>
      <c r="D848" s="14"/>
      <c r="E848" s="16"/>
      <c r="F848" s="17"/>
      <c r="G848" s="24"/>
      <c r="H848" s="15"/>
      <c r="I848" s="15"/>
      <c r="J848" s="15"/>
      <c r="K848" s="18"/>
      <c r="L848" s="15"/>
      <c r="M848" s="15"/>
      <c r="N848" s="15"/>
      <c r="O848" s="24"/>
      <c r="P848" s="17"/>
      <c r="Q848" s="16"/>
      <c r="R848" s="19"/>
      <c r="S848" s="20"/>
    </row>
    <row r="849" spans="1:19" x14ac:dyDescent="0.25">
      <c r="A849" t="str">
        <f>(COUNTIF($K$2:K849,K849))&amp;K849</f>
        <v>0</v>
      </c>
      <c r="B849" s="34"/>
      <c r="C849" s="13"/>
      <c r="D849" s="14"/>
      <c r="E849" s="16"/>
      <c r="F849" s="17"/>
      <c r="G849" s="24"/>
      <c r="H849" s="15"/>
      <c r="I849" s="15"/>
      <c r="J849" s="15"/>
      <c r="K849" s="18"/>
      <c r="L849" s="15"/>
      <c r="M849" s="15"/>
      <c r="N849" s="15"/>
      <c r="O849" s="24"/>
      <c r="P849" s="17"/>
      <c r="Q849" s="16"/>
      <c r="R849" s="19"/>
      <c r="S849" s="20"/>
    </row>
    <row r="850" spans="1:19" x14ac:dyDescent="0.25">
      <c r="A850" t="str">
        <f>(COUNTIF($K$2:K850,K850))&amp;K850</f>
        <v>0</v>
      </c>
      <c r="B850" s="34"/>
      <c r="C850" s="13"/>
      <c r="D850" s="14"/>
      <c r="E850" s="16"/>
      <c r="F850" s="17"/>
      <c r="G850" s="24"/>
      <c r="H850" s="15"/>
      <c r="I850" s="15"/>
      <c r="J850" s="15"/>
      <c r="K850" s="18"/>
      <c r="L850" s="15"/>
      <c r="M850" s="15"/>
      <c r="N850" s="15"/>
      <c r="O850" s="24"/>
      <c r="P850" s="17"/>
      <c r="Q850" s="16"/>
      <c r="R850" s="19"/>
      <c r="S850" s="20"/>
    </row>
    <row r="851" spans="1:19" x14ac:dyDescent="0.25">
      <c r="A851" t="str">
        <f>(COUNTIF($K$2:K851,K851))&amp;K851</f>
        <v>0</v>
      </c>
      <c r="B851" s="34"/>
      <c r="C851" s="41"/>
      <c r="E851" s="33"/>
      <c r="F851" s="39"/>
      <c r="G851" s="40"/>
      <c r="H851" s="38"/>
      <c r="I851" s="38"/>
      <c r="J851" s="38"/>
      <c r="K851" s="54"/>
      <c r="L851" s="38"/>
      <c r="M851" s="38"/>
      <c r="N851" s="38"/>
      <c r="P851" s="40"/>
      <c r="Q851" s="33"/>
      <c r="R851" s="38"/>
      <c r="S851" s="38"/>
    </row>
    <row r="852" spans="1:19" x14ac:dyDescent="0.25">
      <c r="A852" t="str">
        <f>(COUNTIF($K$2:K852,K852))&amp;K852</f>
        <v>0</v>
      </c>
      <c r="B852" s="34"/>
      <c r="C852" s="13"/>
      <c r="D852" s="14"/>
      <c r="E852" s="16"/>
      <c r="F852" s="17"/>
      <c r="G852" s="24"/>
      <c r="H852" s="15"/>
      <c r="I852" s="15"/>
      <c r="J852" s="15"/>
      <c r="K852" s="18"/>
      <c r="L852" s="15"/>
      <c r="M852" s="15"/>
      <c r="N852" s="15"/>
      <c r="O852" s="24"/>
      <c r="P852" s="17"/>
      <c r="Q852" s="16"/>
      <c r="R852" s="19"/>
      <c r="S852" s="20"/>
    </row>
    <row r="853" spans="1:19" x14ac:dyDescent="0.25">
      <c r="A853" t="str">
        <f>(COUNTIF($K$2:K853,K853))&amp;K853</f>
        <v>0</v>
      </c>
      <c r="B853" s="34"/>
      <c r="C853" s="13"/>
      <c r="D853" s="14"/>
      <c r="E853" s="16"/>
      <c r="F853" s="17"/>
      <c r="G853" s="24"/>
      <c r="H853" s="15"/>
      <c r="I853" s="15"/>
      <c r="J853" s="15"/>
      <c r="K853" s="18"/>
      <c r="L853" s="15"/>
      <c r="M853" s="15"/>
      <c r="N853" s="15"/>
      <c r="O853" s="24"/>
      <c r="P853" s="17"/>
      <c r="Q853" s="16"/>
      <c r="R853" s="19"/>
      <c r="S853" s="20"/>
    </row>
    <row r="854" spans="1:19" x14ac:dyDescent="0.25">
      <c r="A854" t="str">
        <f>(COUNTIF($K$2:K854,K854))&amp;K854</f>
        <v>0</v>
      </c>
      <c r="B854" s="34"/>
      <c r="C854" s="13"/>
      <c r="D854" s="14"/>
      <c r="E854" s="16"/>
      <c r="F854" s="17"/>
      <c r="G854" s="24"/>
      <c r="H854" s="15"/>
      <c r="I854" s="15"/>
      <c r="J854" s="15"/>
      <c r="K854" s="18"/>
      <c r="L854" s="15"/>
      <c r="M854" s="15"/>
      <c r="N854" s="15"/>
      <c r="O854" s="24"/>
      <c r="P854" s="17"/>
      <c r="Q854" s="16"/>
      <c r="R854" s="19"/>
      <c r="S854" s="20"/>
    </row>
    <row r="855" spans="1:19" x14ac:dyDescent="0.25">
      <c r="A855" t="str">
        <f>(COUNTIF($K$2:K855,K855))&amp;K855</f>
        <v>0</v>
      </c>
      <c r="B855" s="34"/>
      <c r="C855" s="13"/>
      <c r="D855" s="14"/>
      <c r="E855" s="16"/>
      <c r="F855" s="17"/>
      <c r="G855" s="24"/>
      <c r="H855" s="15"/>
      <c r="I855" s="15"/>
      <c r="J855" s="15"/>
      <c r="K855" s="18"/>
      <c r="L855" s="15"/>
      <c r="M855" s="15"/>
      <c r="N855" s="15"/>
      <c r="O855" s="24"/>
      <c r="P855" s="17"/>
      <c r="Q855" s="16"/>
      <c r="R855" s="19"/>
      <c r="S855" s="20"/>
    </row>
    <row r="856" spans="1:19" x14ac:dyDescent="0.25">
      <c r="A856" t="str">
        <f>(COUNTIF($K$2:K856,K856))&amp;K856</f>
        <v>0</v>
      </c>
      <c r="B856" s="34"/>
      <c r="C856" s="13"/>
      <c r="D856" s="14"/>
      <c r="E856" s="16"/>
      <c r="F856" s="17"/>
      <c r="G856" s="24"/>
      <c r="H856" s="15"/>
      <c r="I856" s="15"/>
      <c r="J856" s="15"/>
      <c r="K856" s="18"/>
      <c r="L856" s="15"/>
      <c r="M856" s="15"/>
      <c r="N856" s="15"/>
      <c r="O856" s="24"/>
      <c r="P856" s="17"/>
      <c r="Q856" s="16"/>
      <c r="R856" s="19"/>
      <c r="S856" s="20"/>
    </row>
    <row r="857" spans="1:19" x14ac:dyDescent="0.25">
      <c r="A857" t="str">
        <f>(COUNTIF($K$2:K857,K857))&amp;K857</f>
        <v>0</v>
      </c>
      <c r="B857" s="34"/>
      <c r="C857" s="13"/>
      <c r="D857" s="14"/>
      <c r="E857" s="16"/>
      <c r="F857" s="17"/>
      <c r="G857" s="24"/>
      <c r="H857" s="15"/>
      <c r="I857" s="15"/>
      <c r="J857" s="15"/>
      <c r="K857" s="18"/>
      <c r="L857" s="15"/>
      <c r="M857" s="15"/>
      <c r="N857" s="15"/>
      <c r="O857" s="24"/>
      <c r="P857" s="17"/>
      <c r="Q857" s="16"/>
      <c r="R857" s="19"/>
      <c r="S857" s="20"/>
    </row>
    <row r="858" spans="1:19" x14ac:dyDescent="0.25">
      <c r="A858" t="str">
        <f>(COUNTIF($K$2:K858,K858))&amp;K858</f>
        <v>0</v>
      </c>
      <c r="B858" s="34"/>
      <c r="C858" s="13"/>
      <c r="D858" s="14"/>
      <c r="E858" s="16"/>
      <c r="F858" s="17"/>
      <c r="G858" s="24"/>
      <c r="H858" s="15"/>
      <c r="I858" s="15"/>
      <c r="J858" s="15"/>
      <c r="K858" s="18"/>
      <c r="L858" s="15"/>
      <c r="M858" s="15"/>
      <c r="N858" s="15"/>
      <c r="O858" s="24"/>
      <c r="P858" s="17"/>
      <c r="Q858" s="16"/>
      <c r="R858" s="19"/>
      <c r="S858" s="20"/>
    </row>
    <row r="859" spans="1:19" x14ac:dyDescent="0.25">
      <c r="A859" t="str">
        <f>(COUNTIF($K$2:K859,K859))&amp;K859</f>
        <v>0</v>
      </c>
      <c r="B859" s="34"/>
      <c r="C859" s="13"/>
      <c r="D859" s="14"/>
      <c r="E859" s="16"/>
      <c r="F859" s="17"/>
      <c r="G859" s="24"/>
      <c r="H859" s="15"/>
      <c r="I859" s="15"/>
      <c r="J859" s="15"/>
      <c r="K859" s="18"/>
      <c r="L859" s="15"/>
      <c r="M859" s="15"/>
      <c r="N859" s="15"/>
      <c r="O859" s="24"/>
      <c r="P859" s="17"/>
      <c r="Q859" s="16"/>
      <c r="R859" s="19"/>
      <c r="S859" s="20"/>
    </row>
    <row r="860" spans="1:19" ht="15.75" x14ac:dyDescent="0.25">
      <c r="A860" t="str">
        <f>(COUNTIF($K$2:K860,K860))&amp;K860</f>
        <v>0</v>
      </c>
      <c r="B860" s="34"/>
      <c r="C860" s="13"/>
      <c r="D860" s="14"/>
      <c r="E860" s="16"/>
      <c r="F860" s="17"/>
      <c r="G860" s="24"/>
      <c r="H860" s="15"/>
      <c r="I860" s="15"/>
      <c r="J860" s="15"/>
      <c r="K860" s="21"/>
      <c r="L860" s="15"/>
      <c r="M860" s="15"/>
      <c r="N860" s="15"/>
      <c r="O860" s="24"/>
      <c r="P860" s="17"/>
      <c r="Q860" s="16"/>
      <c r="R860" s="19"/>
      <c r="S860" s="20"/>
    </row>
    <row r="861" spans="1:19" x14ac:dyDescent="0.25">
      <c r="A861" t="str">
        <f>(COUNTIF($K$2:K861,K861))&amp;K861</f>
        <v>0</v>
      </c>
      <c r="B861" s="34"/>
      <c r="C861" s="13"/>
      <c r="D861" s="14"/>
      <c r="E861" s="16"/>
      <c r="F861" s="17"/>
      <c r="G861" s="24"/>
      <c r="H861" s="15"/>
      <c r="I861" s="15"/>
      <c r="J861" s="15"/>
      <c r="K861" s="18"/>
      <c r="L861" s="15"/>
      <c r="M861" s="15"/>
      <c r="N861" s="15"/>
      <c r="O861" s="24"/>
      <c r="P861" s="17"/>
      <c r="Q861" s="16"/>
      <c r="R861" s="19"/>
      <c r="S861" s="20"/>
    </row>
    <row r="862" spans="1:19" x14ac:dyDescent="0.25">
      <c r="A862" t="str">
        <f>(COUNTIF($K$2:K862,K862))&amp;K862</f>
        <v>0</v>
      </c>
      <c r="B862" s="34"/>
      <c r="C862" s="13"/>
      <c r="D862" s="14"/>
      <c r="E862" s="16"/>
      <c r="F862" s="17"/>
      <c r="G862" s="24"/>
      <c r="H862" s="15"/>
      <c r="I862" s="15"/>
      <c r="J862" s="15"/>
      <c r="K862" s="18"/>
      <c r="L862" s="15"/>
      <c r="M862" s="15"/>
      <c r="N862" s="15"/>
      <c r="O862" s="24"/>
      <c r="P862" s="17"/>
      <c r="Q862" s="16"/>
      <c r="R862" s="19"/>
      <c r="S862" s="20"/>
    </row>
    <row r="863" spans="1:19" x14ac:dyDescent="0.25">
      <c r="A863" t="str">
        <f>(COUNTIF($K$2:K863,K863))&amp;K863</f>
        <v>0</v>
      </c>
      <c r="B863" s="34"/>
      <c r="C863" s="13"/>
      <c r="D863" s="14"/>
      <c r="E863" s="16"/>
      <c r="F863" s="17"/>
      <c r="G863" s="24"/>
      <c r="H863" s="15"/>
      <c r="I863" s="15"/>
      <c r="J863" s="15"/>
      <c r="K863" s="18"/>
      <c r="L863" s="15"/>
      <c r="M863" s="15"/>
      <c r="N863" s="15"/>
      <c r="O863" s="24"/>
      <c r="P863" s="17"/>
      <c r="Q863" s="16"/>
      <c r="R863" s="19"/>
      <c r="S863" s="20"/>
    </row>
    <row r="864" spans="1:19" x14ac:dyDescent="0.25">
      <c r="A864" t="str">
        <f>(COUNTIF($K$2:K864,K864))&amp;K864</f>
        <v>0</v>
      </c>
      <c r="B864" s="34"/>
      <c r="C864" s="13"/>
      <c r="D864" s="14"/>
      <c r="E864" s="16"/>
      <c r="F864" s="17"/>
      <c r="G864" s="24"/>
      <c r="H864" s="15"/>
      <c r="I864" s="15"/>
      <c r="J864" s="15"/>
      <c r="K864" s="18"/>
      <c r="L864" s="15"/>
      <c r="M864" s="15"/>
      <c r="N864" s="15"/>
      <c r="O864" s="24"/>
      <c r="P864" s="17"/>
      <c r="Q864" s="16"/>
      <c r="R864" s="19"/>
      <c r="S864" s="20"/>
    </row>
    <row r="865" spans="1:19" x14ac:dyDescent="0.25">
      <c r="A865" t="str">
        <f>(COUNTIF($K$2:K865,K865))&amp;K865</f>
        <v>0</v>
      </c>
      <c r="B865" s="34"/>
      <c r="C865" s="13"/>
      <c r="D865" s="14"/>
      <c r="E865" s="16"/>
      <c r="F865" s="17"/>
      <c r="G865" s="24"/>
      <c r="H865" s="15"/>
      <c r="I865" s="15"/>
      <c r="J865" s="15"/>
      <c r="K865" s="18"/>
      <c r="L865" s="15"/>
      <c r="M865" s="15"/>
      <c r="N865" s="15"/>
      <c r="O865" s="24"/>
      <c r="P865" s="17"/>
      <c r="Q865" s="16"/>
      <c r="R865" s="19"/>
      <c r="S865" s="20"/>
    </row>
    <row r="866" spans="1:19" x14ac:dyDescent="0.25">
      <c r="A866" t="str">
        <f>(COUNTIF($K$2:K866,K866))&amp;K866</f>
        <v>0</v>
      </c>
      <c r="B866" s="34"/>
      <c r="C866" s="13"/>
      <c r="D866" s="14"/>
      <c r="E866" s="16"/>
      <c r="F866" s="17"/>
      <c r="G866" s="24"/>
      <c r="H866" s="15"/>
      <c r="I866" s="15"/>
      <c r="J866" s="15"/>
      <c r="K866" s="18"/>
      <c r="L866" s="15"/>
      <c r="M866" s="15"/>
      <c r="N866" s="15"/>
      <c r="O866" s="24"/>
      <c r="P866" s="17"/>
      <c r="Q866" s="16"/>
      <c r="R866" s="19"/>
      <c r="S866" s="20"/>
    </row>
    <row r="867" spans="1:19" x14ac:dyDescent="0.25">
      <c r="A867" t="str">
        <f>(COUNTIF($K$2:K867,K867))&amp;K867</f>
        <v>0</v>
      </c>
      <c r="B867" s="34"/>
      <c r="C867" s="13"/>
      <c r="D867" s="14"/>
      <c r="E867" s="16"/>
      <c r="F867" s="17"/>
      <c r="G867" s="24"/>
      <c r="H867" s="15"/>
      <c r="I867" s="15"/>
      <c r="J867" s="15"/>
      <c r="K867" s="18"/>
      <c r="L867" s="15"/>
      <c r="M867" s="15"/>
      <c r="N867" s="15"/>
      <c r="O867" s="24"/>
      <c r="P867" s="17"/>
      <c r="Q867" s="16"/>
      <c r="R867" s="19"/>
      <c r="S867" s="20"/>
    </row>
    <row r="868" spans="1:19" x14ac:dyDescent="0.25">
      <c r="A868" t="str">
        <f>(COUNTIF($K$2:K868,K868))&amp;K868</f>
        <v>0</v>
      </c>
      <c r="B868" s="34"/>
      <c r="C868" s="41"/>
      <c r="E868" s="33"/>
      <c r="F868" s="39"/>
      <c r="G868" s="40"/>
      <c r="H868" s="38"/>
      <c r="I868" s="38"/>
      <c r="J868" s="38"/>
      <c r="K868" s="54"/>
      <c r="L868" s="38"/>
      <c r="M868" s="38"/>
      <c r="N868" s="38"/>
      <c r="P868" s="40"/>
      <c r="Q868" s="33"/>
      <c r="R868" s="38"/>
      <c r="S868" s="38"/>
    </row>
    <row r="869" spans="1:19" x14ac:dyDescent="0.25">
      <c r="A869" t="str">
        <f>(COUNTIF($K$2:K869,K869))&amp;K869</f>
        <v>0</v>
      </c>
      <c r="B869" s="34"/>
      <c r="C869" s="13"/>
      <c r="D869" s="14"/>
      <c r="E869" s="16"/>
      <c r="F869" s="17"/>
      <c r="G869" s="24"/>
      <c r="H869" s="15"/>
      <c r="I869" s="15"/>
      <c r="J869" s="15"/>
      <c r="K869" s="18"/>
      <c r="L869" s="15"/>
      <c r="M869" s="15"/>
      <c r="N869" s="15"/>
      <c r="O869" s="24"/>
      <c r="P869" s="17"/>
      <c r="Q869" s="16"/>
      <c r="R869" s="19"/>
      <c r="S869" s="20"/>
    </row>
    <row r="870" spans="1:19" x14ac:dyDescent="0.25">
      <c r="A870" t="str">
        <f>(COUNTIF($K$2:K870,K870))&amp;K870</f>
        <v>0</v>
      </c>
      <c r="B870" s="34"/>
      <c r="C870" s="13"/>
      <c r="D870" s="14"/>
      <c r="E870" s="16"/>
      <c r="F870" s="17"/>
      <c r="G870" s="24"/>
      <c r="H870" s="15"/>
      <c r="I870" s="15"/>
      <c r="J870" s="15"/>
      <c r="K870" s="18"/>
      <c r="L870" s="15"/>
      <c r="M870" s="15"/>
      <c r="N870" s="15"/>
      <c r="O870" s="24"/>
      <c r="P870" s="17"/>
      <c r="Q870" s="16"/>
      <c r="R870" s="19"/>
      <c r="S870" s="20"/>
    </row>
    <row r="871" spans="1:19" x14ac:dyDescent="0.25">
      <c r="A871" t="str">
        <f>(COUNTIF($K$2:K871,K871))&amp;K871</f>
        <v>0</v>
      </c>
      <c r="B871" s="34"/>
      <c r="C871" s="13"/>
      <c r="D871" s="14"/>
      <c r="E871" s="16"/>
      <c r="F871" s="17"/>
      <c r="G871" s="24"/>
      <c r="H871" s="15"/>
      <c r="I871" s="15"/>
      <c r="J871" s="15"/>
      <c r="K871" s="18"/>
      <c r="L871" s="15"/>
      <c r="M871" s="15"/>
      <c r="N871" s="15"/>
      <c r="O871" s="24"/>
      <c r="P871" s="17"/>
      <c r="Q871" s="16"/>
      <c r="R871" s="19"/>
      <c r="S871" s="20"/>
    </row>
    <row r="872" spans="1:19" x14ac:dyDescent="0.25">
      <c r="A872" t="str">
        <f>(COUNTIF($K$2:K872,K872))&amp;K872</f>
        <v>0</v>
      </c>
      <c r="B872" s="34"/>
      <c r="C872" s="13"/>
      <c r="D872" s="14"/>
      <c r="E872" s="16"/>
      <c r="F872" s="17"/>
      <c r="G872" s="24"/>
      <c r="H872" s="15"/>
      <c r="I872" s="15"/>
      <c r="J872" s="15"/>
      <c r="K872" s="18"/>
      <c r="L872" s="15"/>
      <c r="M872" s="15"/>
      <c r="N872" s="15"/>
      <c r="O872" s="24"/>
      <c r="P872" s="17"/>
      <c r="Q872" s="16"/>
      <c r="R872" s="19"/>
      <c r="S872" s="20"/>
    </row>
    <row r="873" spans="1:19" x14ac:dyDescent="0.25">
      <c r="A873" t="str">
        <f>(COUNTIF($K$2:K873,K873))&amp;K873</f>
        <v>0</v>
      </c>
      <c r="B873" s="34"/>
      <c r="C873" s="13"/>
      <c r="D873" s="14"/>
      <c r="E873" s="16"/>
      <c r="F873" s="17"/>
      <c r="G873" s="24"/>
      <c r="H873" s="15"/>
      <c r="I873" s="15"/>
      <c r="J873" s="15"/>
      <c r="K873" s="18"/>
      <c r="L873" s="15"/>
      <c r="M873" s="15"/>
      <c r="N873" s="15"/>
      <c r="O873" s="24"/>
      <c r="P873" s="17"/>
      <c r="Q873" s="16"/>
      <c r="R873" s="19"/>
      <c r="S873" s="20"/>
    </row>
    <row r="874" spans="1:19" x14ac:dyDescent="0.25">
      <c r="A874" t="str">
        <f>(COUNTIF($K$2:K874,K874))&amp;K874</f>
        <v>0</v>
      </c>
      <c r="B874" s="34"/>
      <c r="C874" s="13"/>
      <c r="D874" s="14"/>
      <c r="E874" s="16"/>
      <c r="F874" s="17"/>
      <c r="G874" s="24"/>
      <c r="H874" s="15"/>
      <c r="I874" s="15"/>
      <c r="J874" s="15"/>
      <c r="K874" s="18"/>
      <c r="L874" s="15"/>
      <c r="M874" s="15"/>
      <c r="N874" s="15"/>
      <c r="O874" s="24"/>
      <c r="P874" s="17"/>
      <c r="Q874" s="16"/>
      <c r="R874" s="19"/>
      <c r="S874" s="20"/>
    </row>
    <row r="875" spans="1:19" x14ac:dyDescent="0.25">
      <c r="A875" t="str">
        <f>(COUNTIF($K$2:K875,K875))&amp;K875</f>
        <v>0</v>
      </c>
      <c r="B875" s="34"/>
      <c r="C875" s="13"/>
      <c r="D875" s="14"/>
      <c r="E875" s="16"/>
      <c r="F875" s="17"/>
      <c r="G875" s="24"/>
      <c r="H875" s="15"/>
      <c r="I875" s="15"/>
      <c r="J875" s="15"/>
      <c r="K875" s="18"/>
      <c r="L875" s="15"/>
      <c r="M875" s="15"/>
      <c r="N875" s="15"/>
      <c r="O875" s="24"/>
      <c r="P875" s="17"/>
      <c r="Q875" s="16"/>
      <c r="R875" s="19"/>
      <c r="S875" s="20"/>
    </row>
    <row r="876" spans="1:19" x14ac:dyDescent="0.25">
      <c r="A876" t="str">
        <f>(COUNTIF($K$2:K876,K876))&amp;K876</f>
        <v>0</v>
      </c>
      <c r="B876" s="34"/>
      <c r="C876" s="13"/>
      <c r="D876" s="14"/>
      <c r="E876" s="16"/>
      <c r="F876" s="17"/>
      <c r="G876" s="24"/>
      <c r="H876" s="15"/>
      <c r="I876" s="15"/>
      <c r="J876" s="15"/>
      <c r="K876" s="18"/>
      <c r="L876" s="15"/>
      <c r="M876" s="15"/>
      <c r="N876" s="15"/>
      <c r="O876" s="24"/>
      <c r="P876" s="17"/>
      <c r="Q876" s="16"/>
      <c r="R876" s="19"/>
      <c r="S876" s="20"/>
    </row>
    <row r="877" spans="1:19" ht="15.75" x14ac:dyDescent="0.25">
      <c r="A877" t="str">
        <f>(COUNTIF($K$2:K877,K877))&amp;K877</f>
        <v>0</v>
      </c>
      <c r="B877" s="34"/>
      <c r="C877" s="13"/>
      <c r="D877" s="14"/>
      <c r="E877" s="16"/>
      <c r="F877" s="17"/>
      <c r="G877" s="24"/>
      <c r="H877" s="15"/>
      <c r="I877" s="15"/>
      <c r="J877" s="15"/>
      <c r="K877" s="21"/>
      <c r="L877" s="15"/>
      <c r="M877" s="15"/>
      <c r="N877" s="15"/>
      <c r="O877" s="24"/>
      <c r="P877" s="17"/>
      <c r="Q877" s="16"/>
      <c r="R877" s="19"/>
      <c r="S877" s="20"/>
    </row>
    <row r="878" spans="1:19" x14ac:dyDescent="0.25">
      <c r="A878" t="str">
        <f>(COUNTIF($K$2:K878,K878))&amp;K878</f>
        <v>0</v>
      </c>
      <c r="B878" s="34"/>
      <c r="C878" s="13"/>
      <c r="D878" s="14"/>
      <c r="E878" s="16"/>
      <c r="F878" s="17"/>
      <c r="G878" s="24"/>
      <c r="H878" s="15"/>
      <c r="I878" s="15"/>
      <c r="J878" s="15"/>
      <c r="K878" s="18"/>
      <c r="L878" s="15"/>
      <c r="M878" s="15"/>
      <c r="N878" s="15"/>
      <c r="O878" s="24"/>
      <c r="P878" s="17"/>
      <c r="Q878" s="16"/>
      <c r="R878" s="19"/>
      <c r="S878" s="20"/>
    </row>
    <row r="879" spans="1:19" x14ac:dyDescent="0.25">
      <c r="A879" t="str">
        <f>(COUNTIF($K$2:K879,K879))&amp;K879</f>
        <v>0</v>
      </c>
      <c r="B879" s="34"/>
      <c r="C879" s="13"/>
      <c r="D879" s="14"/>
      <c r="E879" s="16"/>
      <c r="F879" s="17"/>
      <c r="G879" s="24"/>
      <c r="H879" s="15"/>
      <c r="I879" s="15"/>
      <c r="J879" s="15"/>
      <c r="K879" s="18"/>
      <c r="L879" s="15"/>
      <c r="M879" s="15"/>
      <c r="N879" s="15"/>
      <c r="O879" s="24"/>
      <c r="P879" s="17"/>
      <c r="Q879" s="16"/>
      <c r="R879" s="19"/>
      <c r="S879" s="20"/>
    </row>
    <row r="880" spans="1:19" x14ac:dyDescent="0.25">
      <c r="A880" t="str">
        <f>(COUNTIF($K$2:K880,K880))&amp;K880</f>
        <v>0</v>
      </c>
      <c r="B880" s="34"/>
      <c r="C880" s="13"/>
      <c r="D880" s="14"/>
      <c r="E880" s="16"/>
      <c r="F880" s="17"/>
      <c r="G880" s="24"/>
      <c r="H880" s="15"/>
      <c r="I880" s="15"/>
      <c r="J880" s="15"/>
      <c r="K880" s="18"/>
      <c r="L880" s="15"/>
      <c r="M880" s="15"/>
      <c r="N880" s="15"/>
      <c r="O880" s="24"/>
      <c r="P880" s="17"/>
      <c r="Q880" s="16"/>
      <c r="R880" s="19"/>
      <c r="S880" s="20"/>
    </row>
    <row r="881" spans="1:19" x14ac:dyDescent="0.25">
      <c r="A881" t="str">
        <f>(COUNTIF($K$2:K881,K881))&amp;K881</f>
        <v>0</v>
      </c>
      <c r="B881" s="34"/>
      <c r="C881" s="13"/>
      <c r="D881" s="14"/>
      <c r="E881" s="16"/>
      <c r="F881" s="17"/>
      <c r="G881" s="24"/>
      <c r="H881" s="15"/>
      <c r="I881" s="15"/>
      <c r="J881" s="15"/>
      <c r="K881" s="18"/>
      <c r="L881" s="15"/>
      <c r="M881" s="15"/>
      <c r="N881" s="15"/>
      <c r="O881" s="24"/>
      <c r="P881" s="17"/>
      <c r="Q881" s="16"/>
      <c r="R881" s="19"/>
      <c r="S881" s="20"/>
    </row>
    <row r="882" spans="1:19" x14ac:dyDescent="0.25">
      <c r="A882" t="str">
        <f>(COUNTIF($K$2:K882,K882))&amp;K882</f>
        <v>0</v>
      </c>
      <c r="B882" s="34"/>
      <c r="C882" s="13"/>
      <c r="D882" s="14"/>
      <c r="E882" s="16"/>
      <c r="F882" s="17"/>
      <c r="G882" s="24"/>
      <c r="H882" s="15"/>
      <c r="I882" s="15"/>
      <c r="J882" s="15"/>
      <c r="K882" s="18"/>
      <c r="L882" s="15"/>
      <c r="M882" s="15"/>
      <c r="N882" s="15"/>
      <c r="O882" s="24"/>
      <c r="P882" s="17"/>
      <c r="Q882" s="16"/>
      <c r="R882" s="19"/>
      <c r="S882" s="20"/>
    </row>
    <row r="883" spans="1:19" x14ac:dyDescent="0.25">
      <c r="A883" t="str">
        <f>(COUNTIF($K$2:K883,K883))&amp;K883</f>
        <v>0</v>
      </c>
      <c r="B883" s="34"/>
      <c r="C883" s="13"/>
      <c r="D883" s="14"/>
      <c r="E883" s="16"/>
      <c r="F883" s="17"/>
      <c r="G883" s="24"/>
      <c r="H883" s="15"/>
      <c r="I883" s="15"/>
      <c r="J883" s="15"/>
      <c r="K883" s="18"/>
      <c r="L883" s="15"/>
      <c r="M883" s="15"/>
      <c r="N883" s="15"/>
      <c r="O883" s="24"/>
      <c r="P883" s="17"/>
      <c r="Q883" s="16"/>
      <c r="R883" s="19"/>
      <c r="S883" s="20"/>
    </row>
    <row r="884" spans="1:19" x14ac:dyDescent="0.25">
      <c r="A884" t="str">
        <f>(COUNTIF($K$2:K884,K884))&amp;K884</f>
        <v>0</v>
      </c>
      <c r="B884" s="34"/>
      <c r="C884" s="13"/>
      <c r="D884" s="14"/>
      <c r="E884" s="16"/>
      <c r="F884" s="17"/>
      <c r="G884" s="24"/>
      <c r="H884" s="15"/>
      <c r="I884" s="15"/>
      <c r="J884" s="15"/>
      <c r="K884" s="18"/>
      <c r="L884" s="15"/>
      <c r="M884" s="15"/>
      <c r="N884" s="15"/>
      <c r="O884" s="24"/>
      <c r="P884" s="17"/>
      <c r="Q884" s="16"/>
      <c r="R884" s="19"/>
      <c r="S884" s="20"/>
    </row>
    <row r="885" spans="1:19" x14ac:dyDescent="0.25">
      <c r="A885" t="str">
        <f>(COUNTIF($K$2:K885,K885))&amp;K885</f>
        <v>0</v>
      </c>
      <c r="B885" s="34"/>
      <c r="C885" s="41"/>
      <c r="E885" s="33"/>
      <c r="F885" s="39"/>
      <c r="G885" s="40"/>
      <c r="H885" s="38"/>
      <c r="I885" s="38"/>
      <c r="J885" s="38"/>
      <c r="K885" s="54"/>
      <c r="L885" s="38"/>
      <c r="M885" s="38"/>
      <c r="N885" s="38"/>
      <c r="P885" s="40"/>
      <c r="Q885" s="33"/>
      <c r="R885" s="38"/>
      <c r="S885" s="38"/>
    </row>
    <row r="886" spans="1:19" x14ac:dyDescent="0.25">
      <c r="A886" t="str">
        <f>(COUNTIF($K$2:K886,K886))&amp;K886</f>
        <v>0</v>
      </c>
      <c r="B886" s="34"/>
      <c r="C886" s="13"/>
      <c r="D886" s="14"/>
      <c r="E886" s="16"/>
      <c r="F886" s="17"/>
      <c r="G886" s="24"/>
      <c r="H886" s="15"/>
      <c r="I886" s="15"/>
      <c r="J886" s="15"/>
      <c r="K886" s="18"/>
      <c r="L886" s="15"/>
      <c r="M886" s="15"/>
      <c r="N886" s="15"/>
      <c r="O886" s="24"/>
      <c r="P886" s="17"/>
      <c r="Q886" s="16"/>
      <c r="R886" s="19"/>
      <c r="S886" s="20"/>
    </row>
    <row r="887" spans="1:19" x14ac:dyDescent="0.25">
      <c r="A887" t="str">
        <f>(COUNTIF($K$2:K887,K887))&amp;K887</f>
        <v>0</v>
      </c>
      <c r="B887" s="34"/>
      <c r="C887" s="13"/>
      <c r="D887" s="14"/>
      <c r="E887" s="16"/>
      <c r="F887" s="17"/>
      <c r="G887" s="24"/>
      <c r="H887" s="15"/>
      <c r="I887" s="15"/>
      <c r="J887" s="15"/>
      <c r="K887" s="18"/>
      <c r="L887" s="15"/>
      <c r="M887" s="15"/>
      <c r="N887" s="15"/>
      <c r="O887" s="24"/>
      <c r="P887" s="17"/>
      <c r="Q887" s="16"/>
      <c r="R887" s="19"/>
      <c r="S887" s="20"/>
    </row>
    <row r="888" spans="1:19" x14ac:dyDescent="0.25">
      <c r="A888" t="str">
        <f>(COUNTIF($K$2:K888,K888))&amp;K888</f>
        <v>0</v>
      </c>
      <c r="B888" s="34"/>
      <c r="C888" s="13"/>
      <c r="D888" s="14"/>
      <c r="E888" s="16"/>
      <c r="F888" s="17"/>
      <c r="G888" s="24"/>
      <c r="H888" s="15"/>
      <c r="I888" s="15"/>
      <c r="J888" s="15"/>
      <c r="K888" s="18"/>
      <c r="L888" s="15"/>
      <c r="M888" s="15"/>
      <c r="N888" s="15"/>
      <c r="O888" s="24"/>
      <c r="P888" s="17"/>
      <c r="Q888" s="16"/>
      <c r="R888" s="19"/>
      <c r="S888" s="20"/>
    </row>
    <row r="889" spans="1:19" x14ac:dyDescent="0.25">
      <c r="A889" t="str">
        <f>(COUNTIF($K$2:K889,K889))&amp;K889</f>
        <v>0</v>
      </c>
      <c r="B889" s="34"/>
      <c r="C889" s="13"/>
      <c r="D889" s="14"/>
      <c r="E889" s="16"/>
      <c r="F889" s="17"/>
      <c r="G889" s="24"/>
      <c r="H889" s="15"/>
      <c r="I889" s="15"/>
      <c r="J889" s="15"/>
      <c r="K889" s="18"/>
      <c r="L889" s="15"/>
      <c r="M889" s="15"/>
      <c r="N889" s="15"/>
      <c r="O889" s="24"/>
      <c r="P889" s="17"/>
      <c r="Q889" s="16"/>
      <c r="R889" s="19"/>
      <c r="S889" s="20"/>
    </row>
    <row r="890" spans="1:19" x14ac:dyDescent="0.25">
      <c r="A890" t="str">
        <f>(COUNTIF($K$2:K890,K890))&amp;K890</f>
        <v>0</v>
      </c>
      <c r="B890" s="34"/>
      <c r="C890" s="13"/>
      <c r="D890" s="14"/>
      <c r="E890" s="16"/>
      <c r="F890" s="17"/>
      <c r="G890" s="24"/>
      <c r="H890" s="15"/>
      <c r="I890" s="15"/>
      <c r="J890" s="15"/>
      <c r="K890" s="18"/>
      <c r="L890" s="15"/>
      <c r="M890" s="15"/>
      <c r="N890" s="15"/>
      <c r="O890" s="24"/>
      <c r="P890" s="17"/>
      <c r="Q890" s="16"/>
      <c r="R890" s="19"/>
      <c r="S890" s="20"/>
    </row>
    <row r="891" spans="1:19" x14ac:dyDescent="0.25">
      <c r="A891" t="str">
        <f>(COUNTIF($K$2:K891,K891))&amp;K891</f>
        <v>0</v>
      </c>
      <c r="B891" s="34"/>
      <c r="C891" s="13"/>
      <c r="D891" s="14"/>
      <c r="E891" s="16"/>
      <c r="F891" s="17"/>
      <c r="G891" s="24"/>
      <c r="H891" s="15"/>
      <c r="I891" s="15"/>
      <c r="J891" s="15"/>
      <c r="K891" s="18"/>
      <c r="L891" s="15"/>
      <c r="M891" s="15"/>
      <c r="N891" s="15"/>
      <c r="O891" s="24"/>
      <c r="P891" s="17"/>
      <c r="Q891" s="16"/>
      <c r="R891" s="19"/>
      <c r="S891" s="20"/>
    </row>
    <row r="892" spans="1:19" x14ac:dyDescent="0.25">
      <c r="A892" t="str">
        <f>(COUNTIF($K$2:K892,K892))&amp;K892</f>
        <v>0</v>
      </c>
      <c r="B892" s="34"/>
      <c r="C892" s="13"/>
      <c r="D892" s="14"/>
      <c r="E892" s="16"/>
      <c r="F892" s="17"/>
      <c r="G892" s="24"/>
      <c r="H892" s="15"/>
      <c r="I892" s="15"/>
      <c r="J892" s="15"/>
      <c r="K892" s="18"/>
      <c r="L892" s="15"/>
      <c r="M892" s="15"/>
      <c r="N892" s="15"/>
      <c r="O892" s="24"/>
      <c r="P892" s="17"/>
      <c r="Q892" s="16"/>
      <c r="R892" s="19"/>
      <c r="S892" s="20"/>
    </row>
    <row r="893" spans="1:19" x14ac:dyDescent="0.25">
      <c r="A893" t="str">
        <f>(COUNTIF($K$2:K893,K893))&amp;K893</f>
        <v>0</v>
      </c>
      <c r="B893" s="34"/>
      <c r="C893" s="13"/>
      <c r="D893" s="14"/>
      <c r="E893" s="16"/>
      <c r="F893" s="17"/>
      <c r="G893" s="24"/>
      <c r="H893" s="15"/>
      <c r="I893" s="15"/>
      <c r="J893" s="15"/>
      <c r="K893" s="18"/>
      <c r="L893" s="15"/>
      <c r="M893" s="15"/>
      <c r="N893" s="15"/>
      <c r="O893" s="24"/>
      <c r="P893" s="17"/>
      <c r="Q893" s="16"/>
      <c r="R893" s="19"/>
      <c r="S893" s="20"/>
    </row>
    <row r="894" spans="1:19" ht="15.75" x14ac:dyDescent="0.25">
      <c r="A894" t="str">
        <f>(COUNTIF($K$2:K894,K894))&amp;K894</f>
        <v>0</v>
      </c>
      <c r="B894" s="34"/>
      <c r="C894" s="13"/>
      <c r="D894" s="14"/>
      <c r="E894" s="16"/>
      <c r="F894" s="17"/>
      <c r="G894" s="24"/>
      <c r="H894" s="15"/>
      <c r="I894" s="15"/>
      <c r="J894" s="15"/>
      <c r="K894" s="21"/>
      <c r="L894" s="15"/>
      <c r="M894" s="15"/>
      <c r="N894" s="15"/>
      <c r="O894" s="24"/>
      <c r="P894" s="17"/>
      <c r="Q894" s="16"/>
      <c r="R894" s="19"/>
      <c r="S894" s="20"/>
    </row>
    <row r="895" spans="1:19" x14ac:dyDescent="0.25">
      <c r="A895" t="str">
        <f>(COUNTIF($K$2:K895,K895))&amp;K895</f>
        <v>0</v>
      </c>
      <c r="B895" s="34"/>
      <c r="C895" s="13"/>
      <c r="D895" s="14"/>
      <c r="E895" s="16"/>
      <c r="F895" s="17"/>
      <c r="G895" s="24"/>
      <c r="H895" s="15"/>
      <c r="I895" s="15"/>
      <c r="J895" s="15"/>
      <c r="K895" s="18"/>
      <c r="L895" s="15"/>
      <c r="M895" s="15"/>
      <c r="N895" s="15"/>
      <c r="O895" s="24"/>
      <c r="P895" s="17"/>
      <c r="Q895" s="16"/>
      <c r="R895" s="19"/>
      <c r="S895" s="20"/>
    </row>
    <row r="896" spans="1:19" x14ac:dyDescent="0.25">
      <c r="A896" t="str">
        <f>(COUNTIF($K$2:K896,K896))&amp;K896</f>
        <v>0</v>
      </c>
      <c r="B896" s="34"/>
      <c r="C896" s="13"/>
      <c r="D896" s="14"/>
      <c r="E896" s="16"/>
      <c r="F896" s="17"/>
      <c r="G896" s="24"/>
      <c r="H896" s="15"/>
      <c r="I896" s="15"/>
      <c r="J896" s="15"/>
      <c r="K896" s="18"/>
      <c r="L896" s="15"/>
      <c r="M896" s="15"/>
      <c r="N896" s="15"/>
      <c r="O896" s="24"/>
      <c r="P896" s="17"/>
      <c r="Q896" s="16"/>
      <c r="R896" s="19"/>
      <c r="S896" s="20"/>
    </row>
    <row r="897" spans="1:19" x14ac:dyDescent="0.25">
      <c r="A897" t="str">
        <f>(COUNTIF($K$2:K897,K897))&amp;K897</f>
        <v>0</v>
      </c>
      <c r="B897" s="34"/>
      <c r="C897" s="13"/>
      <c r="D897" s="14"/>
      <c r="E897" s="16"/>
      <c r="F897" s="17"/>
      <c r="G897" s="24"/>
      <c r="H897" s="15"/>
      <c r="I897" s="15"/>
      <c r="J897" s="15"/>
      <c r="K897" s="18"/>
      <c r="L897" s="15"/>
      <c r="M897" s="15"/>
      <c r="N897" s="15"/>
      <c r="O897" s="24"/>
      <c r="P897" s="17"/>
      <c r="Q897" s="16"/>
      <c r="R897" s="19"/>
      <c r="S897" s="20"/>
    </row>
    <row r="898" spans="1:19" x14ac:dyDescent="0.25">
      <c r="A898" t="str">
        <f>(COUNTIF($K$2:K898,K898))&amp;K898</f>
        <v>0</v>
      </c>
      <c r="B898" s="34"/>
      <c r="C898" s="13"/>
      <c r="D898" s="14"/>
      <c r="E898" s="16"/>
      <c r="F898" s="17"/>
      <c r="G898" s="24"/>
      <c r="H898" s="15"/>
      <c r="I898" s="15"/>
      <c r="J898" s="15"/>
      <c r="K898" s="18"/>
      <c r="L898" s="15"/>
      <c r="M898" s="15"/>
      <c r="N898" s="15"/>
      <c r="O898" s="24"/>
      <c r="P898" s="17"/>
      <c r="Q898" s="16"/>
      <c r="R898" s="19"/>
      <c r="S898" s="20"/>
    </row>
    <row r="899" spans="1:19" x14ac:dyDescent="0.25">
      <c r="A899" t="str">
        <f>(COUNTIF($K$2:K899,K899))&amp;K899</f>
        <v>0</v>
      </c>
      <c r="B899" s="34"/>
      <c r="C899" s="13"/>
      <c r="D899" s="14"/>
      <c r="E899" s="16"/>
      <c r="F899" s="17"/>
      <c r="G899" s="24"/>
      <c r="H899" s="15"/>
      <c r="I899" s="15"/>
      <c r="J899" s="15"/>
      <c r="K899" s="18"/>
      <c r="L899" s="15"/>
      <c r="M899" s="15"/>
      <c r="N899" s="15"/>
      <c r="O899" s="24"/>
      <c r="P899" s="17"/>
      <c r="Q899" s="16"/>
      <c r="R899" s="19"/>
      <c r="S899" s="20"/>
    </row>
    <row r="900" spans="1:19" x14ac:dyDescent="0.25">
      <c r="A900" t="str">
        <f>(COUNTIF($K$2:K900,K900))&amp;K900</f>
        <v>0</v>
      </c>
      <c r="B900" s="34"/>
      <c r="C900" s="13"/>
      <c r="D900" s="14"/>
      <c r="E900" s="16"/>
      <c r="F900" s="17"/>
      <c r="G900" s="24"/>
      <c r="H900" s="15"/>
      <c r="I900" s="15"/>
      <c r="J900" s="15"/>
      <c r="K900" s="18"/>
      <c r="L900" s="15"/>
      <c r="M900" s="15"/>
      <c r="N900" s="15"/>
      <c r="O900" s="24"/>
      <c r="P900" s="17"/>
      <c r="Q900" s="16"/>
      <c r="R900" s="19"/>
      <c r="S900" s="20"/>
    </row>
    <row r="901" spans="1:19" x14ac:dyDescent="0.25">
      <c r="A901" t="str">
        <f>(COUNTIF($K$2:K901,K901))&amp;K901</f>
        <v>0</v>
      </c>
      <c r="B901" s="34"/>
      <c r="C901" s="13"/>
      <c r="D901" s="14"/>
      <c r="E901" s="16"/>
      <c r="F901" s="17"/>
      <c r="G901" s="24"/>
      <c r="H901" s="15"/>
      <c r="I901" s="15"/>
      <c r="J901" s="15"/>
      <c r="K901" s="18"/>
      <c r="L901" s="15"/>
      <c r="M901" s="15"/>
      <c r="N901" s="15"/>
      <c r="O901" s="24"/>
      <c r="P901" s="17"/>
      <c r="Q901" s="16"/>
      <c r="R901" s="19"/>
      <c r="S901" s="20"/>
    </row>
    <row r="902" spans="1:19" x14ac:dyDescent="0.25">
      <c r="A902" t="str">
        <f>(COUNTIF($K$2:K902,K902))&amp;K902</f>
        <v>0</v>
      </c>
      <c r="B902" s="34"/>
      <c r="C902" s="41"/>
      <c r="E902" s="33"/>
      <c r="F902" s="39"/>
      <c r="G902" s="40"/>
      <c r="H902" s="38"/>
      <c r="I902" s="38"/>
      <c r="J902" s="38"/>
      <c r="K902" s="54"/>
      <c r="L902" s="38"/>
      <c r="M902" s="38"/>
      <c r="N902" s="38"/>
      <c r="P902" s="40"/>
      <c r="Q902" s="33"/>
      <c r="R902" s="38"/>
      <c r="S902" s="38"/>
    </row>
    <row r="903" spans="1:19" x14ac:dyDescent="0.25">
      <c r="A903" t="str">
        <f>(COUNTIF($K$2:K903,K903))&amp;K903</f>
        <v>0</v>
      </c>
      <c r="B903" s="34"/>
      <c r="C903" s="13"/>
      <c r="D903" s="14"/>
      <c r="E903" s="16"/>
      <c r="F903" s="17"/>
      <c r="G903" s="24"/>
      <c r="H903" s="15"/>
      <c r="I903" s="15"/>
      <c r="J903" s="15"/>
      <c r="K903" s="18"/>
      <c r="L903" s="15"/>
      <c r="M903" s="15"/>
      <c r="N903" s="15"/>
      <c r="O903" s="24"/>
      <c r="P903" s="17"/>
      <c r="Q903" s="16"/>
      <c r="R903" s="19"/>
      <c r="S903" s="20"/>
    </row>
    <row r="904" spans="1:19" x14ac:dyDescent="0.25">
      <c r="A904" t="str">
        <f>(COUNTIF($K$2:K904,K904))&amp;K904</f>
        <v>0</v>
      </c>
      <c r="B904" s="34"/>
      <c r="C904" s="13"/>
      <c r="D904" s="14"/>
      <c r="E904" s="16"/>
      <c r="F904" s="17"/>
      <c r="G904" s="24"/>
      <c r="H904" s="15"/>
      <c r="I904" s="15"/>
      <c r="J904" s="15"/>
      <c r="K904" s="18"/>
      <c r="L904" s="15"/>
      <c r="M904" s="15"/>
      <c r="N904" s="15"/>
      <c r="O904" s="24"/>
      <c r="P904" s="17"/>
      <c r="Q904" s="16"/>
      <c r="R904" s="19"/>
      <c r="S904" s="20"/>
    </row>
    <row r="905" spans="1:19" x14ac:dyDescent="0.25">
      <c r="A905" t="str">
        <f>(COUNTIF($K$2:K905,K905))&amp;K905</f>
        <v>0</v>
      </c>
      <c r="B905" s="34"/>
      <c r="C905" s="13"/>
      <c r="D905" s="14"/>
      <c r="E905" s="16"/>
      <c r="F905" s="17"/>
      <c r="G905" s="24"/>
      <c r="H905" s="15"/>
      <c r="I905" s="15"/>
      <c r="J905" s="15"/>
      <c r="K905" s="18"/>
      <c r="L905" s="15"/>
      <c r="M905" s="15"/>
      <c r="N905" s="15"/>
      <c r="O905" s="24"/>
      <c r="P905" s="17"/>
      <c r="Q905" s="16"/>
      <c r="R905" s="19"/>
      <c r="S905" s="20"/>
    </row>
    <row r="906" spans="1:19" x14ac:dyDescent="0.25">
      <c r="A906" t="str">
        <f>(COUNTIF($K$2:K906,K906))&amp;K906</f>
        <v>0</v>
      </c>
      <c r="B906" s="34"/>
      <c r="C906" s="13"/>
      <c r="D906" s="14"/>
      <c r="E906" s="16"/>
      <c r="F906" s="17"/>
      <c r="G906" s="24"/>
      <c r="H906" s="15"/>
      <c r="I906" s="15"/>
      <c r="J906" s="15"/>
      <c r="K906" s="18"/>
      <c r="L906" s="15"/>
      <c r="M906" s="15"/>
      <c r="N906" s="15"/>
      <c r="O906" s="24"/>
      <c r="P906" s="17"/>
      <c r="Q906" s="16"/>
      <c r="R906" s="19"/>
      <c r="S906" s="20"/>
    </row>
    <row r="907" spans="1:19" x14ac:dyDescent="0.25">
      <c r="A907" t="str">
        <f>(COUNTIF($K$2:K907,K907))&amp;K907</f>
        <v>0</v>
      </c>
      <c r="B907" s="34"/>
      <c r="C907" s="13"/>
      <c r="D907" s="14"/>
      <c r="E907" s="16"/>
      <c r="F907" s="17"/>
      <c r="G907" s="24"/>
      <c r="H907" s="15"/>
      <c r="I907" s="15"/>
      <c r="J907" s="15"/>
      <c r="K907" s="18"/>
      <c r="L907" s="15"/>
      <c r="M907" s="15"/>
      <c r="N907" s="15"/>
      <c r="O907" s="24"/>
      <c r="P907" s="17"/>
      <c r="Q907" s="16"/>
      <c r="R907" s="19"/>
      <c r="S907" s="20"/>
    </row>
    <row r="908" spans="1:19" x14ac:dyDescent="0.25">
      <c r="A908" t="str">
        <f>(COUNTIF($K$2:K908,K908))&amp;K908</f>
        <v>0</v>
      </c>
      <c r="B908" s="34"/>
      <c r="C908" s="13"/>
      <c r="D908" s="14"/>
      <c r="E908" s="16"/>
      <c r="F908" s="17"/>
      <c r="G908" s="24"/>
      <c r="H908" s="15"/>
      <c r="I908" s="15"/>
      <c r="J908" s="15"/>
      <c r="K908" s="18"/>
      <c r="L908" s="15"/>
      <c r="M908" s="15"/>
      <c r="N908" s="15"/>
      <c r="O908" s="24"/>
      <c r="P908" s="17"/>
      <c r="Q908" s="16"/>
      <c r="R908" s="19"/>
      <c r="S908" s="20"/>
    </row>
    <row r="909" spans="1:19" x14ac:dyDescent="0.25">
      <c r="A909" t="str">
        <f>(COUNTIF($K$2:K909,K909))&amp;K909</f>
        <v>0</v>
      </c>
      <c r="B909" s="34"/>
      <c r="C909" s="13"/>
      <c r="D909" s="14"/>
      <c r="E909" s="16"/>
      <c r="F909" s="17"/>
      <c r="G909" s="24"/>
      <c r="H909" s="15"/>
      <c r="I909" s="15"/>
      <c r="J909" s="15"/>
      <c r="K909" s="18"/>
      <c r="L909" s="15"/>
      <c r="M909" s="15"/>
      <c r="N909" s="15"/>
      <c r="O909" s="24"/>
      <c r="P909" s="17"/>
      <c r="Q909" s="16"/>
      <c r="R909" s="19"/>
      <c r="S909" s="20"/>
    </row>
    <row r="910" spans="1:19" x14ac:dyDescent="0.25">
      <c r="A910" t="str">
        <f>(COUNTIF($K$2:K910,K910))&amp;K910</f>
        <v>0</v>
      </c>
      <c r="B910" s="34"/>
      <c r="C910" s="13"/>
      <c r="D910" s="14"/>
      <c r="E910" s="16"/>
      <c r="F910" s="17"/>
      <c r="G910" s="24"/>
      <c r="H910" s="15"/>
      <c r="I910" s="15"/>
      <c r="J910" s="15"/>
      <c r="K910" s="18"/>
      <c r="L910" s="15"/>
      <c r="M910" s="15"/>
      <c r="N910" s="15"/>
      <c r="O910" s="24"/>
      <c r="P910" s="17"/>
      <c r="Q910" s="16"/>
      <c r="R910" s="19"/>
      <c r="S910" s="20"/>
    </row>
    <row r="911" spans="1:19" ht="15.75" x14ac:dyDescent="0.25">
      <c r="A911" t="str">
        <f>(COUNTIF($K$2:K911,K911))&amp;K911</f>
        <v>0</v>
      </c>
      <c r="B911" s="34"/>
      <c r="C911" s="13"/>
      <c r="D911" s="14"/>
      <c r="E911" s="16"/>
      <c r="F911" s="17"/>
      <c r="G911" s="24"/>
      <c r="H911" s="15"/>
      <c r="I911" s="15"/>
      <c r="J911" s="15"/>
      <c r="K911" s="21"/>
      <c r="L911" s="15"/>
      <c r="M911" s="15"/>
      <c r="N911" s="15"/>
      <c r="O911" s="24"/>
      <c r="P911" s="17"/>
      <c r="Q911" s="16"/>
      <c r="R911" s="19"/>
      <c r="S911" s="20"/>
    </row>
    <row r="912" spans="1:19" x14ac:dyDescent="0.25">
      <c r="A912" t="str">
        <f>(COUNTIF($K$2:K912,K912))&amp;K912</f>
        <v>0</v>
      </c>
      <c r="B912" s="34"/>
      <c r="C912" s="13"/>
      <c r="D912" s="14"/>
      <c r="E912" s="16"/>
      <c r="F912" s="17"/>
      <c r="G912" s="24"/>
      <c r="H912" s="15"/>
      <c r="I912" s="15"/>
      <c r="J912" s="15"/>
      <c r="K912" s="18"/>
      <c r="L912" s="15"/>
      <c r="M912" s="15"/>
      <c r="N912" s="15"/>
      <c r="O912" s="24"/>
      <c r="P912" s="17"/>
      <c r="Q912" s="16"/>
      <c r="R912" s="19"/>
      <c r="S912" s="20"/>
    </row>
    <row r="913" spans="1:19" x14ac:dyDescent="0.25">
      <c r="A913" t="str">
        <f>(COUNTIF($K$2:K913,K913))&amp;K913</f>
        <v>0</v>
      </c>
      <c r="B913" s="34"/>
      <c r="C913" s="13"/>
      <c r="D913" s="14"/>
      <c r="E913" s="16"/>
      <c r="F913" s="17"/>
      <c r="G913" s="24"/>
      <c r="H913" s="15"/>
      <c r="I913" s="15"/>
      <c r="J913" s="15"/>
      <c r="K913" s="18"/>
      <c r="L913" s="15"/>
      <c r="M913" s="15"/>
      <c r="N913" s="15"/>
      <c r="O913" s="24"/>
      <c r="P913" s="17"/>
      <c r="Q913" s="16"/>
      <c r="R913" s="19"/>
      <c r="S913" s="20"/>
    </row>
    <row r="914" spans="1:19" x14ac:dyDescent="0.25">
      <c r="A914" t="str">
        <f>(COUNTIF($K$2:K914,K914))&amp;K914</f>
        <v>0</v>
      </c>
      <c r="B914" s="34"/>
      <c r="C914" s="13"/>
      <c r="D914" s="14"/>
      <c r="E914" s="16"/>
      <c r="F914" s="17"/>
      <c r="G914" s="24"/>
      <c r="H914" s="15"/>
      <c r="I914" s="15"/>
      <c r="J914" s="15"/>
      <c r="K914" s="18"/>
      <c r="L914" s="15"/>
      <c r="M914" s="15"/>
      <c r="N914" s="15"/>
      <c r="O914" s="24"/>
      <c r="P914" s="17"/>
      <c r="Q914" s="16"/>
      <c r="R914" s="19"/>
      <c r="S914" s="20"/>
    </row>
    <row r="915" spans="1:19" x14ac:dyDescent="0.25">
      <c r="A915" t="str">
        <f>(COUNTIF($K$2:K915,K915))&amp;K915</f>
        <v>0</v>
      </c>
      <c r="B915" s="34"/>
      <c r="C915" s="13"/>
      <c r="D915" s="14"/>
      <c r="E915" s="16"/>
      <c r="F915" s="17"/>
      <c r="G915" s="24"/>
      <c r="H915" s="15"/>
      <c r="I915" s="15"/>
      <c r="J915" s="15"/>
      <c r="K915" s="18"/>
      <c r="L915" s="15"/>
      <c r="M915" s="15"/>
      <c r="N915" s="15"/>
      <c r="O915" s="24"/>
      <c r="P915" s="17"/>
      <c r="Q915" s="16"/>
      <c r="R915" s="19"/>
      <c r="S915" s="20"/>
    </row>
    <row r="916" spans="1:19" x14ac:dyDescent="0.25">
      <c r="A916" t="str">
        <f>(COUNTIF($K$2:K916,K916))&amp;K916</f>
        <v>0</v>
      </c>
      <c r="B916" s="34"/>
      <c r="C916" s="13"/>
      <c r="D916" s="14"/>
      <c r="E916" s="16"/>
      <c r="F916" s="17"/>
      <c r="G916" s="24"/>
      <c r="H916" s="15"/>
      <c r="I916" s="15"/>
      <c r="J916" s="15"/>
      <c r="K916" s="18"/>
      <c r="L916" s="15"/>
      <c r="M916" s="15"/>
      <c r="N916" s="15"/>
      <c r="O916" s="24"/>
      <c r="P916" s="17"/>
      <c r="Q916" s="16"/>
      <c r="R916" s="19"/>
      <c r="S916" s="20"/>
    </row>
    <row r="917" spans="1:19" x14ac:dyDescent="0.25">
      <c r="A917" t="str">
        <f>(COUNTIF($K$2:K917,K917))&amp;K917</f>
        <v>0</v>
      </c>
      <c r="B917" s="34"/>
      <c r="C917" s="13"/>
      <c r="D917" s="14"/>
      <c r="E917" s="16"/>
      <c r="F917" s="17"/>
      <c r="G917" s="24"/>
      <c r="H917" s="15"/>
      <c r="I917" s="15"/>
      <c r="J917" s="15"/>
      <c r="K917" s="18"/>
      <c r="L917" s="15"/>
      <c r="M917" s="15"/>
      <c r="N917" s="15"/>
      <c r="O917" s="24"/>
      <c r="P917" s="17"/>
      <c r="Q917" s="16"/>
      <c r="R917" s="19"/>
      <c r="S917" s="20"/>
    </row>
    <row r="918" spans="1:19" x14ac:dyDescent="0.25">
      <c r="A918" t="str">
        <f>(COUNTIF($K$2:K918,K918))&amp;K918</f>
        <v>0</v>
      </c>
      <c r="B918" s="34"/>
      <c r="C918" s="13"/>
      <c r="D918" s="14"/>
      <c r="E918" s="16"/>
      <c r="F918" s="17"/>
      <c r="G918" s="24"/>
      <c r="H918" s="15"/>
      <c r="I918" s="15"/>
      <c r="J918" s="15"/>
      <c r="K918" s="18"/>
      <c r="L918" s="15"/>
      <c r="M918" s="15"/>
      <c r="N918" s="15"/>
      <c r="O918" s="24"/>
      <c r="P918" s="17"/>
      <c r="Q918" s="16"/>
      <c r="R918" s="19"/>
      <c r="S918" s="20"/>
    </row>
    <row r="919" spans="1:19" x14ac:dyDescent="0.25">
      <c r="A919" t="str">
        <f>(COUNTIF($K$2:K919,K919))&amp;K919</f>
        <v>0</v>
      </c>
      <c r="B919" s="34"/>
      <c r="C919" s="41"/>
      <c r="E919" s="33"/>
      <c r="F919" s="39"/>
      <c r="G919" s="40"/>
      <c r="H919" s="38"/>
      <c r="I919" s="38"/>
      <c r="J919" s="38"/>
      <c r="K919" s="54"/>
      <c r="L919" s="38"/>
      <c r="M919" s="38"/>
      <c r="N919" s="38"/>
      <c r="P919" s="40"/>
      <c r="Q919" s="33"/>
      <c r="R919" s="38"/>
      <c r="S919" s="38"/>
    </row>
    <row r="920" spans="1:19" x14ac:dyDescent="0.25">
      <c r="A920" t="str">
        <f>(COUNTIF($K$2:K920,K920))&amp;K920</f>
        <v>0</v>
      </c>
      <c r="B920" s="34"/>
      <c r="C920" s="13"/>
      <c r="D920" s="14"/>
      <c r="E920" s="16"/>
      <c r="F920" s="17"/>
      <c r="G920" s="24"/>
      <c r="H920" s="15"/>
      <c r="I920" s="15"/>
      <c r="J920" s="15"/>
      <c r="K920" s="18"/>
      <c r="L920" s="15"/>
      <c r="M920" s="15"/>
      <c r="N920" s="15"/>
      <c r="O920" s="24"/>
      <c r="P920" s="17"/>
      <c r="Q920" s="16"/>
      <c r="R920" s="19"/>
      <c r="S920" s="20"/>
    </row>
    <row r="921" spans="1:19" x14ac:dyDescent="0.25">
      <c r="A921" t="str">
        <f>(COUNTIF($K$2:K921,K921))&amp;K921</f>
        <v>0</v>
      </c>
      <c r="B921" s="34"/>
      <c r="C921" s="13"/>
      <c r="D921" s="14"/>
      <c r="E921" s="16"/>
      <c r="F921" s="17"/>
      <c r="G921" s="24"/>
      <c r="H921" s="15"/>
      <c r="I921" s="15"/>
      <c r="J921" s="15"/>
      <c r="K921" s="18"/>
      <c r="L921" s="15"/>
      <c r="M921" s="15"/>
      <c r="N921" s="15"/>
      <c r="O921" s="24"/>
      <c r="P921" s="17"/>
      <c r="Q921" s="16"/>
      <c r="R921" s="19"/>
      <c r="S921" s="20"/>
    </row>
    <row r="922" spans="1:19" x14ac:dyDescent="0.25">
      <c r="A922" t="str">
        <f>(COUNTIF($K$2:K922,K922))&amp;K922</f>
        <v>0</v>
      </c>
      <c r="B922" s="34"/>
      <c r="C922" s="13"/>
      <c r="D922" s="14"/>
      <c r="E922" s="16"/>
      <c r="F922" s="17"/>
      <c r="G922" s="24"/>
      <c r="H922" s="15"/>
      <c r="I922" s="15"/>
      <c r="J922" s="15"/>
      <c r="K922" s="18"/>
      <c r="L922" s="15"/>
      <c r="M922" s="15"/>
      <c r="N922" s="15"/>
      <c r="O922" s="24"/>
      <c r="P922" s="17"/>
      <c r="Q922" s="16"/>
      <c r="R922" s="19"/>
      <c r="S922" s="20"/>
    </row>
    <row r="923" spans="1:19" x14ac:dyDescent="0.25">
      <c r="A923" t="str">
        <f>(COUNTIF($K$2:K923,K923))&amp;K923</f>
        <v>0</v>
      </c>
      <c r="B923" s="34"/>
      <c r="C923" s="13"/>
      <c r="D923" s="14"/>
      <c r="E923" s="16"/>
      <c r="F923" s="17"/>
      <c r="G923" s="24"/>
      <c r="H923" s="15"/>
      <c r="I923" s="15"/>
      <c r="J923" s="15"/>
      <c r="K923" s="18"/>
      <c r="L923" s="15"/>
      <c r="M923" s="15"/>
      <c r="N923" s="15"/>
      <c r="O923" s="24"/>
      <c r="P923" s="17"/>
      <c r="Q923" s="16"/>
      <c r="R923" s="19"/>
      <c r="S923" s="20"/>
    </row>
    <row r="924" spans="1:19" x14ac:dyDescent="0.25">
      <c r="A924" t="str">
        <f>(COUNTIF($K$2:K924,K924))&amp;K924</f>
        <v>0</v>
      </c>
      <c r="B924" s="34"/>
      <c r="C924" s="13"/>
      <c r="D924" s="14"/>
      <c r="E924" s="16"/>
      <c r="F924" s="17"/>
      <c r="G924" s="24"/>
      <c r="H924" s="15"/>
      <c r="I924" s="15"/>
      <c r="J924" s="15"/>
      <c r="K924" s="18"/>
      <c r="L924" s="15"/>
      <c r="M924" s="15"/>
      <c r="N924" s="15"/>
      <c r="O924" s="24"/>
      <c r="P924" s="17"/>
      <c r="Q924" s="16"/>
      <c r="R924" s="19"/>
      <c r="S924" s="20"/>
    </row>
    <row r="925" spans="1:19" x14ac:dyDescent="0.25">
      <c r="A925" t="str">
        <f>(COUNTIF($K$2:K925,K925))&amp;K925</f>
        <v>0</v>
      </c>
      <c r="B925" s="34"/>
      <c r="C925" s="13"/>
      <c r="D925" s="14"/>
      <c r="E925" s="16"/>
      <c r="F925" s="17"/>
      <c r="G925" s="24"/>
      <c r="H925" s="15"/>
      <c r="I925" s="15"/>
      <c r="J925" s="15"/>
      <c r="K925" s="18"/>
      <c r="L925" s="15"/>
      <c r="M925" s="15"/>
      <c r="N925" s="15"/>
      <c r="O925" s="24"/>
      <c r="P925" s="17"/>
      <c r="Q925" s="16"/>
      <c r="R925" s="19"/>
      <c r="S925" s="20"/>
    </row>
    <row r="926" spans="1:19" x14ac:dyDescent="0.25">
      <c r="A926" t="str">
        <f>(COUNTIF($K$2:K926,K926))&amp;K926</f>
        <v>0</v>
      </c>
      <c r="B926" s="34"/>
      <c r="C926" s="13"/>
      <c r="D926" s="14"/>
      <c r="E926" s="16"/>
      <c r="F926" s="17"/>
      <c r="G926" s="24"/>
      <c r="H926" s="15"/>
      <c r="I926" s="15"/>
      <c r="J926" s="15"/>
      <c r="K926" s="18"/>
      <c r="L926" s="15"/>
      <c r="M926" s="15"/>
      <c r="N926" s="15"/>
      <c r="O926" s="24"/>
      <c r="P926" s="17"/>
      <c r="Q926" s="16"/>
      <c r="R926" s="19"/>
      <c r="S926" s="20"/>
    </row>
    <row r="927" spans="1:19" x14ac:dyDescent="0.25">
      <c r="A927" t="str">
        <f>(COUNTIF($K$2:K927,K927))&amp;K927</f>
        <v>0</v>
      </c>
      <c r="B927" s="34"/>
      <c r="C927" s="13"/>
      <c r="D927" s="14"/>
      <c r="E927" s="16"/>
      <c r="F927" s="17"/>
      <c r="G927" s="24"/>
      <c r="H927" s="15"/>
      <c r="I927" s="15"/>
      <c r="J927" s="15"/>
      <c r="K927" s="18"/>
      <c r="L927" s="15"/>
      <c r="M927" s="15"/>
      <c r="N927" s="15"/>
      <c r="O927" s="24"/>
      <c r="P927" s="17"/>
      <c r="Q927" s="16"/>
      <c r="R927" s="19"/>
      <c r="S927" s="20"/>
    </row>
    <row r="928" spans="1:19" ht="15.75" x14ac:dyDescent="0.25">
      <c r="A928" t="str">
        <f>(COUNTIF($K$2:K928,K928))&amp;K928</f>
        <v>0</v>
      </c>
      <c r="B928" s="34"/>
      <c r="C928" s="13"/>
      <c r="D928" s="14"/>
      <c r="E928" s="16"/>
      <c r="F928" s="17"/>
      <c r="G928" s="24"/>
      <c r="H928" s="15"/>
      <c r="I928" s="15"/>
      <c r="J928" s="15"/>
      <c r="K928" s="21"/>
      <c r="L928" s="15"/>
      <c r="M928" s="15"/>
      <c r="N928" s="15"/>
      <c r="O928" s="24"/>
      <c r="P928" s="17"/>
      <c r="Q928" s="16"/>
      <c r="R928" s="19"/>
      <c r="S928" s="20"/>
    </row>
    <row r="929" spans="1:19" x14ac:dyDescent="0.25">
      <c r="A929" t="str">
        <f>(COUNTIF($K$2:K929,K929))&amp;K929</f>
        <v>0</v>
      </c>
      <c r="B929" s="34"/>
      <c r="C929" s="13"/>
      <c r="D929" s="14"/>
      <c r="E929" s="16"/>
      <c r="F929" s="17"/>
      <c r="G929" s="24"/>
      <c r="H929" s="15"/>
      <c r="I929" s="15"/>
      <c r="J929" s="15"/>
      <c r="K929" s="18"/>
      <c r="L929" s="15"/>
      <c r="M929" s="15"/>
      <c r="N929" s="15"/>
      <c r="O929" s="24"/>
      <c r="P929" s="17"/>
      <c r="Q929" s="16"/>
      <c r="R929" s="19"/>
      <c r="S929" s="20"/>
    </row>
    <row r="930" spans="1:19" x14ac:dyDescent="0.25">
      <c r="A930" t="str">
        <f>(COUNTIF($K$2:K930,K930))&amp;K930</f>
        <v>0</v>
      </c>
      <c r="B930" s="34"/>
      <c r="C930" s="13"/>
      <c r="D930" s="14"/>
      <c r="E930" s="16"/>
      <c r="F930" s="17"/>
      <c r="G930" s="24"/>
      <c r="H930" s="15"/>
      <c r="I930" s="15"/>
      <c r="J930" s="15"/>
      <c r="K930" s="18"/>
      <c r="L930" s="15"/>
      <c r="M930" s="15"/>
      <c r="N930" s="15"/>
      <c r="O930" s="24"/>
      <c r="P930" s="17"/>
      <c r="Q930" s="16"/>
      <c r="R930" s="19"/>
      <c r="S930" s="20"/>
    </row>
    <row r="931" spans="1:19" x14ac:dyDescent="0.25">
      <c r="A931" t="str">
        <f>(COUNTIF($K$2:K931,K931))&amp;K931</f>
        <v>0</v>
      </c>
      <c r="B931" s="34"/>
      <c r="C931" s="13"/>
      <c r="D931" s="14"/>
      <c r="E931" s="16"/>
      <c r="F931" s="17"/>
      <c r="G931" s="24"/>
      <c r="H931" s="15"/>
      <c r="I931" s="15"/>
      <c r="J931" s="15"/>
      <c r="K931" s="18"/>
      <c r="L931" s="15"/>
      <c r="M931" s="15"/>
      <c r="N931" s="15"/>
      <c r="O931" s="24"/>
      <c r="P931" s="17"/>
      <c r="Q931" s="16"/>
      <c r="R931" s="19"/>
      <c r="S931" s="20"/>
    </row>
    <row r="932" spans="1:19" x14ac:dyDescent="0.25">
      <c r="A932" t="str">
        <f>(COUNTIF($K$2:K932,K932))&amp;K932</f>
        <v>0</v>
      </c>
      <c r="B932" s="34"/>
      <c r="C932" s="13"/>
      <c r="D932" s="14"/>
      <c r="E932" s="16"/>
      <c r="F932" s="17"/>
      <c r="G932" s="24"/>
      <c r="H932" s="15"/>
      <c r="I932" s="15"/>
      <c r="J932" s="15"/>
      <c r="K932" s="18"/>
      <c r="L932" s="15"/>
      <c r="M932" s="15"/>
      <c r="N932" s="15"/>
      <c r="O932" s="24"/>
      <c r="P932" s="17"/>
      <c r="Q932" s="16"/>
      <c r="R932" s="19"/>
      <c r="S932" s="20"/>
    </row>
    <row r="933" spans="1:19" x14ac:dyDescent="0.25">
      <c r="A933" t="str">
        <f>(COUNTIF($K$2:K933,K933))&amp;K933</f>
        <v>0</v>
      </c>
      <c r="B933" s="34"/>
      <c r="C933" s="13"/>
      <c r="D933" s="14"/>
      <c r="E933" s="16"/>
      <c r="F933" s="17"/>
      <c r="G933" s="24"/>
      <c r="H933" s="15"/>
      <c r="I933" s="15"/>
      <c r="J933" s="15"/>
      <c r="K933" s="18"/>
      <c r="L933" s="15"/>
      <c r="M933" s="15"/>
      <c r="N933" s="15"/>
      <c r="O933" s="24"/>
      <c r="P933" s="17"/>
      <c r="Q933" s="16"/>
      <c r="R933" s="19"/>
      <c r="S933" s="20"/>
    </row>
    <row r="934" spans="1:19" x14ac:dyDescent="0.25">
      <c r="A934" t="str">
        <f>(COUNTIF($K$2:K934,K934))&amp;K934</f>
        <v>0</v>
      </c>
      <c r="B934" s="34"/>
      <c r="C934" s="13"/>
      <c r="D934" s="14"/>
      <c r="E934" s="16"/>
      <c r="F934" s="17"/>
      <c r="G934" s="24"/>
      <c r="H934" s="15"/>
      <c r="I934" s="15"/>
      <c r="J934" s="15"/>
      <c r="K934" s="18"/>
      <c r="L934" s="15"/>
      <c r="M934" s="15"/>
      <c r="N934" s="15"/>
      <c r="O934" s="24"/>
      <c r="P934" s="17"/>
      <c r="Q934" s="16"/>
      <c r="R934" s="19"/>
      <c r="S934" s="20"/>
    </row>
    <row r="935" spans="1:19" x14ac:dyDescent="0.25">
      <c r="A935" t="str">
        <f>(COUNTIF($K$2:K935,K935))&amp;K935</f>
        <v>0</v>
      </c>
      <c r="B935" s="34"/>
      <c r="C935" s="13"/>
      <c r="D935" s="14"/>
      <c r="E935" s="16"/>
      <c r="F935" s="17"/>
      <c r="G935" s="24"/>
      <c r="H935" s="15"/>
      <c r="I935" s="15"/>
      <c r="J935" s="15"/>
      <c r="K935" s="18"/>
      <c r="L935" s="15"/>
      <c r="M935" s="15"/>
      <c r="N935" s="15"/>
      <c r="O935" s="24"/>
      <c r="P935" s="17"/>
      <c r="Q935" s="16"/>
      <c r="R935" s="19"/>
      <c r="S935" s="20"/>
    </row>
    <row r="936" spans="1:19" x14ac:dyDescent="0.25">
      <c r="A936" t="str">
        <f>(COUNTIF($K$2:K936,K936))&amp;K936</f>
        <v>0</v>
      </c>
      <c r="B936" s="34"/>
      <c r="C936" s="41"/>
      <c r="E936" s="33"/>
      <c r="F936" s="39"/>
      <c r="G936" s="40"/>
      <c r="H936" s="38"/>
      <c r="I936" s="38"/>
      <c r="J936" s="38"/>
      <c r="K936" s="53"/>
      <c r="L936" s="38"/>
      <c r="M936" s="38"/>
      <c r="N936" s="38"/>
      <c r="P936" s="40"/>
      <c r="Q936" s="33"/>
      <c r="R936" s="38"/>
      <c r="S936" s="38"/>
    </row>
    <row r="937" spans="1:19" x14ac:dyDescent="0.25">
      <c r="A937" t="str">
        <f>(COUNTIF($K$2:K937,K937))&amp;K937</f>
        <v>0</v>
      </c>
      <c r="B937" s="34"/>
      <c r="C937" s="13"/>
      <c r="D937" s="14"/>
      <c r="E937" s="16"/>
      <c r="F937" s="17"/>
      <c r="G937" s="24"/>
      <c r="H937" s="15"/>
      <c r="I937" s="15"/>
      <c r="J937" s="15"/>
      <c r="K937" s="18"/>
      <c r="L937" s="15"/>
      <c r="M937" s="15"/>
      <c r="N937" s="15"/>
      <c r="O937" s="24"/>
      <c r="P937" s="17"/>
      <c r="Q937" s="16"/>
      <c r="R937" s="19"/>
      <c r="S937" s="20"/>
    </row>
    <row r="938" spans="1:19" x14ac:dyDescent="0.25">
      <c r="A938" t="str">
        <f>(COUNTIF($K$2:K938,K938))&amp;K938</f>
        <v>0</v>
      </c>
      <c r="B938" s="34"/>
      <c r="C938" s="13"/>
      <c r="D938" s="14"/>
      <c r="E938" s="16"/>
      <c r="F938" s="17"/>
      <c r="G938" s="24"/>
      <c r="H938" s="15"/>
      <c r="I938" s="15"/>
      <c r="J938" s="15"/>
      <c r="K938" s="18"/>
      <c r="L938" s="15"/>
      <c r="M938" s="15"/>
      <c r="N938" s="15"/>
      <c r="O938" s="24"/>
      <c r="P938" s="17"/>
      <c r="Q938" s="16"/>
      <c r="R938" s="19"/>
      <c r="S938" s="20"/>
    </row>
    <row r="939" spans="1:19" x14ac:dyDescent="0.25">
      <c r="A939" t="str">
        <f>(COUNTIF($K$2:K939,K939))&amp;K939</f>
        <v>0</v>
      </c>
      <c r="B939" s="34"/>
      <c r="C939" s="13"/>
      <c r="D939" s="14"/>
      <c r="E939" s="16"/>
      <c r="F939" s="17"/>
      <c r="G939" s="24"/>
      <c r="H939" s="15"/>
      <c r="I939" s="15"/>
      <c r="J939" s="15"/>
      <c r="K939" s="18"/>
      <c r="L939" s="15"/>
      <c r="M939" s="15"/>
      <c r="N939" s="15"/>
      <c r="O939" s="24"/>
      <c r="P939" s="17"/>
      <c r="Q939" s="16"/>
      <c r="R939" s="19"/>
      <c r="S939" s="20"/>
    </row>
    <row r="940" spans="1:19" x14ac:dyDescent="0.25">
      <c r="A940" t="str">
        <f>(COUNTIF($K$2:K940,K940))&amp;K940</f>
        <v>0</v>
      </c>
      <c r="B940" s="34"/>
      <c r="C940" s="13"/>
      <c r="D940" s="14"/>
      <c r="E940" s="16"/>
      <c r="F940" s="17"/>
      <c r="G940" s="24"/>
      <c r="H940" s="15"/>
      <c r="I940" s="15"/>
      <c r="J940" s="15"/>
      <c r="K940" s="18"/>
      <c r="L940" s="15"/>
      <c r="M940" s="15"/>
      <c r="N940" s="15"/>
      <c r="O940" s="24"/>
      <c r="P940" s="17"/>
      <c r="Q940" s="16"/>
      <c r="R940" s="19"/>
      <c r="S940" s="20"/>
    </row>
    <row r="941" spans="1:19" x14ac:dyDescent="0.25">
      <c r="A941" t="str">
        <f>(COUNTIF($K$2:K941,K941))&amp;K941</f>
        <v>0</v>
      </c>
      <c r="B941" s="34"/>
      <c r="C941" s="13"/>
      <c r="D941" s="14"/>
      <c r="E941" s="16"/>
      <c r="F941" s="17"/>
      <c r="G941" s="24"/>
      <c r="H941" s="15"/>
      <c r="I941" s="15"/>
      <c r="J941" s="15"/>
      <c r="K941" s="18"/>
      <c r="L941" s="15"/>
      <c r="M941" s="15"/>
      <c r="N941" s="15"/>
      <c r="O941" s="24"/>
      <c r="P941" s="17"/>
      <c r="Q941" s="16"/>
      <c r="R941" s="19"/>
      <c r="S941" s="20"/>
    </row>
    <row r="942" spans="1:19" x14ac:dyDescent="0.25">
      <c r="A942" t="str">
        <f>(COUNTIF($K$2:K942,K942))&amp;K942</f>
        <v>0</v>
      </c>
      <c r="B942" s="34"/>
      <c r="C942" s="13"/>
      <c r="D942" s="14"/>
      <c r="E942" s="16"/>
      <c r="F942" s="17"/>
      <c r="G942" s="24"/>
      <c r="H942" s="15"/>
      <c r="I942" s="15"/>
      <c r="J942" s="15"/>
      <c r="K942" s="18"/>
      <c r="L942" s="15"/>
      <c r="M942" s="15"/>
      <c r="N942" s="15"/>
      <c r="O942" s="24"/>
      <c r="P942" s="17"/>
      <c r="Q942" s="16"/>
      <c r="R942" s="19"/>
      <c r="S942" s="20"/>
    </row>
    <row r="943" spans="1:19" x14ac:dyDescent="0.25">
      <c r="A943" t="str">
        <f>(COUNTIF($K$2:K943,K943))&amp;K943</f>
        <v>0</v>
      </c>
      <c r="B943" s="34"/>
      <c r="C943" s="13"/>
      <c r="D943" s="14"/>
      <c r="E943" s="16"/>
      <c r="F943" s="17"/>
      <c r="G943" s="24"/>
      <c r="H943" s="15"/>
      <c r="I943" s="15"/>
      <c r="J943" s="15"/>
      <c r="K943" s="18"/>
      <c r="L943" s="15"/>
      <c r="M943" s="15"/>
      <c r="N943" s="15"/>
      <c r="O943" s="24"/>
      <c r="P943" s="17"/>
      <c r="Q943" s="16"/>
      <c r="R943" s="19"/>
      <c r="S943" s="20"/>
    </row>
    <row r="944" spans="1:19" x14ac:dyDescent="0.25">
      <c r="A944" t="str">
        <f>(COUNTIF($K$2:K944,K944))&amp;K944</f>
        <v>0</v>
      </c>
      <c r="B944" s="34"/>
      <c r="C944" s="13"/>
      <c r="D944" s="14"/>
      <c r="E944" s="16"/>
      <c r="F944" s="17"/>
      <c r="G944" s="24"/>
      <c r="H944" s="15"/>
      <c r="I944" s="15"/>
      <c r="J944" s="15"/>
      <c r="K944" s="18"/>
      <c r="L944" s="15"/>
      <c r="M944" s="15"/>
      <c r="N944" s="15"/>
      <c r="O944" s="24"/>
      <c r="P944" s="17"/>
      <c r="Q944" s="16"/>
      <c r="R944" s="19"/>
      <c r="S944" s="20"/>
    </row>
    <row r="945" spans="1:19" ht="15.75" x14ac:dyDescent="0.25">
      <c r="A945" t="str">
        <f>(COUNTIF($K$2:K945,K945))&amp;K945</f>
        <v>0</v>
      </c>
      <c r="B945" s="34"/>
      <c r="C945" s="13"/>
      <c r="D945" s="14"/>
      <c r="E945" s="16"/>
      <c r="F945" s="17"/>
      <c r="G945" s="24"/>
      <c r="H945" s="15"/>
      <c r="I945" s="15"/>
      <c r="J945" s="15"/>
      <c r="K945" s="21"/>
      <c r="L945" s="15"/>
      <c r="M945" s="15"/>
      <c r="N945" s="15"/>
      <c r="O945" s="24"/>
      <c r="P945" s="17"/>
      <c r="Q945" s="16"/>
      <c r="R945" s="19"/>
      <c r="S945" s="20"/>
    </row>
    <row r="946" spans="1:19" x14ac:dyDescent="0.25">
      <c r="A946" t="str">
        <f>(COUNTIF($K$2:K946,K946))&amp;K946</f>
        <v>0</v>
      </c>
      <c r="B946" s="34"/>
      <c r="C946" s="13"/>
      <c r="D946" s="14"/>
      <c r="E946" s="16"/>
      <c r="F946" s="17"/>
      <c r="G946" s="24"/>
      <c r="H946" s="15"/>
      <c r="I946" s="15"/>
      <c r="J946" s="15"/>
      <c r="K946" s="18"/>
      <c r="L946" s="15"/>
      <c r="M946" s="15"/>
      <c r="N946" s="15"/>
      <c r="O946" s="24"/>
      <c r="P946" s="17"/>
      <c r="Q946" s="16"/>
      <c r="R946" s="19"/>
      <c r="S946" s="20"/>
    </row>
    <row r="947" spans="1:19" x14ac:dyDescent="0.25">
      <c r="A947" t="str">
        <f>(COUNTIF($K$2:K947,K947))&amp;K947</f>
        <v>0</v>
      </c>
      <c r="B947" s="34"/>
      <c r="C947" s="13"/>
      <c r="D947" s="14"/>
      <c r="E947" s="16"/>
      <c r="F947" s="17"/>
      <c r="G947" s="24"/>
      <c r="H947" s="15"/>
      <c r="I947" s="15"/>
      <c r="J947" s="15"/>
      <c r="K947" s="18"/>
      <c r="L947" s="15"/>
      <c r="M947" s="15"/>
      <c r="N947" s="15"/>
      <c r="O947" s="24"/>
      <c r="P947" s="17"/>
      <c r="Q947" s="16"/>
      <c r="R947" s="19"/>
      <c r="S947" s="20"/>
    </row>
    <row r="948" spans="1:19" x14ac:dyDescent="0.25">
      <c r="A948" t="str">
        <f>(COUNTIF($K$2:K948,K948))&amp;K948</f>
        <v>0</v>
      </c>
      <c r="B948" s="34"/>
      <c r="C948" s="13"/>
      <c r="D948" s="14"/>
      <c r="E948" s="16"/>
      <c r="F948" s="17"/>
      <c r="G948" s="24"/>
      <c r="H948" s="15"/>
      <c r="I948" s="15"/>
      <c r="J948" s="15"/>
      <c r="K948" s="18"/>
      <c r="L948" s="15"/>
      <c r="M948" s="15"/>
      <c r="N948" s="15"/>
      <c r="O948" s="24"/>
      <c r="P948" s="17"/>
      <c r="Q948" s="16"/>
      <c r="R948" s="19"/>
      <c r="S948" s="20"/>
    </row>
    <row r="949" spans="1:19" x14ac:dyDescent="0.25">
      <c r="A949" t="str">
        <f>(COUNTIF($K$2:K949,K949))&amp;K949</f>
        <v>0</v>
      </c>
      <c r="B949" s="34"/>
      <c r="C949" s="13"/>
      <c r="D949" s="14"/>
      <c r="E949" s="16"/>
      <c r="F949" s="17"/>
      <c r="G949" s="24"/>
      <c r="H949" s="15"/>
      <c r="I949" s="15"/>
      <c r="J949" s="15"/>
      <c r="K949" s="18"/>
      <c r="L949" s="15"/>
      <c r="M949" s="15"/>
      <c r="N949" s="15"/>
      <c r="O949" s="24"/>
      <c r="P949" s="17"/>
      <c r="Q949" s="16"/>
      <c r="R949" s="19"/>
      <c r="S949" s="20"/>
    </row>
    <row r="950" spans="1:19" x14ac:dyDescent="0.25">
      <c r="A950" t="str">
        <f>(COUNTIF($K$2:K950,K950))&amp;K950</f>
        <v>0</v>
      </c>
      <c r="B950" s="34"/>
      <c r="C950" s="13"/>
      <c r="D950" s="14"/>
      <c r="E950" s="16"/>
      <c r="F950" s="17"/>
      <c r="G950" s="24"/>
      <c r="H950" s="15"/>
      <c r="I950" s="15"/>
      <c r="J950" s="15"/>
      <c r="K950" s="18"/>
      <c r="L950" s="15"/>
      <c r="M950" s="15"/>
      <c r="N950" s="15"/>
      <c r="O950" s="24"/>
      <c r="P950" s="17"/>
      <c r="Q950" s="16"/>
      <c r="R950" s="19"/>
      <c r="S950" s="20"/>
    </row>
    <row r="951" spans="1:19" x14ac:dyDescent="0.25">
      <c r="A951" t="str">
        <f>(COUNTIF($K$2:K951,K951))&amp;K951</f>
        <v>0</v>
      </c>
      <c r="B951" s="34"/>
      <c r="C951" s="13"/>
      <c r="D951" s="14"/>
      <c r="E951" s="16"/>
      <c r="F951" s="17"/>
      <c r="G951" s="24"/>
      <c r="H951" s="15"/>
      <c r="I951" s="15"/>
      <c r="J951" s="15"/>
      <c r="K951" s="18"/>
      <c r="L951" s="15"/>
      <c r="M951" s="15"/>
      <c r="N951" s="15"/>
      <c r="O951" s="24"/>
      <c r="P951" s="17"/>
      <c r="Q951" s="16"/>
      <c r="R951" s="19"/>
      <c r="S951" s="20"/>
    </row>
    <row r="952" spans="1:19" x14ac:dyDescent="0.25">
      <c r="A952" t="str">
        <f>(COUNTIF($K$2:K952,K952))&amp;K952</f>
        <v>0</v>
      </c>
      <c r="B952" s="34"/>
      <c r="C952" s="13"/>
      <c r="D952" s="14"/>
      <c r="E952" s="16"/>
      <c r="F952" s="17"/>
      <c r="G952" s="24"/>
      <c r="H952" s="15"/>
      <c r="I952" s="15"/>
      <c r="J952" s="15"/>
      <c r="K952" s="18"/>
      <c r="L952" s="15"/>
      <c r="M952" s="15"/>
      <c r="N952" s="15"/>
      <c r="O952" s="24"/>
      <c r="P952" s="17"/>
      <c r="Q952" s="16"/>
      <c r="R952" s="19"/>
      <c r="S952" s="20"/>
    </row>
    <row r="953" spans="1:19" x14ac:dyDescent="0.25">
      <c r="A953" t="str">
        <f>(COUNTIF($K$2:K953,K953))&amp;K953</f>
        <v>0</v>
      </c>
      <c r="B953" s="34"/>
      <c r="C953" s="41"/>
      <c r="E953" s="33"/>
      <c r="F953" s="39"/>
      <c r="G953" s="40"/>
      <c r="H953" s="38"/>
      <c r="I953" s="38"/>
      <c r="J953" s="38"/>
      <c r="K953" s="52"/>
      <c r="L953" s="38"/>
      <c r="M953" s="38"/>
      <c r="N953" s="38"/>
      <c r="P953" s="40"/>
      <c r="Q953" s="33"/>
      <c r="R953" s="38"/>
      <c r="S953" s="38"/>
    </row>
    <row r="954" spans="1:19" x14ac:dyDescent="0.25">
      <c r="A954" t="str">
        <f>(COUNTIF($K$2:K954,K954))&amp;K954</f>
        <v>0</v>
      </c>
      <c r="B954" s="34"/>
      <c r="C954" s="13"/>
      <c r="D954" s="14"/>
      <c r="E954" s="16"/>
      <c r="F954" s="17"/>
      <c r="G954" s="24"/>
      <c r="H954" s="15"/>
      <c r="I954" s="15"/>
      <c r="J954" s="15"/>
      <c r="K954" s="18"/>
      <c r="L954" s="15"/>
      <c r="M954" s="15"/>
      <c r="N954" s="15"/>
      <c r="O954" s="24"/>
      <c r="P954" s="17"/>
      <c r="Q954" s="16"/>
      <c r="R954" s="19"/>
      <c r="S954" s="20"/>
    </row>
    <row r="955" spans="1:19" x14ac:dyDescent="0.25">
      <c r="A955" t="str">
        <f>(COUNTIF($K$2:K955,K955))&amp;K955</f>
        <v>0</v>
      </c>
      <c r="B955" s="34"/>
      <c r="C955" s="13"/>
      <c r="D955" s="14"/>
      <c r="E955" s="16"/>
      <c r="F955" s="17"/>
      <c r="G955" s="24"/>
      <c r="H955" s="15"/>
      <c r="I955" s="15"/>
      <c r="J955" s="15"/>
      <c r="K955" s="18"/>
      <c r="L955" s="15"/>
      <c r="M955" s="15"/>
      <c r="N955" s="15"/>
      <c r="O955" s="24"/>
      <c r="P955" s="17"/>
      <c r="Q955" s="16"/>
      <c r="R955" s="19"/>
      <c r="S955" s="20"/>
    </row>
    <row r="956" spans="1:19" x14ac:dyDescent="0.25">
      <c r="A956" t="str">
        <f>(COUNTIF($K$2:K956,K956))&amp;K956</f>
        <v>0</v>
      </c>
      <c r="B956" s="34"/>
      <c r="C956" s="13"/>
      <c r="D956" s="14"/>
      <c r="E956" s="16"/>
      <c r="F956" s="17"/>
      <c r="G956" s="24"/>
      <c r="H956" s="15"/>
      <c r="I956" s="15"/>
      <c r="J956" s="15"/>
      <c r="K956" s="18"/>
      <c r="L956" s="15"/>
      <c r="M956" s="15"/>
      <c r="N956" s="15"/>
      <c r="O956" s="24"/>
      <c r="P956" s="17"/>
      <c r="Q956" s="16"/>
      <c r="R956" s="19"/>
      <c r="S956" s="20"/>
    </row>
    <row r="957" spans="1:19" x14ac:dyDescent="0.25">
      <c r="A957" t="str">
        <f>(COUNTIF($K$2:K957,K957))&amp;K957</f>
        <v>0</v>
      </c>
      <c r="B957" s="34"/>
      <c r="C957" s="13"/>
      <c r="D957" s="14"/>
      <c r="E957" s="16"/>
      <c r="F957" s="17"/>
      <c r="G957" s="24"/>
      <c r="H957" s="15"/>
      <c r="I957" s="15"/>
      <c r="J957" s="15"/>
      <c r="K957" s="18"/>
      <c r="L957" s="15"/>
      <c r="M957" s="15"/>
      <c r="N957" s="15"/>
      <c r="O957" s="24"/>
      <c r="P957" s="17"/>
      <c r="Q957" s="16"/>
      <c r="R957" s="19"/>
      <c r="S957" s="20"/>
    </row>
    <row r="958" spans="1:19" x14ac:dyDescent="0.25">
      <c r="A958" t="str">
        <f>(COUNTIF($K$2:K958,K958))&amp;K958</f>
        <v>0</v>
      </c>
      <c r="B958" s="34"/>
      <c r="C958" s="13"/>
      <c r="D958" s="14"/>
      <c r="E958" s="16"/>
      <c r="F958" s="17"/>
      <c r="G958" s="24"/>
      <c r="H958" s="15"/>
      <c r="I958" s="15"/>
      <c r="J958" s="15"/>
      <c r="K958" s="18"/>
      <c r="L958" s="15"/>
      <c r="M958" s="15"/>
      <c r="N958" s="15"/>
      <c r="O958" s="24"/>
      <c r="P958" s="17"/>
      <c r="Q958" s="16"/>
      <c r="R958" s="19"/>
      <c r="S958" s="20"/>
    </row>
    <row r="959" spans="1:19" x14ac:dyDescent="0.25">
      <c r="A959" t="str">
        <f>(COUNTIF($K$2:K959,K959))&amp;K959</f>
        <v>0</v>
      </c>
      <c r="B959" s="34"/>
      <c r="C959" s="13"/>
      <c r="D959" s="14"/>
      <c r="E959" s="16"/>
      <c r="F959" s="17"/>
      <c r="G959" s="24"/>
      <c r="H959" s="15"/>
      <c r="I959" s="15"/>
      <c r="J959" s="15"/>
      <c r="K959" s="18"/>
      <c r="L959" s="15"/>
      <c r="M959" s="15"/>
      <c r="N959" s="15"/>
      <c r="O959" s="24"/>
      <c r="P959" s="17"/>
      <c r="Q959" s="16"/>
      <c r="R959" s="19"/>
      <c r="S959" s="20"/>
    </row>
    <row r="960" spans="1:19" x14ac:dyDescent="0.25">
      <c r="A960" t="str">
        <f>(COUNTIF($K$2:K960,K960))&amp;K960</f>
        <v>0</v>
      </c>
      <c r="B960" s="34"/>
      <c r="C960" s="13"/>
      <c r="D960" s="14"/>
      <c r="E960" s="16"/>
      <c r="F960" s="17"/>
      <c r="G960" s="24"/>
      <c r="H960" s="15"/>
      <c r="I960" s="15"/>
      <c r="J960" s="15"/>
      <c r="K960" s="18"/>
      <c r="L960" s="15"/>
      <c r="M960" s="15"/>
      <c r="N960" s="15"/>
      <c r="O960" s="24"/>
      <c r="P960" s="17"/>
      <c r="Q960" s="16"/>
      <c r="R960" s="19"/>
      <c r="S960" s="20"/>
    </row>
    <row r="961" spans="1:19" x14ac:dyDescent="0.25">
      <c r="A961" t="str">
        <f>(COUNTIF($K$2:K961,K961))&amp;K961</f>
        <v>0</v>
      </c>
      <c r="B961" s="34"/>
      <c r="C961" s="13"/>
      <c r="D961" s="14"/>
      <c r="E961" s="16"/>
      <c r="F961" s="17"/>
      <c r="G961" s="24"/>
      <c r="H961" s="15"/>
      <c r="I961" s="15"/>
      <c r="J961" s="15"/>
      <c r="K961" s="18"/>
      <c r="L961" s="15"/>
      <c r="M961" s="15"/>
      <c r="N961" s="15"/>
      <c r="O961" s="24"/>
      <c r="P961" s="17"/>
      <c r="Q961" s="16"/>
      <c r="R961" s="19"/>
      <c r="S961" s="20"/>
    </row>
    <row r="962" spans="1:19" ht="15.75" x14ac:dyDescent="0.25">
      <c r="A962" t="str">
        <f>(COUNTIF($K$2:K962,K962))&amp;K962</f>
        <v>0</v>
      </c>
      <c r="B962" s="34"/>
      <c r="C962" s="13"/>
      <c r="D962" s="14"/>
      <c r="E962" s="16"/>
      <c r="F962" s="17"/>
      <c r="G962" s="24"/>
      <c r="H962" s="15"/>
      <c r="I962" s="15"/>
      <c r="J962" s="15"/>
      <c r="K962" s="21"/>
      <c r="L962" s="15"/>
      <c r="M962" s="15"/>
      <c r="N962" s="15"/>
      <c r="O962" s="24"/>
      <c r="P962" s="17"/>
      <c r="Q962" s="16"/>
      <c r="R962" s="19"/>
      <c r="S962" s="20"/>
    </row>
    <row r="963" spans="1:19" x14ac:dyDescent="0.25">
      <c r="A963" t="str">
        <f>(COUNTIF($K$2:K963,K963))&amp;K963</f>
        <v>0</v>
      </c>
      <c r="B963" s="34"/>
      <c r="C963" s="13"/>
      <c r="D963" s="14"/>
      <c r="E963" s="16"/>
      <c r="F963" s="17"/>
      <c r="G963" s="24"/>
      <c r="H963" s="15"/>
      <c r="I963" s="15"/>
      <c r="J963" s="15"/>
      <c r="K963" s="18"/>
      <c r="L963" s="15"/>
      <c r="M963" s="15"/>
      <c r="N963" s="15"/>
      <c r="O963" s="24"/>
      <c r="P963" s="17"/>
      <c r="Q963" s="16"/>
      <c r="R963" s="19"/>
      <c r="S963" s="20"/>
    </row>
    <row r="964" spans="1:19" x14ac:dyDescent="0.25">
      <c r="A964" t="str">
        <f>(COUNTIF($K$2:K964,K964))&amp;K964</f>
        <v>0</v>
      </c>
      <c r="B964" s="34"/>
      <c r="C964" s="13"/>
      <c r="D964" s="14"/>
      <c r="E964" s="16"/>
      <c r="F964" s="17"/>
      <c r="G964" s="24"/>
      <c r="H964" s="15"/>
      <c r="I964" s="15"/>
      <c r="J964" s="15"/>
      <c r="K964" s="18"/>
      <c r="L964" s="15"/>
      <c r="M964" s="15"/>
      <c r="N964" s="15"/>
      <c r="O964" s="24"/>
      <c r="P964" s="17"/>
      <c r="Q964" s="16"/>
      <c r="R964" s="19"/>
      <c r="S964" s="20"/>
    </row>
    <row r="965" spans="1:19" x14ac:dyDescent="0.25">
      <c r="A965" t="str">
        <f>(COUNTIF($K$2:K965,K965))&amp;K965</f>
        <v>0</v>
      </c>
      <c r="B965" s="34"/>
      <c r="C965" s="13"/>
      <c r="D965" s="14"/>
      <c r="E965" s="16"/>
      <c r="F965" s="17"/>
      <c r="G965" s="24"/>
      <c r="H965" s="15"/>
      <c r="I965" s="15"/>
      <c r="J965" s="15"/>
      <c r="K965" s="18"/>
      <c r="L965" s="15"/>
      <c r="M965" s="15"/>
      <c r="N965" s="15"/>
      <c r="O965" s="24"/>
      <c r="P965" s="17"/>
      <c r="Q965" s="16"/>
      <c r="R965" s="19"/>
      <c r="S965" s="20"/>
    </row>
    <row r="966" spans="1:19" x14ac:dyDescent="0.25">
      <c r="A966" t="str">
        <f>(COUNTIF($K$2:K966,K966))&amp;K966</f>
        <v>0</v>
      </c>
      <c r="B966" s="34"/>
      <c r="C966" s="13"/>
      <c r="D966" s="14"/>
      <c r="E966" s="16"/>
      <c r="F966" s="17"/>
      <c r="G966" s="24"/>
      <c r="H966" s="15"/>
      <c r="I966" s="15"/>
      <c r="J966" s="15"/>
      <c r="K966" s="18"/>
      <c r="L966" s="15"/>
      <c r="M966" s="15"/>
      <c r="N966" s="15"/>
      <c r="O966" s="24"/>
      <c r="P966" s="17"/>
      <c r="Q966" s="16"/>
      <c r="R966" s="19"/>
      <c r="S966" s="20"/>
    </row>
    <row r="967" spans="1:19" x14ac:dyDescent="0.25">
      <c r="A967" t="str">
        <f>(COUNTIF($K$2:K967,K967))&amp;K967</f>
        <v>0</v>
      </c>
      <c r="B967" s="34"/>
      <c r="C967" s="13"/>
      <c r="D967" s="14"/>
      <c r="E967" s="16"/>
      <c r="F967" s="17"/>
      <c r="G967" s="24"/>
      <c r="H967" s="15"/>
      <c r="I967" s="15"/>
      <c r="J967" s="15"/>
      <c r="K967" s="18"/>
      <c r="L967" s="15"/>
      <c r="M967" s="15"/>
      <c r="N967" s="15"/>
      <c r="O967" s="24"/>
      <c r="P967" s="17"/>
      <c r="Q967" s="16"/>
      <c r="R967" s="19"/>
      <c r="S967" s="20"/>
    </row>
    <row r="968" spans="1:19" x14ac:dyDescent="0.25">
      <c r="A968" t="str">
        <f>(COUNTIF($K$2:K968,K968))&amp;K968</f>
        <v>0</v>
      </c>
      <c r="B968" s="34"/>
      <c r="C968" s="13"/>
      <c r="D968" s="14"/>
      <c r="E968" s="16"/>
      <c r="F968" s="17"/>
      <c r="G968" s="24"/>
      <c r="H968" s="15"/>
      <c r="I968" s="15"/>
      <c r="J968" s="15"/>
      <c r="K968" s="18"/>
      <c r="L968" s="15"/>
      <c r="M968" s="15"/>
      <c r="N968" s="15"/>
      <c r="O968" s="24"/>
      <c r="P968" s="17"/>
      <c r="Q968" s="16"/>
      <c r="R968" s="19"/>
      <c r="S968" s="20"/>
    </row>
    <row r="969" spans="1:19" x14ac:dyDescent="0.25">
      <c r="A969" t="str">
        <f>(COUNTIF($K$2:K969,K969))&amp;K969</f>
        <v>0</v>
      </c>
      <c r="B969" s="34"/>
      <c r="C969" s="13"/>
      <c r="D969" s="14"/>
      <c r="E969" s="16"/>
      <c r="F969" s="17"/>
      <c r="G969" s="24"/>
      <c r="H969" s="15"/>
      <c r="I969" s="15"/>
      <c r="J969" s="15"/>
      <c r="K969" s="18"/>
      <c r="L969" s="15"/>
      <c r="M969" s="15"/>
      <c r="N969" s="15"/>
      <c r="O969" s="24"/>
      <c r="P969" s="17"/>
      <c r="Q969" s="16"/>
      <c r="R969" s="19"/>
      <c r="S969" s="20"/>
    </row>
    <row r="970" spans="1:19" x14ac:dyDescent="0.25">
      <c r="A970" t="str">
        <f>(COUNTIF($K$2:K970,K970))&amp;K970</f>
        <v>0</v>
      </c>
      <c r="B970" s="34"/>
      <c r="C970" s="41"/>
      <c r="E970" s="33"/>
      <c r="F970" s="39"/>
      <c r="G970" s="40"/>
      <c r="H970" s="38"/>
      <c r="I970" s="38"/>
      <c r="J970" s="38"/>
      <c r="K970" s="52"/>
      <c r="L970" s="38"/>
      <c r="M970" s="38"/>
      <c r="N970" s="38"/>
      <c r="P970" s="40"/>
      <c r="Q970" s="33"/>
      <c r="R970" s="38"/>
      <c r="S970" s="38"/>
    </row>
    <row r="971" spans="1:19" x14ac:dyDescent="0.25">
      <c r="A971" t="str">
        <f>(COUNTIF($K$2:K971,K971))&amp;K971</f>
        <v>0</v>
      </c>
      <c r="B971" s="34"/>
      <c r="C971" s="13"/>
      <c r="D971" s="14"/>
      <c r="E971" s="16"/>
      <c r="F971" s="17"/>
      <c r="G971" s="24"/>
      <c r="H971" s="15"/>
      <c r="I971" s="15"/>
      <c r="J971" s="15"/>
      <c r="K971" s="18"/>
      <c r="L971" s="15"/>
      <c r="M971" s="15"/>
      <c r="N971" s="15"/>
      <c r="O971" s="24"/>
      <c r="P971" s="17"/>
      <c r="Q971" s="16"/>
      <c r="R971" s="19"/>
      <c r="S971" s="20"/>
    </row>
    <row r="972" spans="1:19" x14ac:dyDescent="0.25">
      <c r="A972" t="str">
        <f>(COUNTIF($K$2:K972,K972))&amp;K972</f>
        <v>0</v>
      </c>
      <c r="B972" s="34"/>
      <c r="C972" s="13"/>
      <c r="D972" s="14"/>
      <c r="E972" s="16"/>
      <c r="F972" s="17"/>
      <c r="G972" s="24"/>
      <c r="H972" s="15"/>
      <c r="I972" s="15"/>
      <c r="J972" s="15"/>
      <c r="K972" s="18"/>
      <c r="L972" s="15"/>
      <c r="M972" s="15"/>
      <c r="N972" s="15"/>
      <c r="O972" s="24"/>
      <c r="P972" s="17"/>
      <c r="Q972" s="16"/>
      <c r="R972" s="19"/>
      <c r="S972" s="20"/>
    </row>
    <row r="973" spans="1:19" x14ac:dyDescent="0.25">
      <c r="A973" t="str">
        <f>(COUNTIF($K$2:K973,K973))&amp;K973</f>
        <v>0</v>
      </c>
      <c r="B973" s="34"/>
      <c r="C973" s="13"/>
      <c r="D973" s="14"/>
      <c r="E973" s="16"/>
      <c r="F973" s="17"/>
      <c r="G973" s="24"/>
      <c r="H973" s="15"/>
      <c r="I973" s="15"/>
      <c r="J973" s="15"/>
      <c r="K973" s="18"/>
      <c r="L973" s="15"/>
      <c r="M973" s="15"/>
      <c r="N973" s="15"/>
      <c r="O973" s="24"/>
      <c r="P973" s="17"/>
      <c r="Q973" s="16"/>
      <c r="R973" s="19"/>
      <c r="S973" s="20"/>
    </row>
    <row r="974" spans="1:19" x14ac:dyDescent="0.25">
      <c r="A974" t="str">
        <f>(COUNTIF($K$2:K974,K974))&amp;K974</f>
        <v>0</v>
      </c>
      <c r="B974" s="34"/>
      <c r="C974" s="13"/>
      <c r="D974" s="14"/>
      <c r="E974" s="16"/>
      <c r="F974" s="17"/>
      <c r="G974" s="24"/>
      <c r="H974" s="15"/>
      <c r="I974" s="15"/>
      <c r="J974" s="15"/>
      <c r="K974" s="18"/>
      <c r="L974" s="15"/>
      <c r="M974" s="15"/>
      <c r="N974" s="15"/>
      <c r="O974" s="24"/>
      <c r="P974" s="17"/>
      <c r="Q974" s="16"/>
      <c r="R974" s="19"/>
      <c r="S974" s="20"/>
    </row>
    <row r="975" spans="1:19" x14ac:dyDescent="0.25">
      <c r="A975" t="str">
        <f>(COUNTIF($K$2:K975,K975))&amp;K975</f>
        <v>0</v>
      </c>
      <c r="B975" s="34"/>
      <c r="C975" s="13"/>
      <c r="D975" s="14"/>
      <c r="E975" s="16"/>
      <c r="F975" s="17"/>
      <c r="G975" s="24"/>
      <c r="H975" s="15"/>
      <c r="I975" s="15"/>
      <c r="J975" s="15"/>
      <c r="K975" s="18"/>
      <c r="L975" s="15"/>
      <c r="M975" s="15"/>
      <c r="N975" s="15"/>
      <c r="O975" s="24"/>
      <c r="P975" s="17"/>
      <c r="Q975" s="16"/>
      <c r="R975" s="19"/>
      <c r="S975" s="20"/>
    </row>
    <row r="976" spans="1:19" x14ac:dyDescent="0.25">
      <c r="A976" t="str">
        <f>(COUNTIF($K$2:K976,K976))&amp;K976</f>
        <v>0</v>
      </c>
      <c r="B976" s="34"/>
      <c r="C976" s="13"/>
      <c r="D976" s="14"/>
      <c r="E976" s="16"/>
      <c r="F976" s="17"/>
      <c r="G976" s="24"/>
      <c r="H976" s="15"/>
      <c r="I976" s="15"/>
      <c r="J976" s="15"/>
      <c r="K976" s="18"/>
      <c r="L976" s="15"/>
      <c r="M976" s="15"/>
      <c r="N976" s="15"/>
      <c r="O976" s="24"/>
      <c r="P976" s="17"/>
      <c r="Q976" s="16"/>
      <c r="R976" s="19"/>
      <c r="S976" s="20"/>
    </row>
    <row r="977" spans="1:19" x14ac:dyDescent="0.25">
      <c r="A977" t="str">
        <f>(COUNTIF($K$2:K977,K977))&amp;K977</f>
        <v>0</v>
      </c>
      <c r="B977" s="34"/>
      <c r="C977" s="13"/>
      <c r="D977" s="14"/>
      <c r="E977" s="16"/>
      <c r="F977" s="17"/>
      <c r="G977" s="24"/>
      <c r="H977" s="15"/>
      <c r="I977" s="15"/>
      <c r="J977" s="15"/>
      <c r="K977" s="18"/>
      <c r="L977" s="15"/>
      <c r="M977" s="15"/>
      <c r="N977" s="15"/>
      <c r="O977" s="24"/>
      <c r="P977" s="17"/>
      <c r="Q977" s="16"/>
      <c r="R977" s="19"/>
      <c r="S977" s="20"/>
    </row>
    <row r="978" spans="1:19" x14ac:dyDescent="0.25">
      <c r="A978" t="str">
        <f>(COUNTIF($K$2:K978,K978))&amp;K978</f>
        <v>0</v>
      </c>
      <c r="B978" s="34"/>
      <c r="C978" s="13"/>
      <c r="D978" s="14"/>
      <c r="E978" s="16"/>
      <c r="F978" s="17"/>
      <c r="G978" s="24"/>
      <c r="H978" s="15"/>
      <c r="I978" s="15"/>
      <c r="J978" s="15"/>
      <c r="K978" s="18"/>
      <c r="L978" s="15"/>
      <c r="M978" s="15"/>
      <c r="N978" s="15"/>
      <c r="O978" s="24"/>
      <c r="P978" s="17"/>
      <c r="Q978" s="16"/>
      <c r="R978" s="19"/>
      <c r="S978" s="20"/>
    </row>
    <row r="979" spans="1:19" ht="15.75" x14ac:dyDescent="0.25">
      <c r="A979" t="str">
        <f>(COUNTIF($K$2:K979,K979))&amp;K979</f>
        <v>0</v>
      </c>
      <c r="B979" s="34"/>
      <c r="C979" s="13"/>
      <c r="D979" s="14"/>
      <c r="E979" s="16"/>
      <c r="F979" s="17"/>
      <c r="G979" s="24"/>
      <c r="H979" s="15"/>
      <c r="I979" s="15"/>
      <c r="J979" s="15"/>
      <c r="K979" s="21"/>
      <c r="L979" s="15"/>
      <c r="M979" s="15"/>
      <c r="N979" s="15"/>
      <c r="O979" s="24"/>
      <c r="P979" s="17"/>
      <c r="Q979" s="16"/>
      <c r="R979" s="19"/>
      <c r="S979" s="20"/>
    </row>
    <row r="980" spans="1:19" x14ac:dyDescent="0.25">
      <c r="A980" t="str">
        <f>(COUNTIF($K$2:K980,K980))&amp;K980</f>
        <v>0</v>
      </c>
      <c r="B980" s="34"/>
      <c r="C980" s="13"/>
      <c r="D980" s="14"/>
      <c r="E980" s="16"/>
      <c r="F980" s="17"/>
      <c r="G980" s="24"/>
      <c r="H980" s="15"/>
      <c r="I980" s="15"/>
      <c r="J980" s="15"/>
      <c r="K980" s="18"/>
      <c r="L980" s="15"/>
      <c r="M980" s="15"/>
      <c r="N980" s="15"/>
      <c r="O980" s="24"/>
      <c r="P980" s="17"/>
      <c r="Q980" s="16"/>
      <c r="R980" s="19"/>
      <c r="S980" s="20"/>
    </row>
    <row r="981" spans="1:19" x14ac:dyDescent="0.25">
      <c r="A981" t="str">
        <f>(COUNTIF($K$2:K981,K981))&amp;K981</f>
        <v>0</v>
      </c>
      <c r="B981" s="34"/>
      <c r="C981" s="13"/>
      <c r="D981" s="14"/>
      <c r="E981" s="16"/>
      <c r="F981" s="17"/>
      <c r="G981" s="24"/>
      <c r="H981" s="15"/>
      <c r="I981" s="15"/>
      <c r="J981" s="15"/>
      <c r="K981" s="18"/>
      <c r="L981" s="15"/>
      <c r="M981" s="15"/>
      <c r="N981" s="15"/>
      <c r="O981" s="24"/>
      <c r="P981" s="17"/>
      <c r="Q981" s="16"/>
      <c r="R981" s="19"/>
      <c r="S981" s="20"/>
    </row>
    <row r="982" spans="1:19" x14ac:dyDescent="0.25">
      <c r="A982" t="str">
        <f>(COUNTIF($K$2:K982,K982))&amp;K982</f>
        <v>0</v>
      </c>
      <c r="B982" s="34"/>
      <c r="C982" s="13"/>
      <c r="D982" s="14"/>
      <c r="E982" s="16"/>
      <c r="F982" s="17"/>
      <c r="G982" s="24"/>
      <c r="H982" s="15"/>
      <c r="I982" s="15"/>
      <c r="J982" s="15"/>
      <c r="K982" s="18"/>
      <c r="L982" s="15"/>
      <c r="M982" s="15"/>
      <c r="N982" s="15"/>
      <c r="O982" s="24"/>
      <c r="P982" s="17"/>
      <c r="Q982" s="16"/>
      <c r="R982" s="19"/>
      <c r="S982" s="20"/>
    </row>
    <row r="983" spans="1:19" x14ac:dyDescent="0.25">
      <c r="A983" t="str">
        <f>(COUNTIF($K$2:K983,K983))&amp;K983</f>
        <v>0</v>
      </c>
      <c r="B983" s="34"/>
      <c r="C983" s="13"/>
      <c r="D983" s="14"/>
      <c r="E983" s="16"/>
      <c r="F983" s="17"/>
      <c r="G983" s="24"/>
      <c r="H983" s="15"/>
      <c r="I983" s="15"/>
      <c r="J983" s="15"/>
      <c r="K983" s="18"/>
      <c r="L983" s="15"/>
      <c r="M983" s="15"/>
      <c r="N983" s="15"/>
      <c r="O983" s="24"/>
      <c r="P983" s="17"/>
      <c r="Q983" s="16"/>
      <c r="R983" s="19"/>
      <c r="S983" s="20"/>
    </row>
    <row r="984" spans="1:19" x14ac:dyDescent="0.25">
      <c r="A984" t="str">
        <f>(COUNTIF($K$2:K984,K984))&amp;K984</f>
        <v>0</v>
      </c>
      <c r="B984" s="34"/>
      <c r="C984" s="13"/>
      <c r="D984" s="14"/>
      <c r="E984" s="16"/>
      <c r="F984" s="17"/>
      <c r="G984" s="24"/>
      <c r="H984" s="15"/>
      <c r="I984" s="15"/>
      <c r="J984" s="15"/>
      <c r="K984" s="18"/>
      <c r="L984" s="15"/>
      <c r="M984" s="15"/>
      <c r="N984" s="15"/>
      <c r="O984" s="24"/>
      <c r="P984" s="17"/>
      <c r="Q984" s="16"/>
      <c r="R984" s="19"/>
      <c r="S984" s="20"/>
    </row>
    <row r="985" spans="1:19" x14ac:dyDescent="0.25">
      <c r="A985" t="str">
        <f>(COUNTIF($K$2:K985,K985))&amp;K985</f>
        <v>0</v>
      </c>
      <c r="B985" s="34"/>
      <c r="C985" s="13"/>
      <c r="D985" s="14"/>
      <c r="E985" s="16"/>
      <c r="F985" s="17"/>
      <c r="G985" s="24"/>
      <c r="H985" s="15"/>
      <c r="I985" s="15"/>
      <c r="J985" s="15"/>
      <c r="K985" s="18"/>
      <c r="L985" s="15"/>
      <c r="M985" s="15"/>
      <c r="N985" s="15"/>
      <c r="O985" s="24"/>
      <c r="P985" s="17"/>
      <c r="Q985" s="16"/>
      <c r="R985" s="19"/>
      <c r="S985" s="20"/>
    </row>
    <row r="986" spans="1:19" x14ac:dyDescent="0.25">
      <c r="A986" t="str">
        <f>(COUNTIF($K$2:K986,K986))&amp;K986</f>
        <v>0</v>
      </c>
      <c r="B986" s="34"/>
      <c r="C986" s="13"/>
      <c r="D986" s="14"/>
      <c r="E986" s="16"/>
      <c r="F986" s="17"/>
      <c r="G986" s="24"/>
      <c r="H986" s="15"/>
      <c r="I986" s="15"/>
      <c r="J986" s="15"/>
      <c r="K986" s="18"/>
      <c r="L986" s="15"/>
      <c r="M986" s="15"/>
      <c r="N986" s="15"/>
      <c r="O986" s="24"/>
      <c r="P986" s="17"/>
      <c r="Q986" s="16"/>
      <c r="R986" s="19"/>
      <c r="S986" s="20"/>
    </row>
    <row r="987" spans="1:19" x14ac:dyDescent="0.25">
      <c r="A987" t="str">
        <f>(COUNTIF($K$2:K987,K987))&amp;K987</f>
        <v>0</v>
      </c>
      <c r="B987" s="34"/>
      <c r="C987" s="41"/>
      <c r="E987" s="33"/>
      <c r="F987" s="39"/>
      <c r="G987" s="40"/>
      <c r="H987" s="38"/>
      <c r="I987" s="38"/>
      <c r="J987" s="38"/>
      <c r="K987" s="52"/>
      <c r="L987" s="38"/>
      <c r="M987" s="38"/>
      <c r="N987" s="38"/>
      <c r="P987" s="40"/>
      <c r="Q987" s="33"/>
      <c r="R987" s="38"/>
      <c r="S987" s="38"/>
    </row>
    <row r="988" spans="1:19" x14ac:dyDescent="0.25">
      <c r="A988" t="str">
        <f>(COUNTIF($K$2:K988,K988))&amp;K988</f>
        <v>0</v>
      </c>
      <c r="B988" s="34"/>
      <c r="C988" s="13"/>
      <c r="D988" s="14"/>
      <c r="E988" s="16"/>
      <c r="F988" s="17"/>
      <c r="G988" s="24"/>
      <c r="H988" s="15"/>
      <c r="I988" s="15"/>
      <c r="J988" s="15"/>
      <c r="K988" s="18"/>
      <c r="L988" s="15"/>
      <c r="M988" s="15"/>
      <c r="N988" s="15"/>
      <c r="O988" s="24"/>
      <c r="P988" s="17"/>
      <c r="Q988" s="16"/>
      <c r="R988" s="19"/>
      <c r="S988" s="20"/>
    </row>
    <row r="989" spans="1:19" x14ac:dyDescent="0.25">
      <c r="A989" t="str">
        <f>(COUNTIF($K$2:K989,K989))&amp;K989</f>
        <v>0</v>
      </c>
      <c r="B989" s="34"/>
      <c r="C989" s="13"/>
      <c r="D989" s="14"/>
      <c r="E989" s="16"/>
      <c r="F989" s="17"/>
      <c r="G989" s="24"/>
      <c r="H989" s="15"/>
      <c r="I989" s="15"/>
      <c r="J989" s="15"/>
      <c r="K989" s="18"/>
      <c r="L989" s="15"/>
      <c r="M989" s="15"/>
      <c r="N989" s="15"/>
      <c r="O989" s="24"/>
      <c r="P989" s="17"/>
      <c r="Q989" s="16"/>
      <c r="R989" s="19"/>
      <c r="S989" s="20"/>
    </row>
    <row r="990" spans="1:19" x14ac:dyDescent="0.25">
      <c r="A990" t="str">
        <f>(COUNTIF($K$2:K990,K990))&amp;K990</f>
        <v>0</v>
      </c>
      <c r="B990" s="34"/>
      <c r="C990" s="13"/>
      <c r="D990" s="14"/>
      <c r="E990" s="16"/>
      <c r="F990" s="17"/>
      <c r="G990" s="24"/>
      <c r="H990" s="15"/>
      <c r="I990" s="15"/>
      <c r="J990" s="15"/>
      <c r="K990" s="18"/>
      <c r="L990" s="15"/>
      <c r="M990" s="15"/>
      <c r="N990" s="15"/>
      <c r="O990" s="24"/>
      <c r="P990" s="17"/>
      <c r="Q990" s="16"/>
      <c r="R990" s="19"/>
      <c r="S990" s="20"/>
    </row>
    <row r="991" spans="1:19" x14ac:dyDescent="0.25">
      <c r="A991" t="str">
        <f>(COUNTIF($K$2:K991,K991))&amp;K991</f>
        <v>0</v>
      </c>
      <c r="B991" s="34"/>
      <c r="C991" s="13"/>
      <c r="D991" s="14"/>
      <c r="E991" s="16"/>
      <c r="F991" s="17"/>
      <c r="G991" s="24"/>
      <c r="H991" s="15"/>
      <c r="I991" s="15"/>
      <c r="J991" s="15"/>
      <c r="K991" s="18"/>
      <c r="L991" s="15"/>
      <c r="M991" s="15"/>
      <c r="N991" s="15"/>
      <c r="O991" s="24"/>
      <c r="P991" s="17"/>
      <c r="Q991" s="16"/>
      <c r="R991" s="19"/>
      <c r="S991" s="20"/>
    </row>
    <row r="992" spans="1:19" x14ac:dyDescent="0.25">
      <c r="A992" t="str">
        <f>(COUNTIF($K$2:K992,K992))&amp;K992</f>
        <v>0</v>
      </c>
      <c r="B992" s="34"/>
      <c r="C992" s="13"/>
      <c r="D992" s="14"/>
      <c r="E992" s="16"/>
      <c r="F992" s="17"/>
      <c r="G992" s="24"/>
      <c r="H992" s="15"/>
      <c r="I992" s="15"/>
      <c r="J992" s="15"/>
      <c r="K992" s="18"/>
      <c r="L992" s="15"/>
      <c r="M992" s="15"/>
      <c r="N992" s="15"/>
      <c r="O992" s="24"/>
      <c r="P992" s="17"/>
      <c r="Q992" s="16"/>
      <c r="R992" s="19"/>
      <c r="S992" s="20"/>
    </row>
    <row r="993" spans="1:19" x14ac:dyDescent="0.25">
      <c r="A993" t="str">
        <f>(COUNTIF($K$2:K993,K993))&amp;K993</f>
        <v>0</v>
      </c>
      <c r="B993" s="34"/>
      <c r="C993" s="13"/>
      <c r="D993" s="14"/>
      <c r="E993" s="16"/>
      <c r="F993" s="17"/>
      <c r="G993" s="24"/>
      <c r="H993" s="15"/>
      <c r="I993" s="15"/>
      <c r="J993" s="15"/>
      <c r="K993" s="18"/>
      <c r="L993" s="15"/>
      <c r="M993" s="15"/>
      <c r="N993" s="15"/>
      <c r="O993" s="24"/>
      <c r="P993" s="17"/>
      <c r="Q993" s="16"/>
      <c r="R993" s="19"/>
      <c r="S993" s="20"/>
    </row>
    <row r="994" spans="1:19" x14ac:dyDescent="0.25">
      <c r="A994" t="str">
        <f>(COUNTIF($K$2:K994,K994))&amp;K994</f>
        <v>0</v>
      </c>
      <c r="B994" s="34"/>
      <c r="C994" s="13"/>
      <c r="D994" s="14"/>
      <c r="E994" s="16"/>
      <c r="F994" s="17"/>
      <c r="G994" s="24"/>
      <c r="H994" s="15"/>
      <c r="I994" s="15"/>
      <c r="J994" s="15"/>
      <c r="K994" s="18"/>
      <c r="L994" s="15"/>
      <c r="M994" s="15"/>
      <c r="N994" s="15"/>
      <c r="O994" s="24"/>
      <c r="P994" s="17"/>
      <c r="Q994" s="16"/>
      <c r="R994" s="19"/>
      <c r="S994" s="20"/>
    </row>
    <row r="995" spans="1:19" x14ac:dyDescent="0.25">
      <c r="A995" t="str">
        <f>(COUNTIF($K$2:K995,K995))&amp;K995</f>
        <v>0</v>
      </c>
      <c r="B995" s="34"/>
      <c r="C995" s="13"/>
      <c r="D995" s="14"/>
      <c r="E995" s="16"/>
      <c r="F995" s="17"/>
      <c r="G995" s="24"/>
      <c r="H995" s="15"/>
      <c r="I995" s="15"/>
      <c r="J995" s="15"/>
      <c r="K995" s="18"/>
      <c r="L995" s="15"/>
      <c r="M995" s="15"/>
      <c r="N995" s="15"/>
      <c r="O995" s="24"/>
      <c r="P995" s="17"/>
      <c r="Q995" s="16"/>
      <c r="R995" s="19"/>
      <c r="S995" s="20"/>
    </row>
    <row r="996" spans="1:19" ht="15.75" x14ac:dyDescent="0.25">
      <c r="A996" t="str">
        <f>(COUNTIF($K$2:K996,K996))&amp;K996</f>
        <v>0</v>
      </c>
      <c r="B996" s="34"/>
      <c r="C996" s="13"/>
      <c r="D996" s="14"/>
      <c r="E996" s="16"/>
      <c r="F996" s="17"/>
      <c r="G996" s="24"/>
      <c r="H996" s="15"/>
      <c r="I996" s="15"/>
      <c r="J996" s="15"/>
      <c r="K996" s="21"/>
      <c r="L996" s="15"/>
      <c r="M996" s="15"/>
      <c r="N996" s="15"/>
      <c r="O996" s="24"/>
      <c r="P996" s="17"/>
      <c r="Q996" s="16"/>
      <c r="R996" s="19"/>
      <c r="S996" s="20"/>
    </row>
    <row r="997" spans="1:19" x14ac:dyDescent="0.25">
      <c r="A997" t="str">
        <f>(COUNTIF($K$2:K997,K997))&amp;K997</f>
        <v>0</v>
      </c>
      <c r="B997" s="34"/>
      <c r="C997" s="13"/>
      <c r="D997" s="14"/>
      <c r="E997" s="16"/>
      <c r="F997" s="17"/>
      <c r="G997" s="24"/>
      <c r="H997" s="15"/>
      <c r="I997" s="15"/>
      <c r="J997" s="15"/>
      <c r="K997" s="18"/>
      <c r="L997" s="15"/>
      <c r="M997" s="15"/>
      <c r="N997" s="15"/>
      <c r="O997" s="24"/>
      <c r="P997" s="17"/>
      <c r="Q997" s="16"/>
      <c r="R997" s="19"/>
      <c r="S997" s="20"/>
    </row>
    <row r="998" spans="1:19" x14ac:dyDescent="0.25">
      <c r="A998" t="str">
        <f>(COUNTIF($K$2:K998,K998))&amp;K998</f>
        <v>0</v>
      </c>
      <c r="B998" s="34"/>
      <c r="C998" s="13"/>
      <c r="D998" s="14"/>
      <c r="E998" s="16"/>
      <c r="F998" s="17"/>
      <c r="G998" s="24"/>
      <c r="H998" s="15"/>
      <c r="I998" s="15"/>
      <c r="J998" s="15"/>
      <c r="K998" s="18"/>
      <c r="L998" s="15"/>
      <c r="M998" s="15"/>
      <c r="N998" s="15"/>
      <c r="O998" s="24"/>
      <c r="P998" s="17"/>
      <c r="Q998" s="16"/>
      <c r="R998" s="19"/>
      <c r="S998" s="20"/>
    </row>
    <row r="999" spans="1:19" x14ac:dyDescent="0.25">
      <c r="A999" t="str">
        <f>(COUNTIF($K$2:K999,K999))&amp;K999</f>
        <v>0</v>
      </c>
      <c r="B999" s="34"/>
      <c r="C999" s="13"/>
      <c r="D999" s="14"/>
      <c r="E999" s="16"/>
      <c r="F999" s="17"/>
      <c r="G999" s="24"/>
      <c r="H999" s="15"/>
      <c r="I999" s="15"/>
      <c r="J999" s="15"/>
      <c r="K999" s="18"/>
      <c r="L999" s="15"/>
      <c r="M999" s="15"/>
      <c r="N999" s="15"/>
      <c r="O999" s="24"/>
      <c r="P999" s="17"/>
      <c r="Q999" s="16"/>
      <c r="R999" s="19"/>
      <c r="S999" s="20"/>
    </row>
    <row r="1000" spans="1:19" x14ac:dyDescent="0.25">
      <c r="A1000" t="str">
        <f>(COUNTIF($K$2:K1000,K1000))&amp;K1000</f>
        <v>0</v>
      </c>
      <c r="B1000" s="34"/>
      <c r="C1000" s="13"/>
      <c r="D1000" s="14"/>
      <c r="E1000" s="16"/>
      <c r="F1000" s="17"/>
      <c r="G1000" s="24"/>
      <c r="H1000" s="15"/>
      <c r="I1000" s="15"/>
      <c r="J1000" s="15"/>
      <c r="K1000" s="18"/>
      <c r="L1000" s="15"/>
      <c r="M1000" s="15"/>
      <c r="N1000" s="15"/>
      <c r="O1000" s="24"/>
      <c r="P1000" s="17"/>
      <c r="Q1000" s="16"/>
      <c r="R1000" s="19"/>
      <c r="S1000" s="20"/>
    </row>
    <row r="1001" spans="1:19" x14ac:dyDescent="0.25">
      <c r="A1001" t="str">
        <f>(COUNTIF($K$2:K1001,K1001))&amp;K1001</f>
        <v>0</v>
      </c>
      <c r="B1001" s="34"/>
      <c r="C1001" s="13"/>
      <c r="D1001" s="14"/>
      <c r="E1001" s="16"/>
      <c r="F1001" s="17"/>
      <c r="G1001" s="24"/>
      <c r="H1001" s="15"/>
      <c r="I1001" s="15"/>
      <c r="J1001" s="15"/>
      <c r="K1001" s="18"/>
      <c r="L1001" s="15"/>
      <c r="M1001" s="15"/>
      <c r="N1001" s="15"/>
      <c r="O1001" s="24"/>
      <c r="P1001" s="17"/>
      <c r="Q1001" s="16"/>
      <c r="R1001" s="19"/>
      <c r="S1001" s="20"/>
    </row>
    <row r="1002" spans="1:19" x14ac:dyDescent="0.25">
      <c r="A1002" t="str">
        <f>(COUNTIF($K$2:K1002,K1002))&amp;K1002</f>
        <v>0</v>
      </c>
      <c r="B1002" s="34"/>
      <c r="C1002" s="13"/>
      <c r="D1002" s="14"/>
      <c r="E1002" s="16"/>
      <c r="F1002" s="17"/>
      <c r="G1002" s="24"/>
      <c r="H1002" s="15"/>
      <c r="I1002" s="15"/>
      <c r="J1002" s="15"/>
      <c r="K1002" s="18"/>
      <c r="L1002" s="15"/>
      <c r="M1002" s="15"/>
      <c r="N1002" s="15"/>
      <c r="O1002" s="24"/>
      <c r="P1002" s="17"/>
      <c r="Q1002" s="16"/>
      <c r="R1002" s="19"/>
      <c r="S1002" s="20"/>
    </row>
    <row r="1003" spans="1:19" x14ac:dyDescent="0.25">
      <c r="A1003" t="str">
        <f>(COUNTIF($K$2:K1003,K1003))&amp;K1003</f>
        <v>0</v>
      </c>
      <c r="B1003" s="34"/>
      <c r="C1003" s="13"/>
      <c r="D1003" s="14"/>
      <c r="E1003" s="16"/>
      <c r="F1003" s="17"/>
      <c r="G1003" s="24"/>
      <c r="H1003" s="15"/>
      <c r="I1003" s="15"/>
      <c r="J1003" s="15"/>
      <c r="K1003" s="18"/>
      <c r="L1003" s="15"/>
      <c r="M1003" s="15"/>
      <c r="N1003" s="15"/>
      <c r="O1003" s="24"/>
      <c r="P1003" s="17"/>
      <c r="Q1003" s="16"/>
      <c r="R1003" s="19"/>
      <c r="S1003" s="20"/>
    </row>
    <row r="1004" spans="1:19" x14ac:dyDescent="0.25">
      <c r="A1004" t="str">
        <f>(COUNTIF($K$2:K1004,K1004))&amp;K1004</f>
        <v>0</v>
      </c>
      <c r="B1004" s="34"/>
      <c r="C1004" s="41"/>
      <c r="E1004" s="33"/>
      <c r="F1004" s="39"/>
      <c r="G1004" s="40"/>
      <c r="H1004" s="38"/>
      <c r="I1004" s="38"/>
      <c r="J1004" s="38"/>
      <c r="K1004" s="52"/>
      <c r="L1004" s="38"/>
      <c r="M1004" s="38"/>
      <c r="N1004" s="38"/>
      <c r="P1004" s="40"/>
      <c r="Q1004" s="33"/>
      <c r="R1004" s="38"/>
      <c r="S1004" s="38"/>
    </row>
    <row r="1005" spans="1:19" x14ac:dyDescent="0.25">
      <c r="A1005" t="str">
        <f>(COUNTIF($K$2:K1005,K1005))&amp;K1005</f>
        <v>0</v>
      </c>
      <c r="B1005" s="34"/>
      <c r="C1005" s="13"/>
      <c r="D1005" s="14"/>
      <c r="E1005" s="16"/>
      <c r="F1005" s="17"/>
      <c r="G1005" s="24"/>
      <c r="H1005" s="15"/>
      <c r="I1005" s="15"/>
      <c r="J1005" s="15"/>
      <c r="K1005" s="18"/>
      <c r="L1005" s="15"/>
      <c r="M1005" s="15"/>
      <c r="N1005" s="15"/>
      <c r="O1005" s="24"/>
      <c r="P1005" s="17"/>
      <c r="Q1005" s="16"/>
      <c r="R1005" s="19"/>
      <c r="S1005" s="20"/>
    </row>
    <row r="1006" spans="1:19" x14ac:dyDescent="0.25">
      <c r="A1006" t="str">
        <f>(COUNTIF($K$2:K1006,K1006))&amp;K1006</f>
        <v>0</v>
      </c>
      <c r="B1006" s="34"/>
      <c r="C1006" s="13"/>
      <c r="D1006" s="14"/>
      <c r="E1006" s="16"/>
      <c r="F1006" s="17"/>
      <c r="G1006" s="24"/>
      <c r="H1006" s="15"/>
      <c r="I1006" s="15"/>
      <c r="J1006" s="15"/>
      <c r="K1006" s="18"/>
      <c r="L1006" s="15"/>
      <c r="M1006" s="15"/>
      <c r="N1006" s="15"/>
      <c r="O1006" s="24"/>
      <c r="P1006" s="17"/>
      <c r="Q1006" s="16"/>
      <c r="R1006" s="19"/>
      <c r="S1006" s="20"/>
    </row>
    <row r="1007" spans="1:19" x14ac:dyDescent="0.25">
      <c r="A1007" t="str">
        <f>(COUNTIF($K$2:K1007,K1007))&amp;K1007</f>
        <v>0</v>
      </c>
      <c r="B1007" s="34"/>
      <c r="C1007" s="13"/>
      <c r="D1007" s="14"/>
      <c r="E1007" s="16"/>
      <c r="F1007" s="17"/>
      <c r="G1007" s="24"/>
      <c r="H1007" s="15"/>
      <c r="I1007" s="15"/>
      <c r="J1007" s="15"/>
      <c r="K1007" s="18"/>
      <c r="L1007" s="15"/>
      <c r="M1007" s="15"/>
      <c r="N1007" s="15"/>
      <c r="O1007" s="24"/>
      <c r="P1007" s="17"/>
      <c r="Q1007" s="16"/>
      <c r="R1007" s="19"/>
      <c r="S1007" s="20"/>
    </row>
    <row r="1008" spans="1:19" x14ac:dyDescent="0.25">
      <c r="A1008" t="str">
        <f>(COUNTIF($K$2:K1008,K1008))&amp;K1008</f>
        <v>0</v>
      </c>
      <c r="B1008" s="34"/>
      <c r="C1008" s="13"/>
      <c r="D1008" s="14"/>
      <c r="E1008" s="16"/>
      <c r="F1008" s="17"/>
      <c r="G1008" s="24"/>
      <c r="H1008" s="15"/>
      <c r="I1008" s="15"/>
      <c r="J1008" s="15"/>
      <c r="K1008" s="18"/>
      <c r="L1008" s="15"/>
      <c r="M1008" s="15"/>
      <c r="N1008" s="15"/>
      <c r="O1008" s="24"/>
      <c r="P1008" s="17"/>
      <c r="Q1008" s="16"/>
      <c r="R1008" s="19"/>
      <c r="S1008" s="20"/>
    </row>
    <row r="1009" spans="1:19" x14ac:dyDescent="0.25">
      <c r="A1009" t="str">
        <f>(COUNTIF($K$2:K1009,K1009))&amp;K1009</f>
        <v>0</v>
      </c>
      <c r="B1009" s="34"/>
      <c r="C1009" s="13"/>
      <c r="D1009" s="14"/>
      <c r="E1009" s="16"/>
      <c r="F1009" s="17"/>
      <c r="G1009" s="24"/>
      <c r="H1009" s="15"/>
      <c r="I1009" s="15"/>
      <c r="J1009" s="15"/>
      <c r="K1009" s="18"/>
      <c r="L1009" s="15"/>
      <c r="M1009" s="15"/>
      <c r="N1009" s="15"/>
      <c r="O1009" s="24"/>
      <c r="P1009" s="17"/>
      <c r="Q1009" s="16"/>
      <c r="R1009" s="19"/>
      <c r="S1009" s="20"/>
    </row>
    <row r="1010" spans="1:19" x14ac:dyDescent="0.25">
      <c r="A1010" t="str">
        <f>(COUNTIF($K$2:K1010,K1010))&amp;K1010</f>
        <v>0</v>
      </c>
      <c r="B1010" s="34"/>
      <c r="C1010" s="13"/>
      <c r="D1010" s="14"/>
      <c r="E1010" s="16"/>
      <c r="F1010" s="17"/>
      <c r="G1010" s="24"/>
      <c r="H1010" s="15"/>
      <c r="I1010" s="15"/>
      <c r="J1010" s="15"/>
      <c r="K1010" s="18"/>
      <c r="L1010" s="15"/>
      <c r="M1010" s="15"/>
      <c r="N1010" s="15"/>
      <c r="O1010" s="24"/>
      <c r="P1010" s="17"/>
      <c r="Q1010" s="16"/>
      <c r="R1010" s="19"/>
      <c r="S1010" s="20"/>
    </row>
    <row r="1011" spans="1:19" x14ac:dyDescent="0.25">
      <c r="A1011" t="str">
        <f>(COUNTIF($K$2:K1011,K1011))&amp;K1011</f>
        <v>0</v>
      </c>
      <c r="B1011" s="34"/>
      <c r="C1011" s="13"/>
      <c r="D1011" s="14"/>
      <c r="E1011" s="16"/>
      <c r="F1011" s="17"/>
      <c r="G1011" s="24"/>
      <c r="H1011" s="15"/>
      <c r="I1011" s="15"/>
      <c r="J1011" s="15"/>
      <c r="K1011" s="18"/>
      <c r="L1011" s="15"/>
      <c r="M1011" s="15"/>
      <c r="N1011" s="15"/>
      <c r="O1011" s="24"/>
      <c r="P1011" s="17"/>
      <c r="Q1011" s="16"/>
      <c r="R1011" s="19"/>
      <c r="S1011" s="20"/>
    </row>
    <row r="1012" spans="1:19" x14ac:dyDescent="0.25">
      <c r="A1012" t="str">
        <f>(COUNTIF($K$2:K1012,K1012))&amp;K1012</f>
        <v>0</v>
      </c>
      <c r="B1012" s="34"/>
      <c r="C1012" s="13"/>
      <c r="D1012" s="14"/>
      <c r="E1012" s="16"/>
      <c r="F1012" s="17"/>
      <c r="G1012" s="24"/>
      <c r="H1012" s="15"/>
      <c r="I1012" s="15"/>
      <c r="J1012" s="15"/>
      <c r="K1012" s="18"/>
      <c r="L1012" s="15"/>
      <c r="M1012" s="15"/>
      <c r="N1012" s="15"/>
      <c r="O1012" s="24"/>
      <c r="P1012" s="17"/>
      <c r="Q1012" s="16"/>
      <c r="R1012" s="19"/>
      <c r="S1012" s="20"/>
    </row>
    <row r="1013" spans="1:19" ht="15.75" x14ac:dyDescent="0.25">
      <c r="A1013" t="str">
        <f>(COUNTIF($K$2:K1013,K1013))&amp;K1013</f>
        <v>0</v>
      </c>
      <c r="B1013" s="34"/>
      <c r="C1013" s="13"/>
      <c r="D1013" s="14"/>
      <c r="E1013" s="16"/>
      <c r="F1013" s="17"/>
      <c r="G1013" s="24"/>
      <c r="H1013" s="15"/>
      <c r="I1013" s="15"/>
      <c r="J1013" s="15"/>
      <c r="K1013" s="21"/>
      <c r="L1013" s="15"/>
      <c r="M1013" s="15"/>
      <c r="N1013" s="15"/>
      <c r="O1013" s="24"/>
      <c r="P1013" s="17"/>
      <c r="Q1013" s="16"/>
      <c r="R1013" s="19"/>
      <c r="S1013" s="20"/>
    </row>
    <row r="1014" spans="1:19" x14ac:dyDescent="0.25">
      <c r="A1014" t="str">
        <f>(COUNTIF($K$2:K1014,K1014))&amp;K1014</f>
        <v>0</v>
      </c>
      <c r="B1014" s="34"/>
      <c r="C1014" s="13"/>
      <c r="D1014" s="14"/>
      <c r="E1014" s="16"/>
      <c r="F1014" s="17"/>
      <c r="G1014" s="24"/>
      <c r="H1014" s="15"/>
      <c r="I1014" s="15"/>
      <c r="J1014" s="15"/>
      <c r="K1014" s="18"/>
      <c r="L1014" s="15"/>
      <c r="M1014" s="15"/>
      <c r="N1014" s="15"/>
      <c r="O1014" s="24"/>
      <c r="P1014" s="17"/>
      <c r="Q1014" s="16"/>
      <c r="R1014" s="19"/>
      <c r="S1014" s="20"/>
    </row>
    <row r="1015" spans="1:19" x14ac:dyDescent="0.25">
      <c r="A1015" t="str">
        <f>(COUNTIF($K$2:K1015,K1015))&amp;K1015</f>
        <v>0</v>
      </c>
      <c r="B1015" s="34"/>
      <c r="C1015" s="13"/>
      <c r="D1015" s="14"/>
      <c r="E1015" s="16"/>
      <c r="F1015" s="17"/>
      <c r="G1015" s="24"/>
      <c r="H1015" s="15"/>
      <c r="I1015" s="15"/>
      <c r="J1015" s="15"/>
      <c r="K1015" s="18"/>
      <c r="L1015" s="15"/>
      <c r="M1015" s="15"/>
      <c r="N1015" s="15"/>
      <c r="O1015" s="24"/>
      <c r="P1015" s="17"/>
      <c r="Q1015" s="16"/>
      <c r="R1015" s="19"/>
      <c r="S1015" s="20"/>
    </row>
    <row r="1016" spans="1:19" x14ac:dyDescent="0.25">
      <c r="A1016" t="str">
        <f>(COUNTIF($K$2:K1016,K1016))&amp;K1016</f>
        <v>0</v>
      </c>
      <c r="B1016" s="34"/>
      <c r="C1016" s="13"/>
      <c r="D1016" s="14"/>
      <c r="E1016" s="16"/>
      <c r="F1016" s="17"/>
      <c r="G1016" s="24"/>
      <c r="H1016" s="15"/>
      <c r="I1016" s="15"/>
      <c r="J1016" s="15"/>
      <c r="K1016" s="18"/>
      <c r="L1016" s="15"/>
      <c r="M1016" s="15"/>
      <c r="N1016" s="15"/>
      <c r="O1016" s="24"/>
      <c r="P1016" s="17"/>
      <c r="Q1016" s="16"/>
      <c r="R1016" s="19"/>
      <c r="S1016" s="20"/>
    </row>
    <row r="1017" spans="1:19" x14ac:dyDescent="0.25">
      <c r="A1017" t="str">
        <f>(COUNTIF($K$2:K1017,K1017))&amp;K1017</f>
        <v>0</v>
      </c>
      <c r="B1017" s="34"/>
      <c r="C1017" s="13"/>
      <c r="D1017" s="14"/>
      <c r="E1017" s="16"/>
      <c r="F1017" s="17"/>
      <c r="G1017" s="24"/>
      <c r="H1017" s="15"/>
      <c r="I1017" s="15"/>
      <c r="J1017" s="15"/>
      <c r="K1017" s="18"/>
      <c r="L1017" s="15"/>
      <c r="M1017" s="15"/>
      <c r="N1017" s="15"/>
      <c r="O1017" s="24"/>
      <c r="P1017" s="17"/>
      <c r="Q1017" s="16"/>
      <c r="R1017" s="19"/>
      <c r="S1017" s="20"/>
    </row>
    <row r="1018" spans="1:19" x14ac:dyDescent="0.25">
      <c r="A1018" t="str">
        <f>(COUNTIF($K$2:K1018,K1018))&amp;K1018</f>
        <v>0</v>
      </c>
      <c r="B1018" s="34"/>
      <c r="C1018" s="13"/>
      <c r="D1018" s="14"/>
      <c r="E1018" s="16"/>
      <c r="F1018" s="17"/>
      <c r="G1018" s="24"/>
      <c r="H1018" s="15"/>
      <c r="I1018" s="15"/>
      <c r="J1018" s="15"/>
      <c r="K1018" s="18"/>
      <c r="L1018" s="15"/>
      <c r="M1018" s="15"/>
      <c r="N1018" s="15"/>
      <c r="O1018" s="24"/>
      <c r="P1018" s="17"/>
      <c r="Q1018" s="16"/>
      <c r="R1018" s="19"/>
      <c r="S1018" s="20"/>
    </row>
    <row r="1019" spans="1:19" x14ac:dyDescent="0.25">
      <c r="A1019" t="str">
        <f>(COUNTIF($K$2:K1019,K1019))&amp;K1019</f>
        <v>0</v>
      </c>
      <c r="B1019" s="34"/>
      <c r="C1019" s="13"/>
      <c r="D1019" s="14"/>
      <c r="E1019" s="16"/>
      <c r="F1019" s="17"/>
      <c r="G1019" s="24"/>
      <c r="H1019" s="15"/>
      <c r="I1019" s="15"/>
      <c r="J1019" s="15"/>
      <c r="K1019" s="18"/>
      <c r="L1019" s="15"/>
      <c r="M1019" s="15"/>
      <c r="N1019" s="15"/>
      <c r="O1019" s="24"/>
      <c r="P1019" s="17"/>
      <c r="Q1019" s="16"/>
      <c r="R1019" s="19"/>
      <c r="S1019" s="20"/>
    </row>
    <row r="1020" spans="1:19" x14ac:dyDescent="0.25">
      <c r="A1020" t="str">
        <f>(COUNTIF($K$2:K1020,K1020))&amp;K1020</f>
        <v>0</v>
      </c>
      <c r="B1020" s="34"/>
      <c r="C1020" s="13"/>
      <c r="D1020" s="14"/>
      <c r="E1020" s="16"/>
      <c r="F1020" s="17"/>
      <c r="G1020" s="24"/>
      <c r="H1020" s="15"/>
      <c r="I1020" s="15"/>
      <c r="J1020" s="15"/>
      <c r="K1020" s="18"/>
      <c r="L1020" s="15"/>
      <c r="M1020" s="15"/>
      <c r="N1020" s="15"/>
      <c r="O1020" s="24"/>
      <c r="P1020" s="17"/>
      <c r="Q1020" s="16"/>
      <c r="R1020" s="19"/>
      <c r="S1020" s="20"/>
    </row>
    <row r="1021" spans="1:19" x14ac:dyDescent="0.25">
      <c r="A1021" t="str">
        <f>(COUNTIF($K$2:K1021,K1021))&amp;K1021</f>
        <v>0</v>
      </c>
      <c r="B1021" s="34"/>
      <c r="C1021" s="41"/>
      <c r="E1021" s="33"/>
      <c r="F1021" s="39"/>
      <c r="G1021" s="40"/>
      <c r="H1021" s="38"/>
      <c r="I1021" s="38"/>
      <c r="J1021" s="38"/>
      <c r="K1021" s="52"/>
      <c r="L1021" s="38"/>
      <c r="M1021" s="38"/>
      <c r="N1021" s="38"/>
      <c r="P1021" s="40"/>
      <c r="Q1021" s="33"/>
      <c r="R1021" s="38"/>
      <c r="S1021" s="38"/>
    </row>
    <row r="1022" spans="1:19" x14ac:dyDescent="0.25">
      <c r="A1022" t="str">
        <f>(COUNTIF($K$2:K1022,K1022))&amp;K1022</f>
        <v>0</v>
      </c>
      <c r="B1022" s="34"/>
      <c r="C1022" s="13"/>
      <c r="D1022" s="14"/>
      <c r="E1022" s="16"/>
      <c r="F1022" s="17"/>
      <c r="G1022" s="24"/>
      <c r="H1022" s="15"/>
      <c r="I1022" s="15"/>
      <c r="J1022" s="15"/>
      <c r="K1022" s="18"/>
      <c r="L1022" s="15"/>
      <c r="M1022" s="15"/>
      <c r="N1022" s="15"/>
      <c r="O1022" s="24"/>
      <c r="P1022" s="17"/>
      <c r="Q1022" s="16"/>
      <c r="R1022" s="19"/>
      <c r="S1022" s="20"/>
    </row>
    <row r="1023" spans="1:19" x14ac:dyDescent="0.25">
      <c r="A1023" t="str">
        <f>(COUNTIF($K$2:K1023,K1023))&amp;K1023</f>
        <v>0</v>
      </c>
      <c r="B1023" s="34"/>
      <c r="C1023" s="13"/>
      <c r="D1023" s="14"/>
      <c r="E1023" s="16"/>
      <c r="F1023" s="17"/>
      <c r="G1023" s="24"/>
      <c r="H1023" s="15"/>
      <c r="I1023" s="15"/>
      <c r="J1023" s="15"/>
      <c r="K1023" s="18"/>
      <c r="L1023" s="15"/>
      <c r="M1023" s="15"/>
      <c r="N1023" s="15"/>
      <c r="O1023" s="24"/>
      <c r="P1023" s="17"/>
      <c r="Q1023" s="16"/>
      <c r="R1023" s="19"/>
      <c r="S1023" s="20"/>
    </row>
    <row r="1024" spans="1:19" x14ac:dyDescent="0.25">
      <c r="A1024" t="str">
        <f>(COUNTIF($K$2:K1024,K1024))&amp;K1024</f>
        <v>0</v>
      </c>
      <c r="B1024" s="34"/>
      <c r="C1024" s="13"/>
      <c r="D1024" s="14"/>
      <c r="E1024" s="16"/>
      <c r="F1024" s="17"/>
      <c r="G1024" s="24"/>
      <c r="H1024" s="15"/>
      <c r="I1024" s="15"/>
      <c r="J1024" s="15"/>
      <c r="K1024" s="18"/>
      <c r="L1024" s="15"/>
      <c r="M1024" s="15"/>
      <c r="N1024" s="15"/>
      <c r="O1024" s="24"/>
      <c r="P1024" s="17"/>
      <c r="Q1024" s="16"/>
      <c r="R1024" s="19"/>
      <c r="S1024" s="20"/>
    </row>
    <row r="1025" spans="1:19" x14ac:dyDescent="0.25">
      <c r="A1025" t="str">
        <f>(COUNTIF($K$2:K1025,K1025))&amp;K1025</f>
        <v>0</v>
      </c>
      <c r="B1025" s="34"/>
      <c r="C1025" s="13"/>
      <c r="D1025" s="14"/>
      <c r="E1025" s="16"/>
      <c r="F1025" s="17"/>
      <c r="G1025" s="24"/>
      <c r="H1025" s="15"/>
      <c r="I1025" s="15"/>
      <c r="J1025" s="15"/>
      <c r="K1025" s="18"/>
      <c r="L1025" s="15"/>
      <c r="M1025" s="15"/>
      <c r="N1025" s="15"/>
      <c r="O1025" s="24"/>
      <c r="P1025" s="17"/>
      <c r="Q1025" s="16"/>
      <c r="R1025" s="19"/>
      <c r="S1025" s="20"/>
    </row>
    <row r="1026" spans="1:19" x14ac:dyDescent="0.25">
      <c r="A1026" t="str">
        <f>(COUNTIF($K$2:K1026,K1026))&amp;K1026</f>
        <v>0</v>
      </c>
      <c r="B1026" s="34"/>
      <c r="C1026" s="13"/>
      <c r="D1026" s="14"/>
      <c r="E1026" s="16"/>
      <c r="F1026" s="17"/>
      <c r="G1026" s="24"/>
      <c r="H1026" s="15"/>
      <c r="I1026" s="15"/>
      <c r="J1026" s="15"/>
      <c r="K1026" s="18"/>
      <c r="L1026" s="15"/>
      <c r="M1026" s="15"/>
      <c r="N1026" s="15"/>
      <c r="O1026" s="24"/>
      <c r="P1026" s="17"/>
      <c r="Q1026" s="16"/>
      <c r="R1026" s="19"/>
      <c r="S1026" s="20"/>
    </row>
    <row r="1027" spans="1:19" x14ac:dyDescent="0.25">
      <c r="A1027" t="str">
        <f>(COUNTIF($K$2:K1027,K1027))&amp;K1027</f>
        <v>0</v>
      </c>
      <c r="B1027" s="34"/>
      <c r="C1027" s="13"/>
      <c r="D1027" s="14"/>
      <c r="E1027" s="16"/>
      <c r="F1027" s="17"/>
      <c r="G1027" s="24"/>
      <c r="H1027" s="15"/>
      <c r="I1027" s="15"/>
      <c r="J1027" s="15"/>
      <c r="K1027" s="18"/>
      <c r="L1027" s="15"/>
      <c r="M1027" s="15"/>
      <c r="N1027" s="15"/>
      <c r="O1027" s="24"/>
      <c r="P1027" s="17"/>
      <c r="Q1027" s="16"/>
      <c r="R1027" s="19"/>
      <c r="S1027" s="20"/>
    </row>
    <row r="1028" spans="1:19" x14ac:dyDescent="0.25">
      <c r="A1028" t="str">
        <f>(COUNTIF($K$2:K1028,K1028))&amp;K1028</f>
        <v>0</v>
      </c>
      <c r="B1028" s="34"/>
      <c r="C1028" s="13"/>
      <c r="D1028" s="14"/>
      <c r="E1028" s="16"/>
      <c r="F1028" s="17"/>
      <c r="G1028" s="24"/>
      <c r="H1028" s="15"/>
      <c r="I1028" s="15"/>
      <c r="J1028" s="15"/>
      <c r="K1028" s="18"/>
      <c r="L1028" s="15"/>
      <c r="M1028" s="15"/>
      <c r="N1028" s="15"/>
      <c r="O1028" s="24"/>
      <c r="P1028" s="17"/>
      <c r="Q1028" s="16"/>
      <c r="R1028" s="19"/>
      <c r="S1028" s="20"/>
    </row>
    <row r="1029" spans="1:19" x14ac:dyDescent="0.25">
      <c r="A1029" t="str">
        <f>(COUNTIF($K$2:K1029,K1029))&amp;K1029</f>
        <v>0</v>
      </c>
      <c r="B1029" s="34"/>
      <c r="C1029" s="13"/>
      <c r="D1029" s="14"/>
      <c r="E1029" s="16"/>
      <c r="F1029" s="17"/>
      <c r="G1029" s="24"/>
      <c r="H1029" s="15"/>
      <c r="I1029" s="15"/>
      <c r="J1029" s="15"/>
      <c r="K1029" s="18"/>
      <c r="L1029" s="15"/>
      <c r="M1029" s="15"/>
      <c r="N1029" s="15"/>
      <c r="O1029" s="24"/>
      <c r="P1029" s="17"/>
      <c r="Q1029" s="16"/>
      <c r="R1029" s="19"/>
      <c r="S1029" s="20"/>
    </row>
    <row r="1030" spans="1:19" ht="15.75" x14ac:dyDescent="0.25">
      <c r="A1030" t="str">
        <f>(COUNTIF($K$2:K1030,K1030))&amp;K1030</f>
        <v>0</v>
      </c>
      <c r="B1030" s="34"/>
      <c r="C1030" s="13"/>
      <c r="D1030" s="14"/>
      <c r="E1030" s="16"/>
      <c r="F1030" s="17"/>
      <c r="G1030" s="24"/>
      <c r="H1030" s="15"/>
      <c r="I1030" s="15"/>
      <c r="J1030" s="15"/>
      <c r="K1030" s="21"/>
      <c r="L1030" s="15"/>
      <c r="M1030" s="15"/>
      <c r="N1030" s="15"/>
      <c r="O1030" s="24"/>
      <c r="P1030" s="17"/>
      <c r="Q1030" s="16"/>
      <c r="R1030" s="19"/>
      <c r="S1030" s="20"/>
    </row>
    <row r="1031" spans="1:19" x14ac:dyDescent="0.25">
      <c r="A1031" t="str">
        <f>(COUNTIF($K$2:K1031,K1031))&amp;K1031</f>
        <v>0</v>
      </c>
      <c r="B1031" s="34"/>
      <c r="C1031" s="13"/>
      <c r="D1031" s="14"/>
      <c r="E1031" s="16"/>
      <c r="F1031" s="17"/>
      <c r="G1031" s="24"/>
      <c r="H1031" s="15"/>
      <c r="I1031" s="15"/>
      <c r="J1031" s="15"/>
      <c r="K1031" s="18"/>
      <c r="L1031" s="15"/>
      <c r="M1031" s="15"/>
      <c r="N1031" s="15"/>
      <c r="O1031" s="24"/>
      <c r="P1031" s="17"/>
      <c r="Q1031" s="16"/>
      <c r="R1031" s="19"/>
      <c r="S1031" s="20"/>
    </row>
    <row r="1032" spans="1:19" x14ac:dyDescent="0.25">
      <c r="A1032" t="str">
        <f>(COUNTIF($K$2:K1032,K1032))&amp;K1032</f>
        <v>0</v>
      </c>
      <c r="B1032" s="34"/>
      <c r="C1032" s="13"/>
      <c r="D1032" s="14"/>
      <c r="E1032" s="16"/>
      <c r="F1032" s="17"/>
      <c r="G1032" s="24"/>
      <c r="H1032" s="15"/>
      <c r="I1032" s="15"/>
      <c r="J1032" s="15"/>
      <c r="K1032" s="18"/>
      <c r="L1032" s="15"/>
      <c r="M1032" s="15"/>
      <c r="N1032" s="15"/>
      <c r="O1032" s="24"/>
      <c r="P1032" s="17"/>
      <c r="Q1032" s="16"/>
      <c r="R1032" s="19"/>
      <c r="S1032" s="20"/>
    </row>
    <row r="1033" spans="1:19" x14ac:dyDescent="0.25">
      <c r="A1033" t="str">
        <f>(COUNTIF($K$2:K1033,K1033))&amp;K1033</f>
        <v>0</v>
      </c>
      <c r="B1033" s="34"/>
      <c r="C1033" s="13"/>
      <c r="D1033" s="14"/>
      <c r="E1033" s="16"/>
      <c r="F1033" s="17"/>
      <c r="G1033" s="24"/>
      <c r="H1033" s="15"/>
      <c r="I1033" s="15"/>
      <c r="J1033" s="15"/>
      <c r="K1033" s="18"/>
      <c r="L1033" s="15"/>
      <c r="M1033" s="15"/>
      <c r="N1033" s="15"/>
      <c r="O1033" s="24"/>
      <c r="P1033" s="17"/>
      <c r="Q1033" s="16"/>
      <c r="R1033" s="19"/>
      <c r="S1033" s="20"/>
    </row>
    <row r="1034" spans="1:19" x14ac:dyDescent="0.25">
      <c r="A1034" t="str">
        <f>(COUNTIF($K$2:K1034,K1034))&amp;K1034</f>
        <v>0</v>
      </c>
      <c r="B1034" s="34"/>
      <c r="C1034" s="13"/>
      <c r="D1034" s="14"/>
      <c r="E1034" s="16"/>
      <c r="F1034" s="17"/>
      <c r="G1034" s="24"/>
      <c r="H1034" s="15"/>
      <c r="I1034" s="15"/>
      <c r="J1034" s="15"/>
      <c r="K1034" s="18"/>
      <c r="L1034" s="15"/>
      <c r="M1034" s="15"/>
      <c r="N1034" s="15"/>
      <c r="O1034" s="24"/>
      <c r="P1034" s="17"/>
      <c r="Q1034" s="16"/>
      <c r="R1034" s="19"/>
      <c r="S1034" s="20"/>
    </row>
    <row r="1035" spans="1:19" x14ac:dyDescent="0.25">
      <c r="A1035" t="str">
        <f>(COUNTIF($K$2:K1035,K1035))&amp;K1035</f>
        <v>0</v>
      </c>
      <c r="B1035" s="34"/>
      <c r="C1035" s="13"/>
      <c r="D1035" s="14"/>
      <c r="E1035" s="16"/>
      <c r="F1035" s="17"/>
      <c r="G1035" s="24"/>
      <c r="H1035" s="15"/>
      <c r="I1035" s="15"/>
      <c r="J1035" s="15"/>
      <c r="K1035" s="18"/>
      <c r="L1035" s="15"/>
      <c r="M1035" s="15"/>
      <c r="N1035" s="15"/>
      <c r="O1035" s="24"/>
      <c r="P1035" s="17"/>
      <c r="Q1035" s="16"/>
      <c r="R1035" s="19"/>
      <c r="S1035" s="20"/>
    </row>
    <row r="1036" spans="1:19" x14ac:dyDescent="0.25">
      <c r="A1036" t="str">
        <f>(COUNTIF($K$2:K1036,K1036))&amp;K1036</f>
        <v>0</v>
      </c>
      <c r="B1036" s="34"/>
      <c r="C1036" s="13"/>
      <c r="D1036" s="14"/>
      <c r="E1036" s="16"/>
      <c r="F1036" s="17"/>
      <c r="G1036" s="24"/>
      <c r="H1036" s="15"/>
      <c r="I1036" s="15"/>
      <c r="J1036" s="15"/>
      <c r="K1036" s="18"/>
      <c r="L1036" s="15"/>
      <c r="M1036" s="15"/>
      <c r="N1036" s="15"/>
      <c r="O1036" s="24"/>
      <c r="P1036" s="17"/>
      <c r="Q1036" s="16"/>
      <c r="R1036" s="19"/>
      <c r="S1036" s="20"/>
    </row>
    <row r="1037" spans="1:19" x14ac:dyDescent="0.25">
      <c r="A1037" t="str">
        <f>(COUNTIF($K$2:K1037,K1037))&amp;K1037</f>
        <v>0</v>
      </c>
      <c r="B1037" s="34"/>
      <c r="C1037" s="13"/>
      <c r="D1037" s="14"/>
      <c r="E1037" s="16"/>
      <c r="F1037" s="17"/>
      <c r="G1037" s="24"/>
      <c r="H1037" s="15"/>
      <c r="I1037" s="15"/>
      <c r="J1037" s="15"/>
      <c r="K1037" s="18"/>
      <c r="L1037" s="15"/>
      <c r="M1037" s="15"/>
      <c r="N1037" s="15"/>
      <c r="O1037" s="24"/>
      <c r="P1037" s="17"/>
      <c r="Q1037" s="16"/>
      <c r="R1037" s="19"/>
      <c r="S1037" s="20"/>
    </row>
    <row r="1038" spans="1:19" x14ac:dyDescent="0.25">
      <c r="A1038" t="str">
        <f>(COUNTIF($K$2:K1038,K1038))&amp;K1038</f>
        <v>0</v>
      </c>
      <c r="B1038" s="34"/>
      <c r="C1038" s="41"/>
      <c r="E1038" s="33"/>
      <c r="F1038" s="39"/>
      <c r="G1038" s="40"/>
      <c r="H1038" s="38"/>
      <c r="I1038" s="38"/>
      <c r="J1038" s="38"/>
      <c r="K1038" s="52"/>
      <c r="L1038" s="38"/>
      <c r="M1038" s="38"/>
      <c r="N1038" s="38"/>
      <c r="P1038" s="40"/>
      <c r="Q1038" s="33"/>
      <c r="R1038" s="38"/>
      <c r="S1038" s="38"/>
    </row>
    <row r="1039" spans="1:19" x14ac:dyDescent="0.25">
      <c r="A1039" t="str">
        <f>(COUNTIF($K$2:K1039,K1039))&amp;K1039</f>
        <v>0</v>
      </c>
      <c r="B1039" s="34"/>
      <c r="C1039" s="13"/>
      <c r="D1039" s="14"/>
      <c r="E1039" s="16"/>
      <c r="F1039" s="17"/>
      <c r="G1039" s="24"/>
      <c r="H1039" s="15"/>
      <c r="I1039" s="15"/>
      <c r="J1039" s="15"/>
      <c r="K1039" s="18"/>
      <c r="L1039" s="15"/>
      <c r="M1039" s="15"/>
      <c r="N1039" s="15"/>
      <c r="O1039" s="24"/>
      <c r="P1039" s="17"/>
      <c r="Q1039" s="16"/>
      <c r="R1039" s="19"/>
      <c r="S1039" s="20"/>
    </row>
    <row r="1040" spans="1:19" x14ac:dyDescent="0.25">
      <c r="A1040" t="str">
        <f>(COUNTIF($K$2:K1040,K1040))&amp;K1040</f>
        <v>0</v>
      </c>
      <c r="B1040" s="34"/>
      <c r="C1040" s="13"/>
      <c r="D1040" s="14"/>
      <c r="E1040" s="16"/>
      <c r="F1040" s="17"/>
      <c r="G1040" s="24"/>
      <c r="H1040" s="15"/>
      <c r="I1040" s="15"/>
      <c r="J1040" s="15"/>
      <c r="K1040" s="18"/>
      <c r="L1040" s="15"/>
      <c r="M1040" s="15"/>
      <c r="N1040" s="15"/>
      <c r="O1040" s="24"/>
      <c r="P1040" s="17"/>
      <c r="Q1040" s="16"/>
      <c r="R1040" s="19"/>
      <c r="S1040" s="20"/>
    </row>
    <row r="1041" spans="1:19" x14ac:dyDescent="0.25">
      <c r="A1041" t="str">
        <f>(COUNTIF($K$2:K1041,K1041))&amp;K1041</f>
        <v>0</v>
      </c>
      <c r="B1041" s="34"/>
      <c r="C1041" s="13"/>
      <c r="D1041" s="14"/>
      <c r="E1041" s="16"/>
      <c r="F1041" s="17"/>
      <c r="G1041" s="24"/>
      <c r="H1041" s="15"/>
      <c r="I1041" s="15"/>
      <c r="J1041" s="15"/>
      <c r="K1041" s="18"/>
      <c r="L1041" s="15"/>
      <c r="M1041" s="15"/>
      <c r="N1041" s="15"/>
      <c r="O1041" s="24"/>
      <c r="P1041" s="17"/>
      <c r="Q1041" s="16"/>
      <c r="R1041" s="19"/>
      <c r="S1041" s="20"/>
    </row>
    <row r="1042" spans="1:19" x14ac:dyDescent="0.25">
      <c r="A1042" t="str">
        <f>(COUNTIF($K$2:K1042,K1042))&amp;K1042</f>
        <v>0</v>
      </c>
      <c r="B1042" s="34"/>
      <c r="C1042" s="13"/>
      <c r="D1042" s="14"/>
      <c r="E1042" s="16"/>
      <c r="F1042" s="17"/>
      <c r="G1042" s="24"/>
      <c r="H1042" s="15"/>
      <c r="I1042" s="15"/>
      <c r="J1042" s="15"/>
      <c r="K1042" s="18"/>
      <c r="L1042" s="15"/>
      <c r="M1042" s="15"/>
      <c r="N1042" s="15"/>
      <c r="O1042" s="24"/>
      <c r="P1042" s="17"/>
      <c r="Q1042" s="16"/>
      <c r="R1042" s="19"/>
      <c r="S1042" s="20"/>
    </row>
    <row r="1043" spans="1:19" x14ac:dyDescent="0.25">
      <c r="A1043" t="str">
        <f>(COUNTIF($K$2:K1043,K1043))&amp;K1043</f>
        <v>0</v>
      </c>
      <c r="B1043" s="34"/>
      <c r="C1043" s="13"/>
      <c r="D1043" s="14"/>
      <c r="E1043" s="16"/>
      <c r="F1043" s="17"/>
      <c r="G1043" s="24"/>
      <c r="H1043" s="15"/>
      <c r="I1043" s="15"/>
      <c r="J1043" s="15"/>
      <c r="K1043" s="18"/>
      <c r="L1043" s="15"/>
      <c r="M1043" s="15"/>
      <c r="N1043" s="15"/>
      <c r="O1043" s="24"/>
      <c r="P1043" s="17"/>
      <c r="Q1043" s="16"/>
      <c r="R1043" s="19"/>
      <c r="S1043" s="20"/>
    </row>
    <row r="1044" spans="1:19" x14ac:dyDescent="0.25">
      <c r="A1044" t="str">
        <f>(COUNTIF($K$2:K1044,K1044))&amp;K1044</f>
        <v>0</v>
      </c>
      <c r="B1044" s="34"/>
      <c r="C1044" s="13"/>
      <c r="D1044" s="14"/>
      <c r="E1044" s="16"/>
      <c r="F1044" s="17"/>
      <c r="G1044" s="24"/>
      <c r="H1044" s="15"/>
      <c r="I1044" s="15"/>
      <c r="J1044" s="15"/>
      <c r="K1044" s="18"/>
      <c r="L1044" s="15"/>
      <c r="M1044" s="15"/>
      <c r="N1044" s="15"/>
      <c r="O1044" s="24"/>
      <c r="P1044" s="17"/>
      <c r="Q1044" s="16"/>
      <c r="R1044" s="19"/>
      <c r="S1044" s="20"/>
    </row>
    <row r="1045" spans="1:19" x14ac:dyDescent="0.25">
      <c r="A1045" t="str">
        <f>(COUNTIF($K$2:K1045,K1045))&amp;K1045</f>
        <v>0</v>
      </c>
      <c r="B1045" s="34"/>
      <c r="C1045" s="13"/>
      <c r="D1045" s="14"/>
      <c r="E1045" s="16"/>
      <c r="F1045" s="17"/>
      <c r="G1045" s="24"/>
      <c r="H1045" s="15"/>
      <c r="I1045" s="15"/>
      <c r="J1045" s="15"/>
      <c r="K1045" s="18"/>
      <c r="L1045" s="15"/>
      <c r="M1045" s="15"/>
      <c r="N1045" s="15"/>
      <c r="O1045" s="24"/>
      <c r="P1045" s="17"/>
      <c r="Q1045" s="16"/>
      <c r="R1045" s="19"/>
      <c r="S1045" s="20"/>
    </row>
    <row r="1046" spans="1:19" x14ac:dyDescent="0.25">
      <c r="A1046" t="str">
        <f>(COUNTIF($K$2:K1046,K1046))&amp;K1046</f>
        <v>0</v>
      </c>
      <c r="B1046" s="34"/>
      <c r="C1046" s="13"/>
      <c r="D1046" s="14"/>
      <c r="E1046" s="16"/>
      <c r="F1046" s="17"/>
      <c r="G1046" s="24"/>
      <c r="H1046" s="15"/>
      <c r="I1046" s="15"/>
      <c r="J1046" s="15"/>
      <c r="K1046" s="18"/>
      <c r="L1046" s="15"/>
      <c r="M1046" s="15"/>
      <c r="N1046" s="15"/>
      <c r="O1046" s="24"/>
      <c r="P1046" s="17"/>
      <c r="Q1046" s="16"/>
      <c r="R1046" s="19"/>
      <c r="S1046" s="20"/>
    </row>
    <row r="1047" spans="1:19" ht="15.75" x14ac:dyDescent="0.25">
      <c r="A1047" t="str">
        <f>(COUNTIF($K$2:K1047,K1047))&amp;K1047</f>
        <v>0</v>
      </c>
      <c r="B1047" s="34"/>
      <c r="C1047" s="13"/>
      <c r="D1047" s="14"/>
      <c r="E1047" s="16"/>
      <c r="F1047" s="17"/>
      <c r="G1047" s="24"/>
      <c r="H1047" s="15"/>
      <c r="I1047" s="15"/>
      <c r="J1047" s="15"/>
      <c r="K1047" s="21"/>
      <c r="L1047" s="15"/>
      <c r="M1047" s="15"/>
      <c r="N1047" s="15"/>
      <c r="O1047" s="24"/>
      <c r="P1047" s="17"/>
      <c r="Q1047" s="16"/>
      <c r="R1047" s="19"/>
      <c r="S1047" s="20"/>
    </row>
    <row r="1048" spans="1:19" x14ac:dyDescent="0.25">
      <c r="A1048" t="str">
        <f>(COUNTIF($K$2:K1048,K1048))&amp;K1048</f>
        <v>0</v>
      </c>
      <c r="B1048" s="34"/>
      <c r="C1048" s="13"/>
      <c r="D1048" s="14"/>
      <c r="E1048" s="16"/>
      <c r="F1048" s="17"/>
      <c r="G1048" s="24"/>
      <c r="H1048" s="15"/>
      <c r="I1048" s="15"/>
      <c r="J1048" s="15"/>
      <c r="K1048" s="18"/>
      <c r="L1048" s="15"/>
      <c r="M1048" s="15"/>
      <c r="N1048" s="15"/>
      <c r="O1048" s="24"/>
      <c r="P1048" s="17"/>
      <c r="Q1048" s="16"/>
      <c r="R1048" s="19"/>
      <c r="S1048" s="20"/>
    </row>
    <row r="1049" spans="1:19" x14ac:dyDescent="0.25">
      <c r="A1049" t="str">
        <f>(COUNTIF($K$2:K1049,K1049))&amp;K1049</f>
        <v>0</v>
      </c>
      <c r="B1049" s="34"/>
      <c r="C1049" s="13"/>
      <c r="D1049" s="14"/>
      <c r="E1049" s="16"/>
      <c r="F1049" s="17"/>
      <c r="G1049" s="24"/>
      <c r="H1049" s="15"/>
      <c r="I1049" s="15"/>
      <c r="J1049" s="15"/>
      <c r="K1049" s="18"/>
      <c r="L1049" s="15"/>
      <c r="M1049" s="15"/>
      <c r="N1049" s="15"/>
      <c r="O1049" s="24"/>
      <c r="P1049" s="17"/>
      <c r="Q1049" s="16"/>
      <c r="R1049" s="19"/>
      <c r="S1049" s="20"/>
    </row>
    <row r="1050" spans="1:19" x14ac:dyDescent="0.25">
      <c r="A1050" t="str">
        <f>(COUNTIF($K$2:K1050,K1050))&amp;K1050</f>
        <v>0</v>
      </c>
      <c r="B1050" s="34"/>
      <c r="C1050" s="13"/>
      <c r="D1050" s="14"/>
      <c r="E1050" s="16"/>
      <c r="F1050" s="17"/>
      <c r="G1050" s="24"/>
      <c r="H1050" s="15"/>
      <c r="I1050" s="15"/>
      <c r="J1050" s="15"/>
      <c r="K1050" s="18"/>
      <c r="L1050" s="15"/>
      <c r="M1050" s="15"/>
      <c r="N1050" s="15"/>
      <c r="O1050" s="24"/>
      <c r="P1050" s="17"/>
      <c r="Q1050" s="16"/>
      <c r="R1050" s="19"/>
      <c r="S1050" s="20"/>
    </row>
    <row r="1051" spans="1:19" x14ac:dyDescent="0.25">
      <c r="A1051" t="str">
        <f>(COUNTIF($K$2:K1051,K1051))&amp;K1051</f>
        <v>0</v>
      </c>
      <c r="B1051" s="34"/>
      <c r="C1051" s="13"/>
      <c r="D1051" s="14"/>
      <c r="E1051" s="16"/>
      <c r="F1051" s="17"/>
      <c r="G1051" s="24"/>
      <c r="H1051" s="15"/>
      <c r="I1051" s="15"/>
      <c r="J1051" s="15"/>
      <c r="K1051" s="18"/>
      <c r="L1051" s="15"/>
      <c r="M1051" s="15"/>
      <c r="N1051" s="15"/>
      <c r="O1051" s="24"/>
      <c r="P1051" s="17"/>
      <c r="Q1051" s="16"/>
      <c r="R1051" s="19"/>
      <c r="S1051" s="20"/>
    </row>
    <row r="1052" spans="1:19" x14ac:dyDescent="0.25">
      <c r="A1052" t="str">
        <f>(COUNTIF($K$2:K1052,K1052))&amp;K1052</f>
        <v>0</v>
      </c>
      <c r="B1052" s="34"/>
      <c r="C1052" s="13"/>
      <c r="D1052" s="14"/>
      <c r="E1052" s="16"/>
      <c r="F1052" s="17"/>
      <c r="G1052" s="24"/>
      <c r="H1052" s="15"/>
      <c r="I1052" s="15"/>
      <c r="J1052" s="15"/>
      <c r="K1052" s="18"/>
      <c r="L1052" s="15"/>
      <c r="M1052" s="15"/>
      <c r="N1052" s="15"/>
      <c r="O1052" s="24"/>
      <c r="P1052" s="17"/>
      <c r="Q1052" s="16"/>
      <c r="R1052" s="19"/>
      <c r="S1052" s="20"/>
    </row>
    <row r="1053" spans="1:19" x14ac:dyDescent="0.25">
      <c r="A1053" t="str">
        <f>(COUNTIF($K$2:K1053,K1053))&amp;K1053</f>
        <v>0</v>
      </c>
      <c r="B1053" s="34"/>
      <c r="C1053" s="13"/>
      <c r="D1053" s="14"/>
      <c r="E1053" s="16"/>
      <c r="F1053" s="17"/>
      <c r="G1053" s="24"/>
      <c r="H1053" s="15"/>
      <c r="I1053" s="15"/>
      <c r="J1053" s="15"/>
      <c r="K1053" s="18"/>
      <c r="L1053" s="15"/>
      <c r="M1053" s="15"/>
      <c r="N1053" s="15"/>
      <c r="O1053" s="24"/>
      <c r="P1053" s="17"/>
      <c r="Q1053" s="16"/>
      <c r="R1053" s="19"/>
      <c r="S1053" s="20"/>
    </row>
    <row r="1054" spans="1:19" x14ac:dyDescent="0.25">
      <c r="A1054" t="str">
        <f>(COUNTIF($K$2:K1054,K1054))&amp;K1054</f>
        <v>0</v>
      </c>
      <c r="B1054" s="34"/>
      <c r="C1054" s="13"/>
      <c r="D1054" s="14"/>
      <c r="E1054" s="16"/>
      <c r="F1054" s="17"/>
      <c r="G1054" s="24"/>
      <c r="H1054" s="15"/>
      <c r="I1054" s="15"/>
      <c r="J1054" s="15"/>
      <c r="K1054" s="18"/>
      <c r="L1054" s="15"/>
      <c r="M1054" s="15"/>
      <c r="N1054" s="15"/>
      <c r="O1054" s="24"/>
      <c r="P1054" s="17"/>
      <c r="Q1054" s="16"/>
      <c r="R1054" s="19"/>
      <c r="S1054" s="20"/>
    </row>
    <row r="1055" spans="1:19" x14ac:dyDescent="0.25">
      <c r="A1055" t="str">
        <f>(COUNTIF($K$2:K1055,K1055))&amp;K1055</f>
        <v>0</v>
      </c>
      <c r="B1055" s="34"/>
      <c r="C1055" s="41"/>
      <c r="E1055" s="33"/>
      <c r="F1055" s="39"/>
      <c r="G1055" s="40"/>
      <c r="H1055" s="38"/>
      <c r="I1055" s="38"/>
      <c r="J1055" s="38"/>
      <c r="K1055" s="52"/>
      <c r="L1055" s="38"/>
      <c r="M1055" s="38"/>
      <c r="N1055" s="38"/>
      <c r="P1055" s="40"/>
      <c r="Q1055" s="33"/>
      <c r="R1055" s="38"/>
      <c r="S1055" s="38"/>
    </row>
    <row r="1056" spans="1:19" x14ac:dyDescent="0.25">
      <c r="A1056" t="str">
        <f>(COUNTIF($K$2:K1056,K1056))&amp;K1056</f>
        <v>0</v>
      </c>
      <c r="B1056" s="34"/>
      <c r="C1056" s="13"/>
      <c r="D1056" s="14"/>
      <c r="E1056" s="16"/>
      <c r="F1056" s="17"/>
      <c r="G1056" s="24"/>
      <c r="H1056" s="15"/>
      <c r="I1056" s="15"/>
      <c r="J1056" s="15"/>
      <c r="K1056" s="18"/>
      <c r="L1056" s="15"/>
      <c r="M1056" s="15"/>
      <c r="N1056" s="15"/>
      <c r="O1056" s="24"/>
      <c r="P1056" s="17"/>
      <c r="Q1056" s="16"/>
      <c r="R1056" s="19"/>
      <c r="S1056" s="20"/>
    </row>
    <row r="1057" spans="1:19" x14ac:dyDescent="0.25">
      <c r="A1057" t="str">
        <f>(COUNTIF($K$2:K1057,K1057))&amp;K1057</f>
        <v>0</v>
      </c>
      <c r="B1057" s="34"/>
      <c r="C1057" s="13"/>
      <c r="D1057" s="14"/>
      <c r="E1057" s="16"/>
      <c r="F1057" s="17"/>
      <c r="G1057" s="24"/>
      <c r="H1057" s="15"/>
      <c r="I1057" s="15"/>
      <c r="J1057" s="15"/>
      <c r="K1057" s="18"/>
      <c r="L1057" s="15"/>
      <c r="M1057" s="15"/>
      <c r="N1057" s="15"/>
      <c r="O1057" s="24"/>
      <c r="P1057" s="17"/>
      <c r="Q1057" s="16"/>
      <c r="R1057" s="19"/>
      <c r="S1057" s="20"/>
    </row>
    <row r="1058" spans="1:19" x14ac:dyDescent="0.25">
      <c r="A1058" t="str">
        <f>(COUNTIF($K$2:K1058,K1058))&amp;K1058</f>
        <v>0</v>
      </c>
      <c r="B1058" s="34"/>
      <c r="C1058" s="13"/>
      <c r="D1058" s="14"/>
      <c r="E1058" s="16"/>
      <c r="F1058" s="17"/>
      <c r="G1058" s="24"/>
      <c r="H1058" s="15"/>
      <c r="I1058" s="15"/>
      <c r="J1058" s="15"/>
      <c r="K1058" s="18"/>
      <c r="L1058" s="15"/>
      <c r="M1058" s="15"/>
      <c r="N1058" s="15"/>
      <c r="O1058" s="24"/>
      <c r="P1058" s="17"/>
      <c r="Q1058" s="16"/>
      <c r="R1058" s="19"/>
      <c r="S1058" s="20"/>
    </row>
    <row r="1059" spans="1:19" x14ac:dyDescent="0.25">
      <c r="A1059" t="str">
        <f>(COUNTIF($K$2:K1059,K1059))&amp;K1059</f>
        <v>0</v>
      </c>
      <c r="B1059" s="34"/>
      <c r="C1059" s="13"/>
      <c r="D1059" s="14"/>
      <c r="E1059" s="16"/>
      <c r="F1059" s="17"/>
      <c r="G1059" s="24"/>
      <c r="H1059" s="15"/>
      <c r="I1059" s="15"/>
      <c r="J1059" s="15"/>
      <c r="K1059" s="18"/>
      <c r="L1059" s="15"/>
      <c r="M1059" s="15"/>
      <c r="N1059" s="15"/>
      <c r="O1059" s="24"/>
      <c r="P1059" s="17"/>
      <c r="Q1059" s="16"/>
      <c r="R1059" s="19"/>
      <c r="S1059" s="20"/>
    </row>
    <row r="1060" spans="1:19" x14ac:dyDescent="0.25">
      <c r="A1060" t="str">
        <f>(COUNTIF($K$2:K1060,K1060))&amp;K1060</f>
        <v>0</v>
      </c>
      <c r="B1060" s="34"/>
      <c r="C1060" s="13"/>
      <c r="D1060" s="14"/>
      <c r="E1060" s="16"/>
      <c r="F1060" s="17"/>
      <c r="G1060" s="24"/>
      <c r="H1060" s="15"/>
      <c r="I1060" s="15"/>
      <c r="J1060" s="15"/>
      <c r="K1060" s="18"/>
      <c r="L1060" s="15"/>
      <c r="M1060" s="15"/>
      <c r="N1060" s="15"/>
      <c r="O1060" s="24"/>
      <c r="P1060" s="17"/>
      <c r="Q1060" s="16"/>
      <c r="R1060" s="19"/>
      <c r="S1060" s="20"/>
    </row>
    <row r="1061" spans="1:19" x14ac:dyDescent="0.25">
      <c r="A1061" t="str">
        <f>(COUNTIF($K$2:K1061,K1061))&amp;K1061</f>
        <v>0</v>
      </c>
      <c r="B1061" s="34"/>
      <c r="C1061" s="13"/>
      <c r="D1061" s="14"/>
      <c r="E1061" s="16"/>
      <c r="F1061" s="17"/>
      <c r="G1061" s="24"/>
      <c r="H1061" s="15"/>
      <c r="I1061" s="15"/>
      <c r="J1061" s="15"/>
      <c r="K1061" s="18"/>
      <c r="L1061" s="15"/>
      <c r="M1061" s="15"/>
      <c r="N1061" s="15"/>
      <c r="O1061" s="24"/>
      <c r="P1061" s="17"/>
      <c r="Q1061" s="16"/>
      <c r="R1061" s="19"/>
      <c r="S1061" s="20"/>
    </row>
    <row r="1062" spans="1:19" x14ac:dyDescent="0.25">
      <c r="A1062" t="str">
        <f>(COUNTIF($K$2:K1062,K1062))&amp;K1062</f>
        <v>0</v>
      </c>
      <c r="B1062" s="34"/>
      <c r="C1062" s="13"/>
      <c r="D1062" s="14"/>
      <c r="E1062" s="16"/>
      <c r="F1062" s="17"/>
      <c r="G1062" s="24"/>
      <c r="H1062" s="15"/>
      <c r="I1062" s="15"/>
      <c r="J1062" s="15"/>
      <c r="K1062" s="18"/>
      <c r="L1062" s="15"/>
      <c r="M1062" s="15"/>
      <c r="N1062" s="15"/>
      <c r="O1062" s="24"/>
      <c r="P1062" s="17"/>
      <c r="Q1062" s="16"/>
      <c r="R1062" s="19"/>
      <c r="S1062" s="20"/>
    </row>
    <row r="1063" spans="1:19" x14ac:dyDescent="0.25">
      <c r="A1063" t="str">
        <f>(COUNTIF($K$2:K1063,K1063))&amp;K1063</f>
        <v>0</v>
      </c>
      <c r="B1063" s="34"/>
      <c r="C1063" s="13"/>
      <c r="D1063" s="14"/>
      <c r="E1063" s="16"/>
      <c r="F1063" s="17"/>
      <c r="G1063" s="24"/>
      <c r="H1063" s="15"/>
      <c r="I1063" s="15"/>
      <c r="J1063" s="15"/>
      <c r="K1063" s="18"/>
      <c r="L1063" s="15"/>
      <c r="M1063" s="15"/>
      <c r="N1063" s="15"/>
      <c r="O1063" s="24"/>
      <c r="P1063" s="17"/>
      <c r="Q1063" s="16"/>
      <c r="R1063" s="19"/>
      <c r="S1063" s="20"/>
    </row>
    <row r="1064" spans="1:19" ht="15.75" x14ac:dyDescent="0.25">
      <c r="A1064" t="str">
        <f>(COUNTIF($K$2:K1064,K1064))&amp;K1064</f>
        <v>0</v>
      </c>
      <c r="B1064" s="34"/>
      <c r="C1064" s="13"/>
      <c r="D1064" s="14"/>
      <c r="E1064" s="16"/>
      <c r="F1064" s="17"/>
      <c r="G1064" s="24"/>
      <c r="H1064" s="15"/>
      <c r="I1064" s="15"/>
      <c r="J1064" s="15"/>
      <c r="K1064" s="21"/>
      <c r="L1064" s="15"/>
      <c r="M1064" s="15"/>
      <c r="N1064" s="15"/>
      <c r="O1064" s="24"/>
      <c r="P1064" s="17"/>
      <c r="Q1064" s="16"/>
      <c r="R1064" s="19"/>
      <c r="S1064" s="20"/>
    </row>
    <row r="1065" spans="1:19" x14ac:dyDescent="0.25">
      <c r="A1065" t="str">
        <f>(COUNTIF($K$2:K1065,K1065))&amp;K1065</f>
        <v>0</v>
      </c>
      <c r="B1065" s="34"/>
      <c r="C1065" s="13"/>
      <c r="D1065" s="14"/>
      <c r="E1065" s="16"/>
      <c r="F1065" s="17"/>
      <c r="G1065" s="24"/>
      <c r="H1065" s="15"/>
      <c r="I1065" s="15"/>
      <c r="J1065" s="15"/>
      <c r="K1065" s="18"/>
      <c r="L1065" s="15"/>
      <c r="M1065" s="15"/>
      <c r="N1065" s="15"/>
      <c r="O1065" s="24"/>
      <c r="P1065" s="17"/>
      <c r="Q1065" s="16"/>
      <c r="R1065" s="19"/>
      <c r="S1065" s="20"/>
    </row>
    <row r="1066" spans="1:19" x14ac:dyDescent="0.25">
      <c r="A1066" t="str">
        <f>(COUNTIF($K$2:K1066,K1066))&amp;K1066</f>
        <v>0</v>
      </c>
      <c r="B1066" s="34"/>
      <c r="C1066" s="13"/>
      <c r="D1066" s="14"/>
      <c r="E1066" s="16"/>
      <c r="F1066" s="17"/>
      <c r="G1066" s="24"/>
      <c r="H1066" s="15"/>
      <c r="I1066" s="15"/>
      <c r="J1066" s="15"/>
      <c r="K1066" s="18"/>
      <c r="L1066" s="15"/>
      <c r="M1066" s="15"/>
      <c r="N1066" s="15"/>
      <c r="O1066" s="24"/>
      <c r="P1066" s="17"/>
      <c r="Q1066" s="16"/>
      <c r="R1066" s="19"/>
      <c r="S1066" s="20"/>
    </row>
    <row r="1067" spans="1:19" x14ac:dyDescent="0.25">
      <c r="A1067" t="str">
        <f>(COUNTIF($K$2:K1067,K1067))&amp;K1067</f>
        <v>0</v>
      </c>
      <c r="B1067" s="34"/>
      <c r="C1067" s="13"/>
      <c r="D1067" s="14"/>
      <c r="E1067" s="16"/>
      <c r="F1067" s="17"/>
      <c r="G1067" s="24"/>
      <c r="H1067" s="15"/>
      <c r="I1067" s="15"/>
      <c r="J1067" s="15"/>
      <c r="K1067" s="18"/>
      <c r="L1067" s="15"/>
      <c r="M1067" s="15"/>
      <c r="N1067" s="15"/>
      <c r="O1067" s="24"/>
      <c r="P1067" s="17"/>
      <c r="Q1067" s="16"/>
      <c r="R1067" s="19"/>
      <c r="S1067" s="20"/>
    </row>
    <row r="1068" spans="1:19" x14ac:dyDescent="0.25">
      <c r="A1068" t="str">
        <f>(COUNTIF($K$2:K1068,K1068))&amp;K1068</f>
        <v>0</v>
      </c>
      <c r="B1068" s="34"/>
      <c r="C1068" s="13"/>
      <c r="D1068" s="14"/>
      <c r="E1068" s="16"/>
      <c r="F1068" s="17"/>
      <c r="G1068" s="24"/>
      <c r="H1068" s="15"/>
      <c r="I1068" s="15"/>
      <c r="J1068" s="15"/>
      <c r="K1068" s="18"/>
      <c r="L1068" s="15"/>
      <c r="M1068" s="15"/>
      <c r="N1068" s="15"/>
      <c r="O1068" s="24"/>
      <c r="P1068" s="17"/>
      <c r="Q1068" s="16"/>
      <c r="R1068" s="19"/>
      <c r="S1068" s="20"/>
    </row>
    <row r="1069" spans="1:19" x14ac:dyDescent="0.25">
      <c r="A1069" t="str">
        <f>(COUNTIF($K$2:K1069,K1069))&amp;K1069</f>
        <v>0</v>
      </c>
      <c r="B1069" s="34"/>
      <c r="C1069" s="13"/>
      <c r="D1069" s="14"/>
      <c r="E1069" s="16"/>
      <c r="F1069" s="17"/>
      <c r="G1069" s="24"/>
      <c r="H1069" s="15"/>
      <c r="I1069" s="15"/>
      <c r="J1069" s="15"/>
      <c r="K1069" s="18"/>
      <c r="L1069" s="15"/>
      <c r="M1069" s="15"/>
      <c r="N1069" s="15"/>
      <c r="O1069" s="24"/>
      <c r="P1069" s="17"/>
      <c r="Q1069" s="16"/>
      <c r="R1069" s="19"/>
      <c r="S1069" s="20"/>
    </row>
    <row r="1070" spans="1:19" x14ac:dyDescent="0.25">
      <c r="A1070" t="str">
        <f>(COUNTIF($K$2:K1070,K1070))&amp;K1070</f>
        <v>0</v>
      </c>
      <c r="B1070" s="34"/>
      <c r="C1070" s="13"/>
      <c r="D1070" s="14"/>
      <c r="E1070" s="16"/>
      <c r="F1070" s="17"/>
      <c r="G1070" s="24"/>
      <c r="H1070" s="15"/>
      <c r="I1070" s="15"/>
      <c r="J1070" s="15"/>
      <c r="K1070" s="18"/>
      <c r="L1070" s="15"/>
      <c r="M1070" s="15"/>
      <c r="N1070" s="15"/>
      <c r="O1070" s="24"/>
      <c r="P1070" s="17"/>
      <c r="Q1070" s="16"/>
      <c r="R1070" s="19"/>
      <c r="S1070" s="20"/>
    </row>
    <row r="1071" spans="1:19" x14ac:dyDescent="0.25">
      <c r="A1071" t="str">
        <f>(COUNTIF($K$2:K1071,K1071))&amp;K1071</f>
        <v>0</v>
      </c>
      <c r="B1071" s="34"/>
      <c r="C1071" s="13"/>
      <c r="D1071" s="14"/>
      <c r="E1071" s="16"/>
      <c r="F1071" s="17"/>
      <c r="G1071" s="24"/>
      <c r="H1071" s="15"/>
      <c r="I1071" s="15"/>
      <c r="J1071" s="15"/>
      <c r="K1071" s="18"/>
      <c r="L1071" s="15"/>
      <c r="M1071" s="15"/>
      <c r="N1071" s="15"/>
      <c r="O1071" s="24"/>
      <c r="P1071" s="17"/>
      <c r="Q1071" s="16"/>
      <c r="R1071" s="19"/>
      <c r="S1071" s="20"/>
    </row>
    <row r="1072" spans="1:19" x14ac:dyDescent="0.25">
      <c r="A1072" t="str">
        <f>(COUNTIF($K$2:K1072,K1072))&amp;K1072</f>
        <v>0</v>
      </c>
      <c r="B1072" s="34"/>
      <c r="C1072" s="41"/>
      <c r="E1072" s="33"/>
      <c r="F1072" s="39"/>
      <c r="G1072" s="40"/>
      <c r="H1072" s="38"/>
      <c r="I1072" s="38"/>
      <c r="J1072" s="38"/>
      <c r="K1072" s="52"/>
      <c r="L1072" s="38"/>
      <c r="M1072" s="38"/>
      <c r="N1072" s="38"/>
      <c r="P1072" s="40"/>
      <c r="Q1072" s="33"/>
      <c r="R1072" s="38"/>
      <c r="S1072" s="38"/>
    </row>
    <row r="1073" spans="1:19" x14ac:dyDescent="0.25">
      <c r="A1073" t="str">
        <f>(COUNTIF($K$2:K1073,K1073))&amp;K1073</f>
        <v>0</v>
      </c>
      <c r="B1073" s="34"/>
      <c r="C1073" s="13"/>
      <c r="D1073" s="14"/>
      <c r="E1073" s="16"/>
      <c r="F1073" s="17"/>
      <c r="G1073" s="24"/>
      <c r="H1073" s="15"/>
      <c r="I1073" s="15"/>
      <c r="J1073" s="15"/>
      <c r="K1073" s="18"/>
      <c r="L1073" s="15"/>
      <c r="M1073" s="15"/>
      <c r="N1073" s="15"/>
      <c r="O1073" s="24"/>
      <c r="P1073" s="17"/>
      <c r="Q1073" s="16"/>
      <c r="R1073" s="19"/>
      <c r="S1073" s="20"/>
    </row>
    <row r="1074" spans="1:19" x14ac:dyDescent="0.25">
      <c r="A1074" t="str">
        <f>(COUNTIF($K$2:K1074,K1074))&amp;K1074</f>
        <v>0</v>
      </c>
      <c r="B1074" s="34"/>
      <c r="C1074" s="13"/>
      <c r="D1074" s="14"/>
      <c r="E1074" s="16"/>
      <c r="F1074" s="17"/>
      <c r="G1074" s="24"/>
      <c r="H1074" s="15"/>
      <c r="I1074" s="15"/>
      <c r="J1074" s="15"/>
      <c r="K1074" s="18"/>
      <c r="L1074" s="15"/>
      <c r="M1074" s="15"/>
      <c r="N1074" s="15"/>
      <c r="O1074" s="24"/>
      <c r="P1074" s="17"/>
      <c r="Q1074" s="16"/>
      <c r="R1074" s="19"/>
      <c r="S1074" s="20"/>
    </row>
    <row r="1075" spans="1:19" x14ac:dyDescent="0.25">
      <c r="A1075" t="str">
        <f>(COUNTIF($K$2:K1075,K1075))&amp;K1075</f>
        <v>0</v>
      </c>
      <c r="B1075" s="34"/>
      <c r="C1075" s="13"/>
      <c r="D1075" s="14"/>
      <c r="E1075" s="16"/>
      <c r="F1075" s="17"/>
      <c r="G1075" s="24"/>
      <c r="H1075" s="15"/>
      <c r="I1075" s="15"/>
      <c r="J1075" s="15"/>
      <c r="K1075" s="18"/>
      <c r="L1075" s="15"/>
      <c r="M1075" s="15"/>
      <c r="N1075" s="15"/>
      <c r="O1075" s="24"/>
      <c r="P1075" s="17"/>
      <c r="Q1075" s="16"/>
      <c r="R1075" s="19"/>
      <c r="S1075" s="20"/>
    </row>
    <row r="1076" spans="1:19" x14ac:dyDescent="0.25">
      <c r="A1076" t="str">
        <f>(COUNTIF($K$2:K1076,K1076))&amp;K1076</f>
        <v>0</v>
      </c>
      <c r="B1076" s="34"/>
      <c r="C1076" s="13"/>
      <c r="D1076" s="14"/>
      <c r="E1076" s="16"/>
      <c r="F1076" s="17"/>
      <c r="G1076" s="24"/>
      <c r="H1076" s="15"/>
      <c r="I1076" s="15"/>
      <c r="J1076" s="15"/>
      <c r="K1076" s="18"/>
      <c r="L1076" s="15"/>
      <c r="M1076" s="15"/>
      <c r="N1076" s="15"/>
      <c r="O1076" s="24"/>
      <c r="P1076" s="17"/>
      <c r="Q1076" s="16"/>
      <c r="R1076" s="19"/>
      <c r="S1076" s="20"/>
    </row>
    <row r="1077" spans="1:19" x14ac:dyDescent="0.25">
      <c r="A1077" t="str">
        <f>(COUNTIF($K$2:K1077,K1077))&amp;K1077</f>
        <v>0</v>
      </c>
      <c r="B1077" s="34"/>
      <c r="C1077" s="13"/>
      <c r="D1077" s="14"/>
      <c r="E1077" s="16"/>
      <c r="F1077" s="17"/>
      <c r="G1077" s="24"/>
      <c r="H1077" s="15"/>
      <c r="I1077" s="15"/>
      <c r="J1077" s="15"/>
      <c r="K1077" s="18"/>
      <c r="L1077" s="15"/>
      <c r="M1077" s="15"/>
      <c r="N1077" s="15"/>
      <c r="O1077" s="24"/>
      <c r="P1077" s="17"/>
      <c r="Q1077" s="16"/>
      <c r="R1077" s="19"/>
      <c r="S1077" s="20"/>
    </row>
    <row r="1078" spans="1:19" x14ac:dyDescent="0.25">
      <c r="A1078" t="str">
        <f>(COUNTIF($K$2:K1078,K1078))&amp;K1078</f>
        <v>0</v>
      </c>
      <c r="B1078" s="34"/>
      <c r="C1078" s="13"/>
      <c r="D1078" s="14"/>
      <c r="E1078" s="16"/>
      <c r="F1078" s="17"/>
      <c r="G1078" s="24"/>
      <c r="H1078" s="15"/>
      <c r="I1078" s="15"/>
      <c r="J1078" s="15"/>
      <c r="K1078" s="18"/>
      <c r="L1078" s="15"/>
      <c r="M1078" s="15"/>
      <c r="N1078" s="15"/>
      <c r="O1078" s="24"/>
      <c r="P1078" s="17"/>
      <c r="Q1078" s="16"/>
      <c r="R1078" s="19"/>
      <c r="S1078" s="20"/>
    </row>
    <row r="1079" spans="1:19" x14ac:dyDescent="0.25">
      <c r="A1079" t="str">
        <f>(COUNTIF($K$2:K1079,K1079))&amp;K1079</f>
        <v>0</v>
      </c>
      <c r="B1079" s="34"/>
      <c r="C1079" s="13"/>
      <c r="D1079" s="14"/>
      <c r="E1079" s="16"/>
      <c r="F1079" s="17"/>
      <c r="G1079" s="24"/>
      <c r="H1079" s="15"/>
      <c r="I1079" s="15"/>
      <c r="J1079" s="15"/>
      <c r="K1079" s="18"/>
      <c r="L1079" s="15"/>
      <c r="M1079" s="15"/>
      <c r="N1079" s="15"/>
      <c r="O1079" s="24"/>
      <c r="P1079" s="17"/>
      <c r="Q1079" s="16"/>
      <c r="R1079" s="19"/>
      <c r="S1079" s="20"/>
    </row>
    <row r="1080" spans="1:19" x14ac:dyDescent="0.25">
      <c r="A1080" t="str">
        <f>(COUNTIF($K$2:K1080,K1080))&amp;K1080</f>
        <v>0</v>
      </c>
      <c r="B1080" s="34"/>
      <c r="C1080" s="13"/>
      <c r="D1080" s="14"/>
      <c r="E1080" s="16"/>
      <c r="F1080" s="17"/>
      <c r="G1080" s="24"/>
      <c r="H1080" s="15"/>
      <c r="I1080" s="15"/>
      <c r="J1080" s="15"/>
      <c r="K1080" s="18"/>
      <c r="L1080" s="15"/>
      <c r="M1080" s="15"/>
      <c r="N1080" s="15"/>
      <c r="O1080" s="24"/>
      <c r="P1080" s="17"/>
      <c r="Q1080" s="16"/>
      <c r="R1080" s="19"/>
      <c r="S1080" s="20"/>
    </row>
    <row r="1081" spans="1:19" ht="15.75" x14ac:dyDescent="0.25">
      <c r="A1081" t="str">
        <f>(COUNTIF($K$2:K1081,K1081))&amp;K1081</f>
        <v>0</v>
      </c>
      <c r="B1081" s="34"/>
      <c r="C1081" s="13"/>
      <c r="D1081" s="14"/>
      <c r="E1081" s="16"/>
      <c r="F1081" s="17"/>
      <c r="G1081" s="24"/>
      <c r="H1081" s="15"/>
      <c r="I1081" s="15"/>
      <c r="J1081" s="15"/>
      <c r="K1081" s="21"/>
      <c r="L1081" s="15"/>
      <c r="M1081" s="15"/>
      <c r="N1081" s="15"/>
      <c r="O1081" s="24"/>
      <c r="P1081" s="17"/>
      <c r="Q1081" s="16"/>
      <c r="R1081" s="19"/>
      <c r="S1081" s="20"/>
    </row>
    <row r="1082" spans="1:19" x14ac:dyDescent="0.25">
      <c r="A1082" t="str">
        <f>(COUNTIF($K$2:K1082,K1082))&amp;K1082</f>
        <v>0</v>
      </c>
      <c r="B1082" s="34"/>
      <c r="C1082" s="13"/>
      <c r="D1082" s="14"/>
      <c r="E1082" s="16"/>
      <c r="F1082" s="17"/>
      <c r="G1082" s="24"/>
      <c r="H1082" s="15"/>
      <c r="I1082" s="15"/>
      <c r="J1082" s="15"/>
      <c r="K1082" s="18"/>
      <c r="L1082" s="15"/>
      <c r="M1082" s="15"/>
      <c r="N1082" s="15"/>
      <c r="O1082" s="24"/>
      <c r="P1082" s="17"/>
      <c r="Q1082" s="16"/>
      <c r="R1082" s="19"/>
      <c r="S1082" s="20"/>
    </row>
    <row r="1083" spans="1:19" x14ac:dyDescent="0.25">
      <c r="A1083" t="str">
        <f>(COUNTIF($K$2:K1083,K1083))&amp;K1083</f>
        <v>0</v>
      </c>
      <c r="B1083" s="34"/>
      <c r="C1083" s="13"/>
      <c r="D1083" s="14"/>
      <c r="E1083" s="16"/>
      <c r="F1083" s="17"/>
      <c r="G1083" s="24"/>
      <c r="H1083" s="15"/>
      <c r="I1083" s="15"/>
      <c r="J1083" s="15"/>
      <c r="K1083" s="18"/>
      <c r="L1083" s="15"/>
      <c r="M1083" s="15"/>
      <c r="N1083" s="15"/>
      <c r="O1083" s="24"/>
      <c r="P1083" s="17"/>
      <c r="Q1083" s="16"/>
      <c r="R1083" s="19"/>
      <c r="S1083" s="20"/>
    </row>
    <row r="1084" spans="1:19" x14ac:dyDescent="0.25">
      <c r="A1084" t="str">
        <f>(COUNTIF($K$2:K1084,K1084))&amp;K1084</f>
        <v>0</v>
      </c>
      <c r="B1084" s="34"/>
      <c r="C1084" s="13"/>
      <c r="D1084" s="14"/>
      <c r="E1084" s="16"/>
      <c r="F1084" s="17"/>
      <c r="G1084" s="24"/>
      <c r="H1084" s="15"/>
      <c r="I1084" s="15"/>
      <c r="J1084" s="15"/>
      <c r="K1084" s="18"/>
      <c r="L1084" s="15"/>
      <c r="M1084" s="15"/>
      <c r="N1084" s="15"/>
      <c r="O1084" s="24"/>
      <c r="P1084" s="17"/>
      <c r="Q1084" s="16"/>
      <c r="R1084" s="19"/>
      <c r="S1084" s="20"/>
    </row>
    <row r="1085" spans="1:19" x14ac:dyDescent="0.25">
      <c r="A1085" t="str">
        <f>(COUNTIF($K$2:K1085,K1085))&amp;K1085</f>
        <v>0</v>
      </c>
      <c r="B1085" s="34"/>
      <c r="C1085" s="13"/>
      <c r="D1085" s="14"/>
      <c r="E1085" s="16"/>
      <c r="F1085" s="17"/>
      <c r="G1085" s="24"/>
      <c r="H1085" s="15"/>
      <c r="I1085" s="15"/>
      <c r="J1085" s="15"/>
      <c r="K1085" s="18"/>
      <c r="L1085" s="15"/>
      <c r="M1085" s="15"/>
      <c r="N1085" s="15"/>
      <c r="O1085" s="24"/>
      <c r="P1085" s="17"/>
      <c r="Q1085" s="16"/>
      <c r="R1085" s="19"/>
      <c r="S1085" s="20"/>
    </row>
    <row r="1086" spans="1:19" x14ac:dyDescent="0.25">
      <c r="A1086" t="str">
        <f>(COUNTIF($K$2:K1086,K1086))&amp;K1086</f>
        <v>0</v>
      </c>
      <c r="B1086" s="34"/>
      <c r="C1086" s="13"/>
      <c r="D1086" s="14"/>
      <c r="E1086" s="16"/>
      <c r="F1086" s="17"/>
      <c r="G1086" s="24"/>
      <c r="H1086" s="15"/>
      <c r="I1086" s="15"/>
      <c r="J1086" s="15"/>
      <c r="K1086" s="18"/>
      <c r="L1086" s="15"/>
      <c r="M1086" s="15"/>
      <c r="N1086" s="15"/>
      <c r="O1086" s="24"/>
      <c r="P1086" s="17"/>
      <c r="Q1086" s="16"/>
      <c r="R1086" s="19"/>
      <c r="S1086" s="20"/>
    </row>
    <row r="1087" spans="1:19" x14ac:dyDescent="0.25">
      <c r="A1087" t="str">
        <f>(COUNTIF($K$2:K1087,K1087))&amp;K1087</f>
        <v>0</v>
      </c>
      <c r="B1087" s="34"/>
      <c r="C1087" s="13"/>
      <c r="D1087" s="14"/>
      <c r="E1087" s="16"/>
      <c r="F1087" s="17"/>
      <c r="G1087" s="24"/>
      <c r="H1087" s="15"/>
      <c r="I1087" s="15"/>
      <c r="J1087" s="15"/>
      <c r="K1087" s="18"/>
      <c r="L1087" s="15"/>
      <c r="M1087" s="15"/>
      <c r="N1087" s="15"/>
      <c r="O1087" s="24"/>
      <c r="P1087" s="17"/>
      <c r="Q1087" s="16"/>
      <c r="R1087" s="19"/>
      <c r="S1087" s="20"/>
    </row>
    <row r="1088" spans="1:19" x14ac:dyDescent="0.25">
      <c r="A1088" t="str">
        <f>(COUNTIF($K$2:K1088,K1088))&amp;K1088</f>
        <v>0</v>
      </c>
      <c r="B1088" s="34"/>
      <c r="C1088" s="13"/>
      <c r="D1088" s="14"/>
      <c r="E1088" s="16"/>
      <c r="F1088" s="17"/>
      <c r="G1088" s="24"/>
      <c r="H1088" s="15"/>
      <c r="I1088" s="15"/>
      <c r="J1088" s="15"/>
      <c r="K1088" s="18"/>
      <c r="L1088" s="15"/>
      <c r="M1088" s="15"/>
      <c r="N1088" s="15"/>
      <c r="O1088" s="24"/>
      <c r="P1088" s="17"/>
      <c r="Q1088" s="16"/>
      <c r="R1088" s="19"/>
      <c r="S1088" s="20"/>
    </row>
    <row r="1089" spans="1:19" x14ac:dyDescent="0.25">
      <c r="A1089" t="str">
        <f>(COUNTIF($K$2:K1089,K1089))&amp;K1089</f>
        <v>0</v>
      </c>
      <c r="B1089" s="34"/>
      <c r="C1089" s="41"/>
      <c r="E1089" s="33"/>
      <c r="F1089" s="39"/>
      <c r="G1089" s="40"/>
      <c r="H1089" s="38"/>
      <c r="I1089" s="38"/>
      <c r="J1089" s="38"/>
      <c r="K1089" s="52"/>
      <c r="L1089" s="38"/>
      <c r="M1089" s="38"/>
      <c r="N1089" s="38"/>
      <c r="P1089" s="40"/>
      <c r="Q1089" s="33"/>
      <c r="R1089" s="38"/>
      <c r="S1089" s="38"/>
    </row>
    <row r="1090" spans="1:19" x14ac:dyDescent="0.25">
      <c r="A1090" t="str">
        <f>(COUNTIF($K$2:K1090,K1090))&amp;K1090</f>
        <v>0</v>
      </c>
      <c r="B1090" s="34"/>
      <c r="C1090" s="13"/>
      <c r="D1090" s="14"/>
      <c r="E1090" s="16"/>
      <c r="F1090" s="17"/>
      <c r="G1090" s="24"/>
      <c r="H1090" s="15"/>
      <c r="I1090" s="15"/>
      <c r="J1090" s="15"/>
      <c r="K1090" s="18"/>
      <c r="L1090" s="15"/>
      <c r="M1090" s="15"/>
      <c r="N1090" s="15"/>
      <c r="O1090" s="24"/>
      <c r="P1090" s="17"/>
      <c r="Q1090" s="16"/>
      <c r="R1090" s="19"/>
      <c r="S1090" s="20"/>
    </row>
    <row r="1091" spans="1:19" x14ac:dyDescent="0.25">
      <c r="A1091" t="str">
        <f>(COUNTIF($K$2:K1091,K1091))&amp;K1091</f>
        <v>0</v>
      </c>
      <c r="B1091" s="34"/>
      <c r="C1091" s="13"/>
      <c r="D1091" s="14"/>
      <c r="E1091" s="16"/>
      <c r="F1091" s="17"/>
      <c r="G1091" s="24"/>
      <c r="H1091" s="15"/>
      <c r="I1091" s="15"/>
      <c r="J1091" s="15"/>
      <c r="K1091" s="18"/>
      <c r="L1091" s="15"/>
      <c r="M1091" s="15"/>
      <c r="N1091" s="15"/>
      <c r="O1091" s="24"/>
      <c r="P1091" s="17"/>
      <c r="Q1091" s="16"/>
      <c r="R1091" s="19"/>
      <c r="S1091" s="20"/>
    </row>
    <row r="1092" spans="1:19" x14ac:dyDescent="0.25">
      <c r="A1092" t="str">
        <f>(COUNTIF($K$2:K1092,K1092))&amp;K1092</f>
        <v>0</v>
      </c>
      <c r="B1092" s="34"/>
      <c r="C1092" s="13"/>
      <c r="D1092" s="14"/>
      <c r="E1092" s="16"/>
      <c r="F1092" s="17"/>
      <c r="G1092" s="24"/>
      <c r="H1092" s="15"/>
      <c r="I1092" s="15"/>
      <c r="J1092" s="15"/>
      <c r="K1092" s="18"/>
      <c r="L1092" s="15"/>
      <c r="M1092" s="15"/>
      <c r="N1092" s="15"/>
      <c r="O1092" s="24"/>
      <c r="P1092" s="17"/>
      <c r="Q1092" s="16"/>
      <c r="R1092" s="19"/>
      <c r="S1092" s="20"/>
    </row>
    <row r="1093" spans="1:19" x14ac:dyDescent="0.25">
      <c r="A1093" t="str">
        <f>(COUNTIF($K$2:K1093,K1093))&amp;K1093</f>
        <v>0</v>
      </c>
      <c r="B1093" s="34"/>
      <c r="C1093" s="13"/>
      <c r="D1093" s="14"/>
      <c r="E1093" s="16"/>
      <c r="F1093" s="17"/>
      <c r="G1093" s="24"/>
      <c r="H1093" s="15"/>
      <c r="I1093" s="15"/>
      <c r="J1093" s="15"/>
      <c r="K1093" s="18"/>
      <c r="L1093" s="15"/>
      <c r="M1093" s="15"/>
      <c r="N1093" s="15"/>
      <c r="O1093" s="24"/>
      <c r="P1093" s="17"/>
      <c r="Q1093" s="16"/>
      <c r="R1093" s="19"/>
      <c r="S1093" s="20"/>
    </row>
    <row r="1094" spans="1:19" x14ac:dyDescent="0.25">
      <c r="A1094" t="str">
        <f>(COUNTIF($K$2:K1094,K1094))&amp;K1094</f>
        <v>0</v>
      </c>
      <c r="B1094" s="34"/>
      <c r="C1094" s="13"/>
      <c r="D1094" s="14"/>
      <c r="E1094" s="16"/>
      <c r="F1094" s="17"/>
      <c r="G1094" s="24"/>
      <c r="H1094" s="15"/>
      <c r="I1094" s="15"/>
      <c r="J1094" s="15"/>
      <c r="K1094" s="18"/>
      <c r="L1094" s="15"/>
      <c r="M1094" s="15"/>
      <c r="N1094" s="15"/>
      <c r="O1094" s="24"/>
      <c r="P1094" s="17"/>
      <c r="Q1094" s="16"/>
      <c r="R1094" s="19"/>
      <c r="S1094" s="20"/>
    </row>
    <row r="1095" spans="1:19" x14ac:dyDescent="0.25">
      <c r="A1095" t="str">
        <f>(COUNTIF($K$2:K1095,K1095))&amp;K1095</f>
        <v>0</v>
      </c>
      <c r="B1095" s="34"/>
      <c r="C1095" s="13"/>
      <c r="D1095" s="14"/>
      <c r="E1095" s="16"/>
      <c r="F1095" s="17"/>
      <c r="G1095" s="24"/>
      <c r="H1095" s="15"/>
      <c r="I1095" s="15"/>
      <c r="J1095" s="15"/>
      <c r="K1095" s="18"/>
      <c r="L1095" s="15"/>
      <c r="M1095" s="15"/>
      <c r="N1095" s="15"/>
      <c r="O1095" s="24"/>
      <c r="P1095" s="17"/>
      <c r="Q1095" s="16"/>
      <c r="R1095" s="19"/>
      <c r="S1095" s="20"/>
    </row>
    <row r="1096" spans="1:19" x14ac:dyDescent="0.25">
      <c r="A1096" t="str">
        <f>(COUNTIF($K$2:K1096,K1096))&amp;K1096</f>
        <v>0</v>
      </c>
      <c r="B1096" s="34"/>
      <c r="C1096" s="13"/>
      <c r="D1096" s="14"/>
      <c r="E1096" s="16"/>
      <c r="F1096" s="17"/>
      <c r="G1096" s="24"/>
      <c r="H1096" s="15"/>
      <c r="I1096" s="15"/>
      <c r="J1096" s="15"/>
      <c r="K1096" s="18"/>
      <c r="L1096" s="15"/>
      <c r="M1096" s="15"/>
      <c r="N1096" s="15"/>
      <c r="O1096" s="24"/>
      <c r="P1096" s="17"/>
      <c r="Q1096" s="16"/>
      <c r="R1096" s="19"/>
      <c r="S1096" s="20"/>
    </row>
    <row r="1097" spans="1:19" x14ac:dyDescent="0.25">
      <c r="A1097" t="str">
        <f>(COUNTIF($K$2:K1097,K1097))&amp;K1097</f>
        <v>0</v>
      </c>
      <c r="B1097" s="34"/>
      <c r="C1097" s="13"/>
      <c r="D1097" s="14"/>
      <c r="E1097" s="16"/>
      <c r="F1097" s="17"/>
      <c r="G1097" s="24"/>
      <c r="H1097" s="15"/>
      <c r="I1097" s="15"/>
      <c r="J1097" s="15"/>
      <c r="K1097" s="18"/>
      <c r="L1097" s="15"/>
      <c r="M1097" s="15"/>
      <c r="N1097" s="15"/>
      <c r="O1097" s="24"/>
      <c r="P1097" s="17"/>
      <c r="Q1097" s="16"/>
      <c r="R1097" s="19"/>
      <c r="S1097" s="20"/>
    </row>
    <row r="1098" spans="1:19" ht="15.75" x14ac:dyDescent="0.25">
      <c r="A1098" t="str">
        <f>(COUNTIF($K$2:K1098,K1098))&amp;K1098</f>
        <v>0</v>
      </c>
      <c r="B1098" s="34"/>
      <c r="C1098" s="13"/>
      <c r="D1098" s="14"/>
      <c r="E1098" s="16"/>
      <c r="F1098" s="17"/>
      <c r="G1098" s="24"/>
      <c r="H1098" s="15"/>
      <c r="I1098" s="15"/>
      <c r="J1098" s="15"/>
      <c r="K1098" s="21"/>
      <c r="L1098" s="15"/>
      <c r="M1098" s="15"/>
      <c r="N1098" s="15"/>
      <c r="O1098" s="24"/>
      <c r="P1098" s="17"/>
      <c r="Q1098" s="16"/>
      <c r="R1098" s="19"/>
      <c r="S1098" s="20"/>
    </row>
    <row r="1099" spans="1:19" x14ac:dyDescent="0.25">
      <c r="A1099" t="str">
        <f>(COUNTIF($K$2:K1099,K1099))&amp;K1099</f>
        <v>0</v>
      </c>
      <c r="B1099" s="34"/>
      <c r="C1099" s="13"/>
      <c r="D1099" s="14"/>
      <c r="E1099" s="16"/>
      <c r="F1099" s="17"/>
      <c r="G1099" s="24"/>
      <c r="H1099" s="15"/>
      <c r="I1099" s="15"/>
      <c r="J1099" s="15"/>
      <c r="K1099" s="18"/>
      <c r="L1099" s="15"/>
      <c r="M1099" s="15"/>
      <c r="N1099" s="15"/>
      <c r="O1099" s="24"/>
      <c r="P1099" s="17"/>
      <c r="Q1099" s="16"/>
      <c r="R1099" s="19"/>
      <c r="S1099" s="20"/>
    </row>
    <row r="1100" spans="1:19" x14ac:dyDescent="0.25">
      <c r="A1100" t="str">
        <f>(COUNTIF($K$2:K1100,K1100))&amp;K1100</f>
        <v>0</v>
      </c>
      <c r="B1100" s="34"/>
      <c r="C1100" s="13"/>
      <c r="D1100" s="14"/>
      <c r="E1100" s="16"/>
      <c r="F1100" s="17"/>
      <c r="G1100" s="24"/>
      <c r="H1100" s="15"/>
      <c r="I1100" s="15"/>
      <c r="J1100" s="15"/>
      <c r="K1100" s="18"/>
      <c r="L1100" s="15"/>
      <c r="M1100" s="15"/>
      <c r="N1100" s="15"/>
      <c r="O1100" s="24"/>
      <c r="P1100" s="17"/>
      <c r="Q1100" s="16"/>
      <c r="R1100" s="19"/>
      <c r="S1100" s="20"/>
    </row>
    <row r="1101" spans="1:19" x14ac:dyDescent="0.25">
      <c r="A1101" t="str">
        <f>(COUNTIF($K$2:K1101,K1101))&amp;K1101</f>
        <v>0</v>
      </c>
      <c r="B1101" s="34"/>
      <c r="C1101" s="13"/>
      <c r="D1101" s="14"/>
      <c r="E1101" s="16"/>
      <c r="F1101" s="17"/>
      <c r="G1101" s="24"/>
      <c r="H1101" s="15"/>
      <c r="I1101" s="15"/>
      <c r="J1101" s="15"/>
      <c r="K1101" s="18"/>
      <c r="L1101" s="15"/>
      <c r="M1101" s="15"/>
      <c r="N1101" s="15"/>
      <c r="O1101" s="24"/>
      <c r="P1101" s="17"/>
      <c r="Q1101" s="16"/>
      <c r="R1101" s="19"/>
      <c r="S1101" s="20"/>
    </row>
    <row r="1102" spans="1:19" x14ac:dyDescent="0.25">
      <c r="A1102" t="str">
        <f>(COUNTIF($K$2:K1102,K1102))&amp;K1102</f>
        <v>0</v>
      </c>
      <c r="B1102" s="34"/>
      <c r="C1102" s="13"/>
      <c r="D1102" s="14"/>
      <c r="E1102" s="16"/>
      <c r="F1102" s="17"/>
      <c r="G1102" s="24"/>
      <c r="H1102" s="15"/>
      <c r="I1102" s="15"/>
      <c r="J1102" s="15"/>
      <c r="K1102" s="18"/>
      <c r="L1102" s="15"/>
      <c r="M1102" s="15"/>
      <c r="N1102" s="15"/>
      <c r="O1102" s="24"/>
      <c r="P1102" s="17"/>
      <c r="Q1102" s="16"/>
      <c r="R1102" s="19"/>
      <c r="S1102" s="20"/>
    </row>
    <row r="1103" spans="1:19" x14ac:dyDescent="0.25">
      <c r="A1103" t="str">
        <f>(COUNTIF($K$2:K1103,K1103))&amp;K1103</f>
        <v>0</v>
      </c>
      <c r="B1103" s="34"/>
      <c r="C1103" s="13"/>
      <c r="D1103" s="14"/>
      <c r="E1103" s="16"/>
      <c r="F1103" s="17"/>
      <c r="G1103" s="24"/>
      <c r="H1103" s="15"/>
      <c r="I1103" s="15"/>
      <c r="J1103" s="15"/>
      <c r="K1103" s="18"/>
      <c r="L1103" s="15"/>
      <c r="M1103" s="15"/>
      <c r="N1103" s="15"/>
      <c r="O1103" s="24"/>
      <c r="P1103" s="17"/>
      <c r="Q1103" s="16"/>
      <c r="R1103" s="19"/>
      <c r="S1103" s="20"/>
    </row>
    <row r="1104" spans="1:19" x14ac:dyDescent="0.25">
      <c r="A1104" t="str">
        <f>(COUNTIF($K$2:K1104,K1104))&amp;K1104</f>
        <v>0</v>
      </c>
      <c r="B1104" s="34"/>
      <c r="C1104" s="13"/>
      <c r="D1104" s="14"/>
      <c r="E1104" s="16"/>
      <c r="F1104" s="17"/>
      <c r="G1104" s="24"/>
      <c r="H1104" s="15"/>
      <c r="I1104" s="15"/>
      <c r="J1104" s="15"/>
      <c r="K1104" s="18"/>
      <c r="L1104" s="15"/>
      <c r="M1104" s="15"/>
      <c r="N1104" s="15"/>
      <c r="O1104" s="24"/>
      <c r="P1104" s="17"/>
      <c r="Q1104" s="16"/>
      <c r="R1104" s="19"/>
      <c r="S1104" s="20"/>
    </row>
    <row r="1105" spans="1:19" x14ac:dyDescent="0.25">
      <c r="A1105" t="str">
        <f>(COUNTIF($K$2:K1105,K1105))&amp;K1105</f>
        <v>0</v>
      </c>
      <c r="B1105" s="34"/>
      <c r="C1105" s="13"/>
      <c r="D1105" s="14"/>
      <c r="E1105" s="16"/>
      <c r="F1105" s="17"/>
      <c r="G1105" s="24"/>
      <c r="H1105" s="15"/>
      <c r="I1105" s="15"/>
      <c r="J1105" s="15"/>
      <c r="K1105" s="18"/>
      <c r="L1105" s="15"/>
      <c r="M1105" s="15"/>
      <c r="N1105" s="15"/>
      <c r="O1105" s="24"/>
      <c r="P1105" s="17"/>
      <c r="Q1105" s="16"/>
      <c r="R1105" s="19"/>
      <c r="S1105" s="20"/>
    </row>
    <row r="1106" spans="1:19" x14ac:dyDescent="0.25">
      <c r="A1106" t="str">
        <f>(COUNTIF($K$2:K1106,K1106))&amp;K1106</f>
        <v>0</v>
      </c>
      <c r="B1106" s="34"/>
      <c r="C1106" s="41"/>
      <c r="E1106" s="33"/>
      <c r="F1106" s="39"/>
      <c r="G1106" s="40"/>
      <c r="H1106" s="38"/>
      <c r="I1106" s="38"/>
      <c r="J1106" s="38"/>
      <c r="K1106" s="52"/>
      <c r="L1106" s="38"/>
      <c r="M1106" s="38"/>
      <c r="N1106" s="38"/>
      <c r="P1106" s="40"/>
      <c r="Q1106" s="33"/>
      <c r="R1106" s="38"/>
      <c r="S1106" s="38"/>
    </row>
    <row r="1107" spans="1:19" x14ac:dyDescent="0.25">
      <c r="A1107" t="str">
        <f>(COUNTIF($K$2:K1107,K1107))&amp;K1107</f>
        <v>0</v>
      </c>
      <c r="B1107" s="34"/>
      <c r="C1107" s="13"/>
      <c r="D1107" s="14"/>
      <c r="E1107" s="16"/>
      <c r="F1107" s="17"/>
      <c r="G1107" s="24"/>
      <c r="H1107" s="15"/>
      <c r="I1107" s="15"/>
      <c r="J1107" s="15"/>
      <c r="K1107" s="18"/>
      <c r="L1107" s="15"/>
      <c r="M1107" s="15"/>
      <c r="N1107" s="15"/>
      <c r="O1107" s="24"/>
      <c r="P1107" s="17"/>
      <c r="Q1107" s="16"/>
      <c r="R1107" s="19"/>
      <c r="S1107" s="20"/>
    </row>
    <row r="1108" spans="1:19" x14ac:dyDescent="0.25">
      <c r="A1108" t="str">
        <f>(COUNTIF($K$2:K1108,K1108))&amp;K1108</f>
        <v>0</v>
      </c>
      <c r="B1108" s="34"/>
      <c r="C1108" s="13"/>
      <c r="D1108" s="14"/>
      <c r="E1108" s="16"/>
      <c r="F1108" s="17"/>
      <c r="G1108" s="24"/>
      <c r="H1108" s="15"/>
      <c r="I1108" s="15"/>
      <c r="J1108" s="15"/>
      <c r="K1108" s="18"/>
      <c r="L1108" s="15"/>
      <c r="M1108" s="15"/>
      <c r="N1108" s="15"/>
      <c r="O1108" s="24"/>
      <c r="P1108" s="17"/>
      <c r="Q1108" s="16"/>
      <c r="R1108" s="19"/>
      <c r="S1108" s="20"/>
    </row>
    <row r="1109" spans="1:19" x14ac:dyDescent="0.25">
      <c r="A1109" t="str">
        <f>(COUNTIF($K$2:K1109,K1109))&amp;K1109</f>
        <v>0</v>
      </c>
      <c r="B1109" s="34"/>
      <c r="C1109" s="13"/>
      <c r="D1109" s="14"/>
      <c r="E1109" s="16"/>
      <c r="F1109" s="17"/>
      <c r="G1109" s="24"/>
      <c r="H1109" s="15"/>
      <c r="I1109" s="15"/>
      <c r="J1109" s="15"/>
      <c r="K1109" s="18"/>
      <c r="L1109" s="15"/>
      <c r="M1109" s="15"/>
      <c r="N1109" s="15"/>
      <c r="O1109" s="24"/>
      <c r="P1109" s="17"/>
      <c r="Q1109" s="16"/>
      <c r="R1109" s="19"/>
      <c r="S1109" s="20"/>
    </row>
    <row r="1110" spans="1:19" x14ac:dyDescent="0.25">
      <c r="A1110" t="str">
        <f>(COUNTIF($K$2:K1110,K1110))&amp;K1110</f>
        <v>0</v>
      </c>
      <c r="B1110" s="34"/>
      <c r="C1110" s="13"/>
      <c r="D1110" s="14"/>
      <c r="E1110" s="16"/>
      <c r="F1110" s="17"/>
      <c r="G1110" s="24"/>
      <c r="H1110" s="15"/>
      <c r="I1110" s="15"/>
      <c r="J1110" s="15"/>
      <c r="K1110" s="18"/>
      <c r="L1110" s="15"/>
      <c r="M1110" s="15"/>
      <c r="N1110" s="15"/>
      <c r="O1110" s="24"/>
      <c r="P1110" s="17"/>
      <c r="Q1110" s="16"/>
      <c r="R1110" s="19"/>
      <c r="S1110" s="20"/>
    </row>
    <row r="1111" spans="1:19" x14ac:dyDescent="0.25">
      <c r="A1111" t="str">
        <f>(COUNTIF($K$2:K1111,K1111))&amp;K1111</f>
        <v>0</v>
      </c>
      <c r="B1111" s="34"/>
      <c r="C1111" s="13"/>
      <c r="D1111" s="14"/>
      <c r="E1111" s="16"/>
      <c r="F1111" s="17"/>
      <c r="G1111" s="24"/>
      <c r="H1111" s="15"/>
      <c r="I1111" s="15"/>
      <c r="J1111" s="15"/>
      <c r="K1111" s="18"/>
      <c r="L1111" s="15"/>
      <c r="M1111" s="15"/>
      <c r="N1111" s="15"/>
      <c r="O1111" s="24"/>
      <c r="P1111" s="17"/>
      <c r="Q1111" s="16"/>
      <c r="R1111" s="19"/>
      <c r="S1111" s="20"/>
    </row>
    <row r="1112" spans="1:19" x14ac:dyDescent="0.25">
      <c r="A1112" t="str">
        <f>(COUNTIF($K$2:K1112,K1112))&amp;K1112</f>
        <v>0</v>
      </c>
      <c r="B1112" s="34"/>
      <c r="C1112" s="13"/>
      <c r="D1112" s="14"/>
      <c r="E1112" s="16"/>
      <c r="F1112" s="17"/>
      <c r="G1112" s="24"/>
      <c r="H1112" s="15"/>
      <c r="I1112" s="15"/>
      <c r="J1112" s="15"/>
      <c r="K1112" s="18"/>
      <c r="L1112" s="15"/>
      <c r="M1112" s="15"/>
      <c r="N1112" s="15"/>
      <c r="O1112" s="24"/>
      <c r="P1112" s="17"/>
      <c r="Q1112" s="16"/>
      <c r="R1112" s="19"/>
      <c r="S1112" s="20"/>
    </row>
    <row r="1113" spans="1:19" x14ac:dyDescent="0.25">
      <c r="A1113" t="str">
        <f>(COUNTIF($K$2:K1113,K1113))&amp;K1113</f>
        <v>0</v>
      </c>
      <c r="B1113" s="34"/>
      <c r="C1113" s="13"/>
      <c r="D1113" s="14"/>
      <c r="E1113" s="16"/>
      <c r="F1113" s="17"/>
      <c r="G1113" s="24"/>
      <c r="H1113" s="15"/>
      <c r="I1113" s="15"/>
      <c r="J1113" s="15"/>
      <c r="K1113" s="18"/>
      <c r="L1113" s="15"/>
      <c r="M1113" s="15"/>
      <c r="N1113" s="15"/>
      <c r="O1113" s="24"/>
      <c r="P1113" s="17"/>
      <c r="Q1113" s="16"/>
      <c r="R1113" s="19"/>
      <c r="S1113" s="20"/>
    </row>
    <row r="1114" spans="1:19" x14ac:dyDescent="0.25">
      <c r="A1114" t="str">
        <f>(COUNTIF($K$2:K1114,K1114))&amp;K1114</f>
        <v>0</v>
      </c>
      <c r="B1114" s="34"/>
      <c r="C1114" s="13"/>
      <c r="D1114" s="14"/>
      <c r="E1114" s="16"/>
      <c r="F1114" s="17"/>
      <c r="G1114" s="24"/>
      <c r="H1114" s="15"/>
      <c r="I1114" s="15"/>
      <c r="J1114" s="15"/>
      <c r="K1114" s="18"/>
      <c r="L1114" s="15"/>
      <c r="M1114" s="15"/>
      <c r="N1114" s="15"/>
      <c r="O1114" s="24"/>
      <c r="P1114" s="17"/>
      <c r="Q1114" s="16"/>
      <c r="R1114" s="19"/>
      <c r="S1114" s="20"/>
    </row>
    <row r="1115" spans="1:19" ht="15.75" x14ac:dyDescent="0.25">
      <c r="A1115" t="str">
        <f>(COUNTIF($K$2:K1115,K1115))&amp;K1115</f>
        <v>0</v>
      </c>
      <c r="B1115" s="34"/>
      <c r="C1115" s="13"/>
      <c r="D1115" s="14"/>
      <c r="E1115" s="16"/>
      <c r="F1115" s="17"/>
      <c r="G1115" s="24"/>
      <c r="H1115" s="15"/>
      <c r="I1115" s="15"/>
      <c r="J1115" s="15"/>
      <c r="K1115" s="21"/>
      <c r="L1115" s="15"/>
      <c r="M1115" s="15"/>
      <c r="N1115" s="15"/>
      <c r="O1115" s="24"/>
      <c r="P1115" s="17"/>
      <c r="Q1115" s="16"/>
      <c r="R1115" s="19"/>
      <c r="S1115" s="20"/>
    </row>
    <row r="1116" spans="1:19" x14ac:dyDescent="0.25">
      <c r="A1116" t="str">
        <f>(COUNTIF($K$2:K1116,K1116))&amp;K1116</f>
        <v>0</v>
      </c>
      <c r="B1116" s="34"/>
      <c r="C1116" s="13"/>
      <c r="D1116" s="14"/>
      <c r="E1116" s="16"/>
      <c r="F1116" s="17"/>
      <c r="G1116" s="24"/>
      <c r="H1116" s="15"/>
      <c r="I1116" s="15"/>
      <c r="J1116" s="15"/>
      <c r="K1116" s="18"/>
      <c r="L1116" s="15"/>
      <c r="M1116" s="15"/>
      <c r="N1116" s="15"/>
      <c r="O1116" s="24"/>
      <c r="P1116" s="17"/>
      <c r="Q1116" s="16"/>
      <c r="R1116" s="19"/>
      <c r="S1116" s="20"/>
    </row>
    <row r="1117" spans="1:19" x14ac:dyDescent="0.25">
      <c r="A1117" t="str">
        <f>(COUNTIF($K$2:K1117,K1117))&amp;K1117</f>
        <v>0</v>
      </c>
      <c r="B1117" s="34"/>
      <c r="C1117" s="13"/>
      <c r="D1117" s="14"/>
      <c r="E1117" s="16"/>
      <c r="F1117" s="17"/>
      <c r="G1117" s="24"/>
      <c r="H1117" s="15"/>
      <c r="I1117" s="15"/>
      <c r="J1117" s="15"/>
      <c r="K1117" s="18"/>
      <c r="L1117" s="15"/>
      <c r="M1117" s="15"/>
      <c r="N1117" s="15"/>
      <c r="O1117" s="24"/>
      <c r="P1117" s="17"/>
      <c r="Q1117" s="16"/>
      <c r="R1117" s="19"/>
      <c r="S1117" s="20"/>
    </row>
    <row r="1118" spans="1:19" x14ac:dyDescent="0.25">
      <c r="A1118" t="str">
        <f>(COUNTIF($K$2:K1118,K1118))&amp;K1118</f>
        <v>0</v>
      </c>
      <c r="B1118" s="34"/>
      <c r="C1118" s="13"/>
      <c r="D1118" s="14"/>
      <c r="E1118" s="16"/>
      <c r="F1118" s="17"/>
      <c r="G1118" s="24"/>
      <c r="H1118" s="15"/>
      <c r="I1118" s="15"/>
      <c r="J1118" s="15"/>
      <c r="K1118" s="18"/>
      <c r="L1118" s="15"/>
      <c r="M1118" s="15"/>
      <c r="N1118" s="15"/>
      <c r="O1118" s="24"/>
      <c r="P1118" s="17"/>
      <c r="Q1118" s="16"/>
      <c r="R1118" s="19"/>
      <c r="S1118" s="20"/>
    </row>
    <row r="1119" spans="1:19" x14ac:dyDescent="0.25">
      <c r="A1119" t="str">
        <f>(COUNTIF($K$2:K1119,K1119))&amp;K1119</f>
        <v>0</v>
      </c>
      <c r="B1119" s="34"/>
      <c r="C1119" s="13"/>
      <c r="D1119" s="14"/>
      <c r="E1119" s="16"/>
      <c r="F1119" s="17"/>
      <c r="G1119" s="24"/>
      <c r="H1119" s="15"/>
      <c r="I1119" s="15"/>
      <c r="J1119" s="15"/>
      <c r="K1119" s="18"/>
      <c r="L1119" s="15"/>
      <c r="M1119" s="15"/>
      <c r="N1119" s="15"/>
      <c r="O1119" s="24"/>
      <c r="P1119" s="17"/>
      <c r="Q1119" s="16"/>
      <c r="R1119" s="19"/>
      <c r="S1119" s="20"/>
    </row>
    <row r="1120" spans="1:19" x14ac:dyDescent="0.25">
      <c r="A1120" t="str">
        <f>(COUNTIF($K$2:K1120,K1120))&amp;K1120</f>
        <v>0</v>
      </c>
      <c r="B1120" s="34"/>
      <c r="C1120" s="13"/>
      <c r="D1120" s="14"/>
      <c r="E1120" s="16"/>
      <c r="F1120" s="17"/>
      <c r="G1120" s="24"/>
      <c r="H1120" s="15"/>
      <c r="I1120" s="15"/>
      <c r="J1120" s="15"/>
      <c r="K1120" s="18"/>
      <c r="L1120" s="15"/>
      <c r="M1120" s="15"/>
      <c r="N1120" s="15"/>
      <c r="O1120" s="24"/>
      <c r="P1120" s="17"/>
      <c r="Q1120" s="16"/>
      <c r="R1120" s="19"/>
      <c r="S1120" s="20"/>
    </row>
    <row r="1121" spans="1:19" x14ac:dyDescent="0.25">
      <c r="A1121" t="str">
        <f>(COUNTIF($K$2:K1121,K1121))&amp;K1121</f>
        <v>0</v>
      </c>
      <c r="B1121" s="34"/>
      <c r="C1121" s="13"/>
      <c r="D1121" s="14"/>
      <c r="E1121" s="16"/>
      <c r="F1121" s="17"/>
      <c r="G1121" s="24"/>
      <c r="H1121" s="15"/>
      <c r="I1121" s="15"/>
      <c r="J1121" s="15"/>
      <c r="K1121" s="18"/>
      <c r="L1121" s="15"/>
      <c r="M1121" s="15"/>
      <c r="N1121" s="15"/>
      <c r="O1121" s="24"/>
      <c r="P1121" s="17"/>
      <c r="Q1121" s="16"/>
      <c r="R1121" s="19"/>
      <c r="S1121" s="20"/>
    </row>
    <row r="1122" spans="1:19" x14ac:dyDescent="0.25">
      <c r="A1122" t="str">
        <f>(COUNTIF($K$2:K1122,K1122))&amp;K1122</f>
        <v>0</v>
      </c>
      <c r="B1122" s="34"/>
      <c r="C1122" s="13"/>
      <c r="D1122" s="14"/>
      <c r="E1122" s="16"/>
      <c r="F1122" s="17"/>
      <c r="G1122" s="24"/>
      <c r="H1122" s="15"/>
      <c r="I1122" s="15"/>
      <c r="J1122" s="15"/>
      <c r="K1122" s="18"/>
      <c r="L1122" s="15"/>
      <c r="M1122" s="15"/>
      <c r="N1122" s="15"/>
      <c r="O1122" s="24"/>
      <c r="P1122" s="17"/>
      <c r="Q1122" s="16"/>
      <c r="R1122" s="19"/>
      <c r="S1122" s="20"/>
    </row>
    <row r="1123" spans="1:19" x14ac:dyDescent="0.25">
      <c r="A1123" t="str">
        <f>(COUNTIF($K$2:K1123,K1123))&amp;K1123</f>
        <v>0</v>
      </c>
      <c r="B1123" s="34"/>
      <c r="C1123" s="41"/>
      <c r="E1123" s="33"/>
      <c r="F1123" s="39"/>
      <c r="G1123" s="40"/>
      <c r="H1123" s="38"/>
      <c r="I1123" s="38"/>
      <c r="J1123" s="38"/>
      <c r="K1123" s="52"/>
      <c r="L1123" s="38"/>
      <c r="M1123" s="38"/>
      <c r="N1123" s="38"/>
      <c r="P1123" s="40"/>
      <c r="Q1123" s="33"/>
      <c r="R1123" s="38"/>
      <c r="S1123" s="38"/>
    </row>
    <row r="1124" spans="1:19" x14ac:dyDescent="0.25">
      <c r="A1124" t="str">
        <f>(COUNTIF($K$2:K1124,K1124))&amp;K1124</f>
        <v>0</v>
      </c>
      <c r="B1124" s="34"/>
      <c r="C1124" s="13"/>
      <c r="D1124" s="14"/>
      <c r="E1124" s="16"/>
      <c r="F1124" s="17"/>
      <c r="G1124" s="24"/>
      <c r="H1124" s="15"/>
      <c r="I1124" s="15"/>
      <c r="J1124" s="15"/>
      <c r="K1124" s="18"/>
      <c r="L1124" s="15"/>
      <c r="M1124" s="15"/>
      <c r="N1124" s="15"/>
      <c r="O1124" s="24"/>
      <c r="P1124" s="17"/>
      <c r="Q1124" s="16"/>
      <c r="R1124" s="19"/>
      <c r="S1124" s="20"/>
    </row>
    <row r="1125" spans="1:19" x14ac:dyDescent="0.25">
      <c r="A1125" t="str">
        <f>(COUNTIF($K$2:K1125,K1125))&amp;K1125</f>
        <v>0</v>
      </c>
      <c r="B1125" s="34"/>
      <c r="C1125" s="13"/>
      <c r="D1125" s="14"/>
      <c r="E1125" s="16"/>
      <c r="F1125" s="17"/>
      <c r="G1125" s="24"/>
      <c r="H1125" s="15"/>
      <c r="I1125" s="15"/>
      <c r="J1125" s="15"/>
      <c r="K1125" s="18"/>
      <c r="L1125" s="15"/>
      <c r="M1125" s="15"/>
      <c r="N1125" s="15"/>
      <c r="O1125" s="24"/>
      <c r="P1125" s="17"/>
      <c r="Q1125" s="16"/>
      <c r="R1125" s="19"/>
      <c r="S1125" s="20"/>
    </row>
    <row r="1126" spans="1:19" x14ac:dyDescent="0.25">
      <c r="A1126" t="str">
        <f>(COUNTIF($K$2:K1126,K1126))&amp;K1126</f>
        <v>0</v>
      </c>
      <c r="B1126" s="34"/>
      <c r="C1126" s="13"/>
      <c r="D1126" s="14"/>
      <c r="E1126" s="16"/>
      <c r="F1126" s="17"/>
      <c r="G1126" s="24"/>
      <c r="H1126" s="15"/>
      <c r="I1126" s="15"/>
      <c r="J1126" s="15"/>
      <c r="K1126" s="18"/>
      <c r="L1126" s="15"/>
      <c r="M1126" s="15"/>
      <c r="N1126" s="15"/>
      <c r="O1126" s="24"/>
      <c r="P1126" s="17"/>
      <c r="Q1126" s="16"/>
      <c r="R1126" s="19"/>
      <c r="S1126" s="20"/>
    </row>
    <row r="1127" spans="1:19" x14ac:dyDescent="0.25">
      <c r="A1127" t="str">
        <f>(COUNTIF($K$2:K1127,K1127))&amp;K1127</f>
        <v>0</v>
      </c>
      <c r="B1127" s="34"/>
      <c r="C1127" s="13"/>
      <c r="D1127" s="14"/>
      <c r="E1127" s="16"/>
      <c r="F1127" s="17"/>
      <c r="G1127" s="24"/>
      <c r="H1127" s="15"/>
      <c r="I1127" s="15"/>
      <c r="J1127" s="15"/>
      <c r="K1127" s="18"/>
      <c r="L1127" s="15"/>
      <c r="M1127" s="15"/>
      <c r="N1127" s="15"/>
      <c r="O1127" s="24"/>
      <c r="P1127" s="17"/>
      <c r="Q1127" s="16"/>
      <c r="R1127" s="19"/>
      <c r="S1127" s="20"/>
    </row>
    <row r="1128" spans="1:19" x14ac:dyDescent="0.25">
      <c r="A1128" t="str">
        <f>(COUNTIF($K$2:K1128,K1128))&amp;K1128</f>
        <v>0</v>
      </c>
      <c r="B1128" s="34"/>
      <c r="C1128" s="13"/>
      <c r="D1128" s="14"/>
      <c r="E1128" s="16"/>
      <c r="F1128" s="17"/>
      <c r="G1128" s="24"/>
      <c r="H1128" s="15"/>
      <c r="I1128" s="15"/>
      <c r="J1128" s="15"/>
      <c r="K1128" s="18"/>
      <c r="L1128" s="15"/>
      <c r="M1128" s="15"/>
      <c r="N1128" s="15"/>
      <c r="O1128" s="24"/>
      <c r="P1128" s="17"/>
      <c r="Q1128" s="16"/>
      <c r="R1128" s="19"/>
      <c r="S1128" s="20"/>
    </row>
    <row r="1129" spans="1:19" x14ac:dyDescent="0.25">
      <c r="A1129" t="str">
        <f>(COUNTIF($K$2:K1129,K1129))&amp;K1129</f>
        <v>0</v>
      </c>
      <c r="B1129" s="34"/>
      <c r="C1129" s="13"/>
      <c r="D1129" s="14"/>
      <c r="E1129" s="16"/>
      <c r="F1129" s="17"/>
      <c r="G1129" s="24"/>
      <c r="H1129" s="15"/>
      <c r="I1129" s="15"/>
      <c r="J1129" s="15"/>
      <c r="K1129" s="18"/>
      <c r="L1129" s="15"/>
      <c r="M1129" s="15"/>
      <c r="N1129" s="15"/>
      <c r="O1129" s="24"/>
      <c r="P1129" s="17"/>
      <c r="Q1129" s="16"/>
      <c r="R1129" s="19"/>
      <c r="S1129" s="20"/>
    </row>
    <row r="1130" spans="1:19" x14ac:dyDescent="0.25">
      <c r="A1130" t="str">
        <f>(COUNTIF($K$2:K1130,K1130))&amp;K1130</f>
        <v>0</v>
      </c>
      <c r="B1130" s="34"/>
      <c r="C1130" s="13"/>
      <c r="D1130" s="14"/>
      <c r="E1130" s="16"/>
      <c r="F1130" s="17"/>
      <c r="G1130" s="24"/>
      <c r="H1130" s="15"/>
      <c r="I1130" s="15"/>
      <c r="J1130" s="15"/>
      <c r="K1130" s="18"/>
      <c r="L1130" s="15"/>
      <c r="M1130" s="15"/>
      <c r="N1130" s="15"/>
      <c r="O1130" s="24"/>
      <c r="P1130" s="17"/>
      <c r="Q1130" s="16"/>
      <c r="R1130" s="19"/>
      <c r="S1130" s="20"/>
    </row>
    <row r="1131" spans="1:19" x14ac:dyDescent="0.25">
      <c r="A1131" t="str">
        <f>(COUNTIF($K$2:K1131,K1131))&amp;K1131</f>
        <v>0</v>
      </c>
      <c r="B1131" s="34"/>
      <c r="C1131" s="13"/>
      <c r="D1131" s="14"/>
      <c r="E1131" s="16"/>
      <c r="F1131" s="17"/>
      <c r="G1131" s="24"/>
      <c r="H1131" s="15"/>
      <c r="I1131" s="15"/>
      <c r="J1131" s="15"/>
      <c r="K1131" s="18"/>
      <c r="L1131" s="15"/>
      <c r="M1131" s="15"/>
      <c r="N1131" s="15"/>
      <c r="O1131" s="24"/>
      <c r="P1131" s="17"/>
      <c r="Q1131" s="16"/>
      <c r="R1131" s="19"/>
      <c r="S1131" s="20"/>
    </row>
    <row r="1132" spans="1:19" ht="15.75" x14ac:dyDescent="0.25">
      <c r="A1132" t="str">
        <f>(COUNTIF($K$2:K1132,K1132))&amp;K1132</f>
        <v>0</v>
      </c>
      <c r="B1132" s="34"/>
      <c r="C1132" s="13"/>
      <c r="D1132" s="14"/>
      <c r="E1132" s="16"/>
      <c r="F1132" s="17"/>
      <c r="G1132" s="24"/>
      <c r="H1132" s="15"/>
      <c r="I1132" s="15"/>
      <c r="J1132" s="15"/>
      <c r="K1132" s="21"/>
      <c r="L1132" s="15"/>
      <c r="M1132" s="15"/>
      <c r="N1132" s="15"/>
      <c r="O1132" s="24"/>
      <c r="P1132" s="17"/>
      <c r="Q1132" s="16"/>
      <c r="R1132" s="19"/>
      <c r="S1132" s="20"/>
    </row>
    <row r="1133" spans="1:19" x14ac:dyDescent="0.25">
      <c r="A1133" t="str">
        <f>(COUNTIF($K$2:K1133,K1133))&amp;K1133</f>
        <v>0</v>
      </c>
      <c r="B1133" s="34"/>
      <c r="C1133" s="13"/>
      <c r="D1133" s="14"/>
      <c r="E1133" s="16"/>
      <c r="F1133" s="17"/>
      <c r="G1133" s="24"/>
      <c r="H1133" s="15"/>
      <c r="I1133" s="15"/>
      <c r="J1133" s="15"/>
      <c r="K1133" s="18"/>
      <c r="L1133" s="15"/>
      <c r="M1133" s="15"/>
      <c r="N1133" s="15"/>
      <c r="O1133" s="24"/>
      <c r="P1133" s="17"/>
      <c r="Q1133" s="16"/>
      <c r="R1133" s="19"/>
      <c r="S1133" s="20"/>
    </row>
    <row r="1134" spans="1:19" x14ac:dyDescent="0.25">
      <c r="A1134" t="str">
        <f>(COUNTIF($K$2:K1134,K1134))&amp;K1134</f>
        <v>0</v>
      </c>
      <c r="B1134" s="34"/>
      <c r="C1134" s="13"/>
      <c r="D1134" s="14"/>
      <c r="E1134" s="16"/>
      <c r="F1134" s="17"/>
      <c r="G1134" s="24"/>
      <c r="H1134" s="15"/>
      <c r="I1134" s="15"/>
      <c r="J1134" s="15"/>
      <c r="K1134" s="18"/>
      <c r="L1134" s="15"/>
      <c r="M1134" s="15"/>
      <c r="N1134" s="15"/>
      <c r="O1134" s="24"/>
      <c r="P1134" s="17"/>
      <c r="Q1134" s="16"/>
      <c r="R1134" s="19"/>
      <c r="S1134" s="20"/>
    </row>
    <row r="1135" spans="1:19" x14ac:dyDescent="0.25">
      <c r="A1135" t="str">
        <f>(COUNTIF($K$2:K1135,K1135))&amp;K1135</f>
        <v>0</v>
      </c>
      <c r="B1135" s="34"/>
      <c r="C1135" s="13"/>
      <c r="D1135" s="14"/>
      <c r="E1135" s="16"/>
      <c r="F1135" s="17"/>
      <c r="G1135" s="24"/>
      <c r="H1135" s="15"/>
      <c r="I1135" s="15"/>
      <c r="J1135" s="15"/>
      <c r="K1135" s="18"/>
      <c r="L1135" s="15"/>
      <c r="M1135" s="15"/>
      <c r="N1135" s="15"/>
      <c r="O1135" s="24"/>
      <c r="P1135" s="17"/>
      <c r="Q1135" s="16"/>
      <c r="R1135" s="19"/>
      <c r="S1135" s="20"/>
    </row>
    <row r="1136" spans="1:19" x14ac:dyDescent="0.25">
      <c r="A1136" t="str">
        <f>(COUNTIF($K$2:K1136,K1136))&amp;K1136</f>
        <v>0</v>
      </c>
      <c r="B1136" s="34"/>
      <c r="C1136" s="13"/>
      <c r="D1136" s="14"/>
      <c r="E1136" s="16"/>
      <c r="F1136" s="17"/>
      <c r="G1136" s="24"/>
      <c r="H1136" s="15"/>
      <c r="I1136" s="15"/>
      <c r="J1136" s="15"/>
      <c r="K1136" s="18"/>
      <c r="L1136" s="15"/>
      <c r="M1136" s="15"/>
      <c r="N1136" s="15"/>
      <c r="O1136" s="24"/>
      <c r="P1136" s="17"/>
      <c r="Q1136" s="16"/>
      <c r="R1136" s="19"/>
      <c r="S1136" s="20"/>
    </row>
    <row r="1137" spans="1:19" x14ac:dyDescent="0.25">
      <c r="A1137" t="str">
        <f>(COUNTIF($K$2:K1137,K1137))&amp;K1137</f>
        <v>0</v>
      </c>
      <c r="B1137" s="34"/>
      <c r="C1137" s="13"/>
      <c r="D1137" s="14"/>
      <c r="E1137" s="16"/>
      <c r="F1137" s="17"/>
      <c r="G1137" s="24"/>
      <c r="H1137" s="15"/>
      <c r="I1137" s="15"/>
      <c r="J1137" s="15"/>
      <c r="K1137" s="18"/>
      <c r="L1137" s="15"/>
      <c r="M1137" s="15"/>
      <c r="N1137" s="15"/>
      <c r="O1137" s="24"/>
      <c r="P1137" s="17"/>
      <c r="Q1137" s="16"/>
      <c r="R1137" s="19"/>
      <c r="S1137" s="20"/>
    </row>
    <row r="1138" spans="1:19" x14ac:dyDescent="0.25">
      <c r="A1138" t="str">
        <f>(COUNTIF($K$2:K1138,K1138))&amp;K1138</f>
        <v>0</v>
      </c>
      <c r="B1138" s="34"/>
      <c r="C1138" s="13"/>
      <c r="D1138" s="14"/>
      <c r="E1138" s="16"/>
      <c r="F1138" s="17"/>
      <c r="G1138" s="24"/>
      <c r="H1138" s="15"/>
      <c r="I1138" s="15"/>
      <c r="J1138" s="15"/>
      <c r="K1138" s="18"/>
      <c r="L1138" s="15"/>
      <c r="M1138" s="15"/>
      <c r="N1138" s="15"/>
      <c r="O1138" s="24"/>
      <c r="P1138" s="17"/>
      <c r="Q1138" s="16"/>
      <c r="R1138" s="19"/>
      <c r="S1138" s="20"/>
    </row>
    <row r="1139" spans="1:19" x14ac:dyDescent="0.25">
      <c r="A1139" t="str">
        <f>(COUNTIF($K$2:K1139,K1139))&amp;K1139</f>
        <v>0</v>
      </c>
      <c r="B1139" s="34"/>
      <c r="C1139" s="13"/>
      <c r="D1139" s="14"/>
      <c r="E1139" s="16"/>
      <c r="F1139" s="17"/>
      <c r="G1139" s="24"/>
      <c r="H1139" s="15"/>
      <c r="I1139" s="15"/>
      <c r="J1139" s="15"/>
      <c r="K1139" s="18"/>
      <c r="L1139" s="15"/>
      <c r="M1139" s="15"/>
      <c r="N1139" s="15"/>
      <c r="O1139" s="24"/>
      <c r="P1139" s="17"/>
      <c r="Q1139" s="16"/>
      <c r="R1139" s="19"/>
      <c r="S1139" s="20"/>
    </row>
    <row r="1140" spans="1:19" x14ac:dyDescent="0.25">
      <c r="A1140" t="str">
        <f>(COUNTIF($K$2:K1140,K1140))&amp;K1140</f>
        <v>0</v>
      </c>
      <c r="B1140" s="34"/>
      <c r="C1140" s="41"/>
      <c r="E1140" s="33"/>
      <c r="F1140" s="39"/>
      <c r="G1140" s="40"/>
      <c r="H1140" s="38"/>
      <c r="I1140" s="38"/>
      <c r="J1140" s="38"/>
      <c r="K1140" s="52"/>
      <c r="L1140" s="38"/>
      <c r="M1140" s="38"/>
      <c r="N1140" s="38"/>
      <c r="P1140" s="40"/>
      <c r="Q1140" s="33"/>
      <c r="R1140" s="38"/>
      <c r="S1140" s="38"/>
    </row>
    <row r="1141" spans="1:19" x14ac:dyDescent="0.25">
      <c r="A1141" t="str">
        <f>(COUNTIF($K$2:K1141,K1141))&amp;K1141</f>
        <v>0</v>
      </c>
      <c r="B1141" s="34"/>
      <c r="C1141" s="13"/>
      <c r="D1141" s="14"/>
      <c r="E1141" s="16"/>
      <c r="F1141" s="17"/>
      <c r="G1141" s="24"/>
      <c r="H1141" s="15"/>
      <c r="I1141" s="15"/>
      <c r="J1141" s="15"/>
      <c r="K1141" s="18"/>
      <c r="L1141" s="15"/>
      <c r="M1141" s="15"/>
      <c r="N1141" s="15"/>
      <c r="O1141" s="24"/>
      <c r="P1141" s="17"/>
      <c r="Q1141" s="16"/>
      <c r="R1141" s="19"/>
      <c r="S1141" s="20"/>
    </row>
    <row r="1142" spans="1:19" x14ac:dyDescent="0.25">
      <c r="A1142" t="str">
        <f>(COUNTIF($K$2:K1142,K1142))&amp;K1142</f>
        <v>0</v>
      </c>
      <c r="B1142" s="34"/>
      <c r="C1142" s="13"/>
      <c r="D1142" s="14"/>
      <c r="E1142" s="16"/>
      <c r="F1142" s="17"/>
      <c r="G1142" s="24"/>
      <c r="H1142" s="15"/>
      <c r="I1142" s="15"/>
      <c r="J1142" s="15"/>
      <c r="K1142" s="18"/>
      <c r="L1142" s="15"/>
      <c r="M1142" s="15"/>
      <c r="N1142" s="15"/>
      <c r="O1142" s="24"/>
      <c r="P1142" s="17"/>
      <c r="Q1142" s="16"/>
      <c r="R1142" s="19"/>
      <c r="S1142" s="20"/>
    </row>
    <row r="1143" spans="1:19" x14ac:dyDescent="0.25">
      <c r="A1143" t="str">
        <f>(COUNTIF($K$2:K1143,K1143))&amp;K1143</f>
        <v>0</v>
      </c>
      <c r="B1143" s="34"/>
      <c r="C1143" s="13"/>
      <c r="D1143" s="14"/>
      <c r="E1143" s="16"/>
      <c r="F1143" s="17"/>
      <c r="G1143" s="24"/>
      <c r="H1143" s="15"/>
      <c r="I1143" s="15"/>
      <c r="J1143" s="15"/>
      <c r="K1143" s="18"/>
      <c r="L1143" s="15"/>
      <c r="M1143" s="15"/>
      <c r="N1143" s="15"/>
      <c r="O1143" s="24"/>
      <c r="P1143" s="17"/>
      <c r="Q1143" s="16"/>
      <c r="R1143" s="19"/>
      <c r="S1143" s="20"/>
    </row>
    <row r="1144" spans="1:19" x14ac:dyDescent="0.25">
      <c r="A1144" t="str">
        <f>(COUNTIF($K$2:K1144,K1144))&amp;K1144</f>
        <v>0</v>
      </c>
      <c r="B1144" s="34"/>
      <c r="C1144" s="13"/>
      <c r="D1144" s="14"/>
      <c r="E1144" s="16"/>
      <c r="F1144" s="17"/>
      <c r="G1144" s="24"/>
      <c r="H1144" s="15"/>
      <c r="I1144" s="15"/>
      <c r="J1144" s="15"/>
      <c r="K1144" s="18"/>
      <c r="L1144" s="15"/>
      <c r="M1144" s="15"/>
      <c r="N1144" s="15"/>
      <c r="O1144" s="24"/>
      <c r="P1144" s="17"/>
      <c r="Q1144" s="16"/>
      <c r="R1144" s="19"/>
      <c r="S1144" s="20"/>
    </row>
    <row r="1145" spans="1:19" x14ac:dyDescent="0.25">
      <c r="A1145" t="str">
        <f>(COUNTIF($K$2:K1145,K1145))&amp;K1145</f>
        <v>0</v>
      </c>
      <c r="B1145" s="34"/>
      <c r="C1145" s="13"/>
      <c r="D1145" s="14"/>
      <c r="E1145" s="16"/>
      <c r="F1145" s="17"/>
      <c r="G1145" s="24"/>
      <c r="H1145" s="15"/>
      <c r="I1145" s="15"/>
      <c r="J1145" s="15"/>
      <c r="K1145" s="18"/>
      <c r="L1145" s="15"/>
      <c r="M1145" s="15"/>
      <c r="N1145" s="15"/>
      <c r="O1145" s="24"/>
      <c r="P1145" s="17"/>
      <c r="Q1145" s="16"/>
      <c r="R1145" s="19"/>
      <c r="S1145" s="20"/>
    </row>
    <row r="1146" spans="1:19" x14ac:dyDescent="0.25">
      <c r="A1146" t="str">
        <f>(COUNTIF($K$2:K1146,K1146))&amp;K1146</f>
        <v>0</v>
      </c>
      <c r="B1146" s="34"/>
      <c r="C1146" s="13"/>
      <c r="D1146" s="14"/>
      <c r="E1146" s="16"/>
      <c r="F1146" s="17"/>
      <c r="G1146" s="24"/>
      <c r="H1146" s="15"/>
      <c r="I1146" s="15"/>
      <c r="J1146" s="15"/>
      <c r="K1146" s="18"/>
      <c r="L1146" s="15"/>
      <c r="M1146" s="15"/>
      <c r="N1146" s="15"/>
      <c r="O1146" s="24"/>
      <c r="P1146" s="17"/>
      <c r="Q1146" s="16"/>
      <c r="R1146" s="19"/>
      <c r="S1146" s="20"/>
    </row>
    <row r="1147" spans="1:19" x14ac:dyDescent="0.25">
      <c r="A1147" t="str">
        <f>(COUNTIF($K$2:K1147,K1147))&amp;K1147</f>
        <v>0</v>
      </c>
      <c r="B1147" s="34"/>
      <c r="C1147" s="13"/>
      <c r="D1147" s="14"/>
      <c r="E1147" s="16"/>
      <c r="F1147" s="17"/>
      <c r="G1147" s="24"/>
      <c r="H1147" s="15"/>
      <c r="I1147" s="15"/>
      <c r="J1147" s="15"/>
      <c r="K1147" s="18"/>
      <c r="L1147" s="15"/>
      <c r="M1147" s="15"/>
      <c r="N1147" s="15"/>
      <c r="O1147" s="24"/>
      <c r="P1147" s="17"/>
      <c r="Q1147" s="16"/>
      <c r="R1147" s="19"/>
      <c r="S1147" s="20"/>
    </row>
    <row r="1148" spans="1:19" x14ac:dyDescent="0.25">
      <c r="A1148" t="str">
        <f>(COUNTIF($K$2:K1148,K1148))&amp;K1148</f>
        <v>0</v>
      </c>
      <c r="B1148" s="34"/>
      <c r="C1148" s="13"/>
      <c r="D1148" s="14"/>
      <c r="E1148" s="16"/>
      <c r="F1148" s="17"/>
      <c r="G1148" s="24"/>
      <c r="H1148" s="15"/>
      <c r="I1148" s="15"/>
      <c r="J1148" s="15"/>
      <c r="K1148" s="18"/>
      <c r="L1148" s="15"/>
      <c r="M1148" s="15"/>
      <c r="N1148" s="15"/>
      <c r="O1148" s="24"/>
      <c r="P1148" s="17"/>
      <c r="Q1148" s="16"/>
      <c r="R1148" s="19"/>
      <c r="S1148" s="20"/>
    </row>
    <row r="1149" spans="1:19" ht="15.75" x14ac:dyDescent="0.25">
      <c r="A1149" t="str">
        <f>(COUNTIF($K$2:K1149,K1149))&amp;K1149</f>
        <v>0</v>
      </c>
      <c r="B1149" s="34"/>
      <c r="C1149" s="13"/>
      <c r="D1149" s="14"/>
      <c r="E1149" s="16"/>
      <c r="F1149" s="17"/>
      <c r="G1149" s="24"/>
      <c r="H1149" s="15"/>
      <c r="I1149" s="15"/>
      <c r="J1149" s="15"/>
      <c r="K1149" s="21"/>
      <c r="L1149" s="15"/>
      <c r="M1149" s="15"/>
      <c r="N1149" s="15"/>
      <c r="O1149" s="24"/>
      <c r="P1149" s="17"/>
      <c r="Q1149" s="16"/>
      <c r="R1149" s="19"/>
      <c r="S1149" s="20"/>
    </row>
    <row r="1150" spans="1:19" x14ac:dyDescent="0.25">
      <c r="A1150" t="str">
        <f>(COUNTIF($K$2:K1150,K1150))&amp;K1150</f>
        <v>0</v>
      </c>
      <c r="B1150" s="34"/>
      <c r="C1150" s="13"/>
      <c r="D1150" s="14"/>
      <c r="E1150" s="16"/>
      <c r="F1150" s="17"/>
      <c r="G1150" s="24"/>
      <c r="H1150" s="15"/>
      <c r="I1150" s="15"/>
      <c r="J1150" s="15"/>
      <c r="K1150" s="18"/>
      <c r="L1150" s="15"/>
      <c r="M1150" s="15"/>
      <c r="N1150" s="15"/>
      <c r="O1150" s="24"/>
      <c r="P1150" s="17"/>
      <c r="Q1150" s="16"/>
      <c r="R1150" s="19"/>
      <c r="S1150" s="20"/>
    </row>
    <row r="1151" spans="1:19" x14ac:dyDescent="0.25">
      <c r="A1151" t="str">
        <f>(COUNTIF($K$2:K1151,K1151))&amp;K1151</f>
        <v>0</v>
      </c>
      <c r="B1151" s="34"/>
      <c r="C1151" s="13"/>
      <c r="D1151" s="14"/>
      <c r="E1151" s="16"/>
      <c r="F1151" s="17"/>
      <c r="G1151" s="24"/>
      <c r="H1151" s="15"/>
      <c r="I1151" s="15"/>
      <c r="J1151" s="15"/>
      <c r="K1151" s="18"/>
      <c r="L1151" s="15"/>
      <c r="M1151" s="15"/>
      <c r="N1151" s="15"/>
      <c r="O1151" s="24"/>
      <c r="P1151" s="17"/>
      <c r="Q1151" s="16"/>
      <c r="R1151" s="19"/>
      <c r="S1151" s="20"/>
    </row>
    <row r="1152" spans="1:19" x14ac:dyDescent="0.25">
      <c r="A1152" t="str">
        <f>(COUNTIF($K$2:K1152,K1152))&amp;K1152</f>
        <v>0</v>
      </c>
      <c r="B1152" s="34"/>
      <c r="C1152" s="13"/>
      <c r="D1152" s="14"/>
      <c r="E1152" s="16"/>
      <c r="F1152" s="17"/>
      <c r="G1152" s="24"/>
      <c r="H1152" s="15"/>
      <c r="I1152" s="15"/>
      <c r="J1152" s="15"/>
      <c r="K1152" s="18"/>
      <c r="L1152" s="15"/>
      <c r="M1152" s="15"/>
      <c r="N1152" s="15"/>
      <c r="O1152" s="24"/>
      <c r="P1152" s="17"/>
      <c r="Q1152" s="16"/>
      <c r="R1152" s="19"/>
      <c r="S1152" s="20"/>
    </row>
    <row r="1153" spans="1:19" x14ac:dyDescent="0.25">
      <c r="A1153" t="str">
        <f>(COUNTIF($K$2:K1153,K1153))&amp;K1153</f>
        <v>0</v>
      </c>
      <c r="B1153" s="34"/>
      <c r="C1153" s="13"/>
      <c r="D1153" s="14"/>
      <c r="E1153" s="16"/>
      <c r="F1153" s="17"/>
      <c r="G1153" s="24"/>
      <c r="H1153" s="15"/>
      <c r="I1153" s="15"/>
      <c r="J1153" s="15"/>
      <c r="K1153" s="18"/>
      <c r="L1153" s="15"/>
      <c r="M1153" s="15"/>
      <c r="N1153" s="15"/>
      <c r="O1153" s="24"/>
      <c r="P1153" s="17"/>
      <c r="Q1153" s="16"/>
      <c r="R1153" s="19"/>
      <c r="S1153" s="20"/>
    </row>
    <row r="1154" spans="1:19" x14ac:dyDescent="0.25">
      <c r="A1154" t="str">
        <f>(COUNTIF($K$2:K1154,K1154))&amp;K1154</f>
        <v>0</v>
      </c>
      <c r="B1154" s="34"/>
      <c r="C1154" s="13"/>
      <c r="D1154" s="14"/>
      <c r="E1154" s="16"/>
      <c r="F1154" s="17"/>
      <c r="G1154" s="24"/>
      <c r="H1154" s="15"/>
      <c r="I1154" s="15"/>
      <c r="J1154" s="15"/>
      <c r="K1154" s="18"/>
      <c r="L1154" s="15"/>
      <c r="M1154" s="15"/>
      <c r="N1154" s="15"/>
      <c r="O1154" s="24"/>
      <c r="P1154" s="17"/>
      <c r="Q1154" s="16"/>
      <c r="R1154" s="19"/>
      <c r="S1154" s="20"/>
    </row>
    <row r="1155" spans="1:19" x14ac:dyDescent="0.25">
      <c r="A1155" t="str">
        <f>(COUNTIF($K$2:K1155,K1155))&amp;K1155</f>
        <v>0</v>
      </c>
      <c r="B1155" s="34"/>
      <c r="C1155" s="13"/>
      <c r="D1155" s="14"/>
      <c r="E1155" s="16"/>
      <c r="F1155" s="17"/>
      <c r="G1155" s="24"/>
      <c r="H1155" s="15"/>
      <c r="I1155" s="15"/>
      <c r="J1155" s="15"/>
      <c r="K1155" s="18"/>
      <c r="L1155" s="15"/>
      <c r="M1155" s="15"/>
      <c r="N1155" s="15"/>
      <c r="O1155" s="24"/>
      <c r="P1155" s="17"/>
      <c r="Q1155" s="16"/>
      <c r="R1155" s="19"/>
      <c r="S1155" s="20"/>
    </row>
    <row r="1156" spans="1:19" x14ac:dyDescent="0.25">
      <c r="A1156" t="str">
        <f>(COUNTIF($K$2:K1156,K1156))&amp;K1156</f>
        <v>0</v>
      </c>
      <c r="B1156" s="34"/>
      <c r="C1156" s="13"/>
      <c r="D1156" s="14"/>
      <c r="E1156" s="16"/>
      <c r="F1156" s="17"/>
      <c r="G1156" s="24"/>
      <c r="H1156" s="15"/>
      <c r="I1156" s="15"/>
      <c r="J1156" s="15"/>
      <c r="K1156" s="18"/>
      <c r="L1156" s="15"/>
      <c r="M1156" s="15"/>
      <c r="N1156" s="15"/>
      <c r="O1156" s="24"/>
      <c r="P1156" s="17"/>
      <c r="Q1156" s="16"/>
      <c r="R1156" s="19"/>
      <c r="S1156" s="20"/>
    </row>
    <row r="1157" spans="1:19" x14ac:dyDescent="0.25">
      <c r="A1157" t="str">
        <f>(COUNTIF($K$2:K1157,K1157))&amp;K1157</f>
        <v>0</v>
      </c>
      <c r="B1157" s="34"/>
      <c r="C1157" s="41"/>
      <c r="E1157" s="33"/>
      <c r="F1157" s="39"/>
      <c r="G1157" s="40"/>
      <c r="H1157" s="38"/>
      <c r="I1157" s="38"/>
      <c r="J1157" s="38"/>
      <c r="K1157" s="52"/>
      <c r="L1157" s="38"/>
      <c r="M1157" s="38"/>
      <c r="N1157" s="38"/>
      <c r="P1157" s="40"/>
      <c r="Q1157" s="33"/>
      <c r="R1157" s="38"/>
      <c r="S1157" s="38"/>
    </row>
    <row r="1158" spans="1:19" x14ac:dyDescent="0.25">
      <c r="A1158" t="str">
        <f>(COUNTIF($K$2:K1158,K1158))&amp;K1158</f>
        <v>0</v>
      </c>
      <c r="B1158" s="34"/>
      <c r="C1158" s="13"/>
      <c r="D1158" s="14"/>
      <c r="E1158" s="16"/>
      <c r="F1158" s="17"/>
      <c r="G1158" s="24"/>
      <c r="H1158" s="15"/>
      <c r="I1158" s="15"/>
      <c r="J1158" s="15"/>
      <c r="K1158" s="18"/>
      <c r="L1158" s="15"/>
      <c r="M1158" s="15"/>
      <c r="N1158" s="15"/>
      <c r="O1158" s="24"/>
      <c r="P1158" s="17"/>
      <c r="Q1158" s="16"/>
      <c r="R1158" s="19"/>
      <c r="S1158" s="20"/>
    </row>
    <row r="1159" spans="1:19" x14ac:dyDescent="0.25">
      <c r="A1159" t="str">
        <f>(COUNTIF($K$2:K1159,K1159))&amp;K1159</f>
        <v>0</v>
      </c>
      <c r="B1159" s="34"/>
      <c r="C1159" s="13"/>
      <c r="D1159" s="14"/>
      <c r="E1159" s="16"/>
      <c r="F1159" s="17"/>
      <c r="G1159" s="24"/>
      <c r="H1159" s="15"/>
      <c r="I1159" s="15"/>
      <c r="J1159" s="15"/>
      <c r="K1159" s="18"/>
      <c r="L1159" s="15"/>
      <c r="M1159" s="15"/>
      <c r="N1159" s="15"/>
      <c r="O1159" s="24"/>
      <c r="P1159" s="17"/>
      <c r="Q1159" s="16"/>
      <c r="R1159" s="19"/>
      <c r="S1159" s="20"/>
    </row>
    <row r="1160" spans="1:19" x14ac:dyDescent="0.25">
      <c r="A1160" t="str">
        <f>(COUNTIF($K$2:K1160,K1160))&amp;K1160</f>
        <v>0</v>
      </c>
      <c r="B1160" s="34"/>
      <c r="C1160" s="13"/>
      <c r="D1160" s="14"/>
      <c r="E1160" s="16"/>
      <c r="F1160" s="17"/>
      <c r="G1160" s="24"/>
      <c r="H1160" s="15"/>
      <c r="I1160" s="15"/>
      <c r="J1160" s="15"/>
      <c r="K1160" s="18"/>
      <c r="L1160" s="15"/>
      <c r="M1160" s="15"/>
      <c r="N1160" s="15"/>
      <c r="O1160" s="24"/>
      <c r="P1160" s="17"/>
      <c r="Q1160" s="16"/>
      <c r="R1160" s="19"/>
      <c r="S1160" s="20"/>
    </row>
    <row r="1161" spans="1:19" x14ac:dyDescent="0.25">
      <c r="A1161" t="str">
        <f>(COUNTIF($K$2:K1161,K1161))&amp;K1161</f>
        <v>0</v>
      </c>
      <c r="B1161" s="34"/>
      <c r="C1161" s="13"/>
      <c r="D1161" s="14"/>
      <c r="E1161" s="16"/>
      <c r="F1161" s="17"/>
      <c r="G1161" s="24"/>
      <c r="H1161" s="15"/>
      <c r="I1161" s="15"/>
      <c r="J1161" s="15"/>
      <c r="K1161" s="18"/>
      <c r="L1161" s="15"/>
      <c r="M1161" s="15"/>
      <c r="N1161" s="15"/>
      <c r="O1161" s="24"/>
      <c r="P1161" s="17"/>
      <c r="Q1161" s="16"/>
      <c r="R1161" s="19"/>
      <c r="S1161" s="20"/>
    </row>
    <row r="1162" spans="1:19" x14ac:dyDescent="0.25">
      <c r="A1162" t="str">
        <f>(COUNTIF($K$2:K1162,K1162))&amp;K1162</f>
        <v>0</v>
      </c>
      <c r="B1162" s="34"/>
      <c r="C1162" s="13"/>
      <c r="D1162" s="14"/>
      <c r="E1162" s="16"/>
      <c r="F1162" s="17"/>
      <c r="G1162" s="24"/>
      <c r="H1162" s="15"/>
      <c r="I1162" s="15"/>
      <c r="J1162" s="15"/>
      <c r="K1162" s="18"/>
      <c r="L1162" s="15"/>
      <c r="M1162" s="15"/>
      <c r="N1162" s="15"/>
      <c r="O1162" s="24"/>
      <c r="P1162" s="17"/>
      <c r="Q1162" s="16"/>
      <c r="R1162" s="19"/>
      <c r="S1162" s="20"/>
    </row>
    <row r="1163" spans="1:19" x14ac:dyDescent="0.25">
      <c r="A1163" t="str">
        <f>(COUNTIF($K$2:K1163,K1163))&amp;K1163</f>
        <v>0</v>
      </c>
      <c r="B1163" s="34"/>
      <c r="C1163" s="13"/>
      <c r="D1163" s="14"/>
      <c r="E1163" s="16"/>
      <c r="F1163" s="17"/>
      <c r="G1163" s="24"/>
      <c r="H1163" s="15"/>
      <c r="I1163" s="15"/>
      <c r="J1163" s="15"/>
      <c r="K1163" s="18"/>
      <c r="L1163" s="15"/>
      <c r="M1163" s="15"/>
      <c r="N1163" s="15"/>
      <c r="O1163" s="24"/>
      <c r="P1163" s="17"/>
      <c r="Q1163" s="16"/>
      <c r="R1163" s="19"/>
      <c r="S1163" s="20"/>
    </row>
    <row r="1164" spans="1:19" x14ac:dyDescent="0.25">
      <c r="A1164" t="str">
        <f>(COUNTIF($K$2:K1164,K1164))&amp;K1164</f>
        <v>0</v>
      </c>
      <c r="B1164" s="34"/>
      <c r="C1164" s="13"/>
      <c r="D1164" s="14"/>
      <c r="E1164" s="16"/>
      <c r="F1164" s="17"/>
      <c r="G1164" s="24"/>
      <c r="H1164" s="15"/>
      <c r="I1164" s="15"/>
      <c r="J1164" s="15"/>
      <c r="K1164" s="18"/>
      <c r="L1164" s="15"/>
      <c r="M1164" s="15"/>
      <c r="N1164" s="15"/>
      <c r="O1164" s="24"/>
      <c r="P1164" s="17"/>
      <c r="Q1164" s="16"/>
      <c r="R1164" s="19"/>
      <c r="S1164" s="20"/>
    </row>
    <row r="1165" spans="1:19" x14ac:dyDescent="0.25">
      <c r="A1165" t="str">
        <f>(COUNTIF($K$2:K1165,K1165))&amp;K1165</f>
        <v>0</v>
      </c>
      <c r="B1165" s="34"/>
      <c r="C1165" s="13"/>
      <c r="D1165" s="14"/>
      <c r="E1165" s="16"/>
      <c r="F1165" s="17"/>
      <c r="G1165" s="24"/>
      <c r="H1165" s="15"/>
      <c r="I1165" s="15"/>
      <c r="J1165" s="15"/>
      <c r="K1165" s="18"/>
      <c r="L1165" s="15"/>
      <c r="M1165" s="15"/>
      <c r="N1165" s="15"/>
      <c r="O1165" s="24"/>
      <c r="P1165" s="17"/>
      <c r="Q1165" s="16"/>
      <c r="R1165" s="19"/>
      <c r="S1165" s="20"/>
    </row>
    <row r="1166" spans="1:19" ht="15.75" x14ac:dyDescent="0.25">
      <c r="A1166" t="str">
        <f>(COUNTIF($K$2:K1166,K1166))&amp;K1166</f>
        <v>0</v>
      </c>
      <c r="B1166" s="34"/>
      <c r="C1166" s="13"/>
      <c r="D1166" s="14"/>
      <c r="E1166" s="16"/>
      <c r="F1166" s="17"/>
      <c r="G1166" s="24"/>
      <c r="H1166" s="15"/>
      <c r="I1166" s="15"/>
      <c r="J1166" s="15"/>
      <c r="K1166" s="21"/>
      <c r="L1166" s="15"/>
      <c r="M1166" s="15"/>
      <c r="N1166" s="15"/>
      <c r="O1166" s="24"/>
      <c r="P1166" s="17"/>
      <c r="Q1166" s="16"/>
      <c r="R1166" s="19"/>
      <c r="S1166" s="20"/>
    </row>
    <row r="1167" spans="1:19" x14ac:dyDescent="0.25">
      <c r="A1167" t="str">
        <f>(COUNTIF($K$2:K1167,K1167))&amp;K1167</f>
        <v>0</v>
      </c>
      <c r="B1167" s="34"/>
      <c r="C1167" s="13"/>
      <c r="D1167" s="14"/>
      <c r="E1167" s="16"/>
      <c r="F1167" s="17"/>
      <c r="G1167" s="24"/>
      <c r="H1167" s="15"/>
      <c r="I1167" s="15"/>
      <c r="J1167" s="15"/>
      <c r="K1167" s="18"/>
      <c r="L1167" s="15"/>
      <c r="M1167" s="15"/>
      <c r="N1167" s="15"/>
      <c r="O1167" s="24"/>
      <c r="P1167" s="17"/>
      <c r="Q1167" s="16"/>
      <c r="R1167" s="19"/>
      <c r="S1167" s="20"/>
    </row>
    <row r="1168" spans="1:19" x14ac:dyDescent="0.25">
      <c r="A1168" t="str">
        <f>(COUNTIF($K$2:K1168,K1168))&amp;K1168</f>
        <v>0</v>
      </c>
      <c r="B1168" s="34"/>
      <c r="C1168" s="13"/>
      <c r="D1168" s="14"/>
      <c r="E1168" s="16"/>
      <c r="F1168" s="17"/>
      <c r="G1168" s="24"/>
      <c r="H1168" s="15"/>
      <c r="I1168" s="15"/>
      <c r="J1168" s="15"/>
      <c r="K1168" s="18"/>
      <c r="L1168" s="15"/>
      <c r="M1168" s="15"/>
      <c r="N1168" s="15"/>
      <c r="O1168" s="24"/>
      <c r="P1168" s="17"/>
      <c r="Q1168" s="16"/>
      <c r="R1168" s="19"/>
      <c r="S1168" s="20"/>
    </row>
    <row r="1169" spans="1:19" x14ac:dyDescent="0.25">
      <c r="A1169" t="str">
        <f>(COUNTIF($K$2:K1169,K1169))&amp;K1169</f>
        <v>0</v>
      </c>
      <c r="B1169" s="34"/>
      <c r="C1169" s="13"/>
      <c r="D1169" s="14"/>
      <c r="E1169" s="16"/>
      <c r="F1169" s="17"/>
      <c r="G1169" s="24"/>
      <c r="H1169" s="15"/>
      <c r="I1169" s="15"/>
      <c r="J1169" s="15"/>
      <c r="K1169" s="18"/>
      <c r="L1169" s="15"/>
      <c r="M1169" s="15"/>
      <c r="N1169" s="15"/>
      <c r="O1169" s="24"/>
      <c r="P1169" s="17"/>
      <c r="Q1169" s="16"/>
      <c r="R1169" s="19"/>
      <c r="S1169" s="20"/>
    </row>
    <row r="1170" spans="1:19" x14ac:dyDescent="0.25">
      <c r="A1170" t="str">
        <f>(COUNTIF($K$2:K1170,K1170))&amp;K1170</f>
        <v>0</v>
      </c>
      <c r="B1170" s="34"/>
      <c r="C1170" s="13"/>
      <c r="D1170" s="14"/>
      <c r="E1170" s="16"/>
      <c r="F1170" s="17"/>
      <c r="G1170" s="24"/>
      <c r="H1170" s="15"/>
      <c r="I1170" s="15"/>
      <c r="J1170" s="15"/>
      <c r="K1170" s="18"/>
      <c r="L1170" s="15"/>
      <c r="M1170" s="15"/>
      <c r="N1170" s="15"/>
      <c r="O1170" s="24"/>
      <c r="P1170" s="17"/>
      <c r="Q1170" s="16"/>
      <c r="R1170" s="19"/>
      <c r="S1170" s="20"/>
    </row>
    <row r="1171" spans="1:19" x14ac:dyDescent="0.25">
      <c r="A1171" t="str">
        <f>(COUNTIF($K$2:K1171,K1171))&amp;K1171</f>
        <v>0</v>
      </c>
      <c r="B1171" s="34"/>
      <c r="C1171" s="13"/>
      <c r="D1171" s="14"/>
      <c r="E1171" s="16"/>
      <c r="F1171" s="17"/>
      <c r="G1171" s="24"/>
      <c r="H1171" s="15"/>
      <c r="I1171" s="15"/>
      <c r="J1171" s="15"/>
      <c r="K1171" s="18"/>
      <c r="L1171" s="15"/>
      <c r="M1171" s="15"/>
      <c r="N1171" s="15"/>
      <c r="O1171" s="24"/>
      <c r="P1171" s="17"/>
      <c r="Q1171" s="16"/>
      <c r="R1171" s="19"/>
      <c r="S1171" s="20"/>
    </row>
    <row r="1172" spans="1:19" x14ac:dyDescent="0.25">
      <c r="A1172" t="str">
        <f>(COUNTIF($K$2:K1172,K1172))&amp;K1172</f>
        <v>0</v>
      </c>
      <c r="B1172" s="34"/>
      <c r="C1172" s="13"/>
      <c r="D1172" s="14"/>
      <c r="E1172" s="16"/>
      <c r="F1172" s="17"/>
      <c r="G1172" s="24"/>
      <c r="H1172" s="15"/>
      <c r="I1172" s="15"/>
      <c r="J1172" s="15"/>
      <c r="K1172" s="18"/>
      <c r="L1172" s="15"/>
      <c r="M1172" s="15"/>
      <c r="N1172" s="15"/>
      <c r="O1172" s="24"/>
      <c r="P1172" s="17"/>
      <c r="Q1172" s="16"/>
      <c r="R1172" s="19"/>
      <c r="S1172" s="20"/>
    </row>
    <row r="1173" spans="1:19" x14ac:dyDescent="0.25">
      <c r="A1173" t="str">
        <f>(COUNTIF($K$2:K1173,K1173))&amp;K1173</f>
        <v>0</v>
      </c>
      <c r="B1173" s="34"/>
      <c r="C1173" s="13"/>
      <c r="D1173" s="14"/>
      <c r="E1173" s="16"/>
      <c r="F1173" s="17"/>
      <c r="G1173" s="24"/>
      <c r="H1173" s="15"/>
      <c r="I1173" s="15"/>
      <c r="J1173" s="15"/>
      <c r="K1173" s="18"/>
      <c r="L1173" s="15"/>
      <c r="M1173" s="15"/>
      <c r="N1173" s="15"/>
      <c r="O1173" s="24"/>
      <c r="P1173" s="17"/>
      <c r="Q1173" s="16"/>
      <c r="R1173" s="19"/>
      <c r="S1173" s="20"/>
    </row>
    <row r="1174" spans="1:19" x14ac:dyDescent="0.25">
      <c r="A1174" t="str">
        <f>(COUNTIF($K$2:K1174,K1174))&amp;K1174</f>
        <v>0</v>
      </c>
      <c r="B1174" s="34"/>
      <c r="C1174" s="41"/>
      <c r="E1174" s="33"/>
      <c r="F1174" s="39"/>
      <c r="G1174" s="40"/>
      <c r="H1174" s="38"/>
      <c r="I1174" s="38"/>
      <c r="J1174" s="38"/>
      <c r="K1174" s="52"/>
      <c r="L1174" s="38"/>
      <c r="M1174" s="38"/>
      <c r="N1174" s="38"/>
      <c r="P1174" s="40"/>
      <c r="Q1174" s="33"/>
      <c r="R1174" s="38"/>
      <c r="S1174" s="38"/>
    </row>
    <row r="1175" spans="1:19" x14ac:dyDescent="0.25">
      <c r="A1175" t="str">
        <f>(COUNTIF($K$2:K1175,K1175))&amp;K1175</f>
        <v>0</v>
      </c>
      <c r="B1175" s="34"/>
      <c r="C1175" s="13"/>
      <c r="D1175" s="14"/>
      <c r="E1175" s="16"/>
      <c r="F1175" s="17"/>
      <c r="G1175" s="24"/>
      <c r="H1175" s="15"/>
      <c r="I1175" s="15"/>
      <c r="J1175" s="15"/>
      <c r="K1175" s="18"/>
      <c r="L1175" s="15"/>
      <c r="M1175" s="15"/>
      <c r="N1175" s="15"/>
      <c r="O1175" s="24"/>
      <c r="P1175" s="17"/>
      <c r="Q1175" s="16"/>
      <c r="R1175" s="19"/>
      <c r="S1175" s="20"/>
    </row>
    <row r="1176" spans="1:19" x14ac:dyDescent="0.25">
      <c r="A1176" t="str">
        <f>(COUNTIF($K$2:K1176,K1176))&amp;K1176</f>
        <v>0</v>
      </c>
      <c r="B1176" s="34"/>
      <c r="C1176" s="13"/>
      <c r="D1176" s="14"/>
      <c r="E1176" s="16"/>
      <c r="F1176" s="17"/>
      <c r="G1176" s="24"/>
      <c r="H1176" s="15"/>
      <c r="I1176" s="15"/>
      <c r="J1176" s="15"/>
      <c r="K1176" s="18"/>
      <c r="L1176" s="15"/>
      <c r="M1176" s="15"/>
      <c r="N1176" s="15"/>
      <c r="O1176" s="24"/>
      <c r="P1176" s="17"/>
      <c r="Q1176" s="16"/>
      <c r="R1176" s="19"/>
      <c r="S1176" s="20"/>
    </row>
    <row r="1177" spans="1:19" x14ac:dyDescent="0.25">
      <c r="A1177" t="str">
        <f>(COUNTIF($K$2:K1177,K1177))&amp;K1177</f>
        <v>0</v>
      </c>
      <c r="B1177" s="34"/>
      <c r="C1177" s="13"/>
      <c r="D1177" s="14"/>
      <c r="E1177" s="16"/>
      <c r="F1177" s="17"/>
      <c r="G1177" s="24"/>
      <c r="H1177" s="15"/>
      <c r="I1177" s="15"/>
      <c r="J1177" s="15"/>
      <c r="K1177" s="18"/>
      <c r="L1177" s="15"/>
      <c r="M1177" s="15"/>
      <c r="N1177" s="15"/>
      <c r="O1177" s="24"/>
      <c r="P1177" s="17"/>
      <c r="Q1177" s="16"/>
      <c r="R1177" s="19"/>
      <c r="S1177" s="20"/>
    </row>
    <row r="1178" spans="1:19" x14ac:dyDescent="0.25">
      <c r="A1178" t="str">
        <f>(COUNTIF($K$2:K1178,K1178))&amp;K1178</f>
        <v>0</v>
      </c>
      <c r="B1178" s="34"/>
      <c r="C1178" s="13"/>
      <c r="D1178" s="14"/>
      <c r="E1178" s="16"/>
      <c r="F1178" s="17"/>
      <c r="G1178" s="24"/>
      <c r="H1178" s="15"/>
      <c r="I1178" s="15"/>
      <c r="J1178" s="15"/>
      <c r="K1178" s="18"/>
      <c r="L1178" s="15"/>
      <c r="M1178" s="15"/>
      <c r="N1178" s="15"/>
      <c r="O1178" s="24"/>
      <c r="P1178" s="17"/>
      <c r="Q1178" s="16"/>
      <c r="R1178" s="19"/>
      <c r="S1178" s="20"/>
    </row>
    <row r="1179" spans="1:19" x14ac:dyDescent="0.25">
      <c r="A1179" t="str">
        <f>(COUNTIF($K$2:K1179,K1179))&amp;K1179</f>
        <v>0</v>
      </c>
      <c r="B1179" s="34"/>
      <c r="C1179" s="13"/>
      <c r="D1179" s="14"/>
      <c r="E1179" s="16"/>
      <c r="F1179" s="17"/>
      <c r="G1179" s="24"/>
      <c r="H1179" s="15"/>
      <c r="I1179" s="15"/>
      <c r="J1179" s="15"/>
      <c r="K1179" s="18"/>
      <c r="L1179" s="15"/>
      <c r="M1179" s="15"/>
      <c r="N1179" s="15"/>
      <c r="O1179" s="24"/>
      <c r="P1179" s="17"/>
      <c r="Q1179" s="16"/>
      <c r="R1179" s="19"/>
      <c r="S1179" s="20"/>
    </row>
    <row r="1180" spans="1:19" x14ac:dyDescent="0.25">
      <c r="A1180" t="str">
        <f>(COUNTIF($K$2:K1180,K1180))&amp;K1180</f>
        <v>0</v>
      </c>
      <c r="B1180" s="34"/>
      <c r="C1180" s="13"/>
      <c r="D1180" s="14"/>
      <c r="E1180" s="16"/>
      <c r="F1180" s="17"/>
      <c r="G1180" s="24"/>
      <c r="H1180" s="15"/>
      <c r="I1180" s="15"/>
      <c r="J1180" s="15"/>
      <c r="K1180" s="18"/>
      <c r="L1180" s="15"/>
      <c r="M1180" s="15"/>
      <c r="N1180" s="15"/>
      <c r="O1180" s="24"/>
      <c r="P1180" s="17"/>
      <c r="Q1180" s="16"/>
      <c r="R1180" s="19"/>
      <c r="S1180" s="20"/>
    </row>
    <row r="1181" spans="1:19" x14ac:dyDescent="0.25">
      <c r="A1181" t="str">
        <f>(COUNTIF($K$2:K1181,K1181))&amp;K1181</f>
        <v>0</v>
      </c>
      <c r="B1181" s="34"/>
      <c r="C1181" s="13"/>
      <c r="D1181" s="14"/>
      <c r="E1181" s="16"/>
      <c r="F1181" s="17"/>
      <c r="G1181" s="24"/>
      <c r="H1181" s="15"/>
      <c r="I1181" s="15"/>
      <c r="J1181" s="15"/>
      <c r="K1181" s="18"/>
      <c r="L1181" s="15"/>
      <c r="M1181" s="15"/>
      <c r="N1181" s="15"/>
      <c r="O1181" s="24"/>
      <c r="P1181" s="17"/>
      <c r="Q1181" s="16"/>
      <c r="R1181" s="19"/>
      <c r="S1181" s="20"/>
    </row>
    <row r="1182" spans="1:19" x14ac:dyDescent="0.25">
      <c r="A1182" t="str">
        <f>(COUNTIF($K$2:K1182,K1182))&amp;K1182</f>
        <v>0</v>
      </c>
      <c r="B1182" s="34"/>
      <c r="C1182" s="13"/>
      <c r="D1182" s="14"/>
      <c r="E1182" s="16"/>
      <c r="F1182" s="17"/>
      <c r="G1182" s="24"/>
      <c r="H1182" s="15"/>
      <c r="I1182" s="15"/>
      <c r="J1182" s="15"/>
      <c r="K1182" s="18"/>
      <c r="L1182" s="15"/>
      <c r="M1182" s="15"/>
      <c r="N1182" s="15"/>
      <c r="O1182" s="24"/>
      <c r="P1182" s="17"/>
      <c r="Q1182" s="16"/>
      <c r="R1182" s="19"/>
      <c r="S1182" s="20"/>
    </row>
    <row r="1183" spans="1:19" ht="15.75" x14ac:dyDescent="0.25">
      <c r="A1183" t="str">
        <f>(COUNTIF($K$2:K1183,K1183))&amp;K1183</f>
        <v>0</v>
      </c>
      <c r="B1183" s="34"/>
      <c r="C1183" s="13"/>
      <c r="D1183" s="14"/>
      <c r="E1183" s="16"/>
      <c r="F1183" s="17"/>
      <c r="G1183" s="24"/>
      <c r="H1183" s="15"/>
      <c r="I1183" s="15"/>
      <c r="J1183" s="15"/>
      <c r="K1183" s="21"/>
      <c r="L1183" s="15"/>
      <c r="M1183" s="15"/>
      <c r="N1183" s="15"/>
      <c r="O1183" s="24"/>
      <c r="P1183" s="17"/>
      <c r="Q1183" s="16"/>
      <c r="R1183" s="19"/>
      <c r="S1183" s="20"/>
    </row>
    <row r="1184" spans="1:19" x14ac:dyDescent="0.25">
      <c r="A1184" t="str">
        <f>(COUNTIF($K$2:K1184,K1184))&amp;K1184</f>
        <v>0</v>
      </c>
      <c r="B1184" s="34"/>
      <c r="C1184" s="13"/>
      <c r="D1184" s="14"/>
      <c r="E1184" s="16"/>
      <c r="F1184" s="17"/>
      <c r="G1184" s="24"/>
      <c r="H1184" s="15"/>
      <c r="I1184" s="15"/>
      <c r="J1184" s="15"/>
      <c r="K1184" s="18"/>
      <c r="L1184" s="15"/>
      <c r="M1184" s="15"/>
      <c r="N1184" s="15"/>
      <c r="O1184" s="24"/>
      <c r="P1184" s="17"/>
      <c r="Q1184" s="16"/>
      <c r="R1184" s="19"/>
      <c r="S1184" s="20"/>
    </row>
    <row r="1185" spans="1:19" x14ac:dyDescent="0.25">
      <c r="A1185" t="str">
        <f>(COUNTIF($K$2:K1185,K1185))&amp;K1185</f>
        <v>0</v>
      </c>
      <c r="B1185" s="34"/>
      <c r="C1185" s="13"/>
      <c r="D1185" s="14"/>
      <c r="E1185" s="16"/>
      <c r="F1185" s="17"/>
      <c r="G1185" s="24"/>
      <c r="H1185" s="15"/>
      <c r="I1185" s="15"/>
      <c r="J1185" s="15"/>
      <c r="K1185" s="18"/>
      <c r="L1185" s="15"/>
      <c r="M1185" s="15"/>
      <c r="N1185" s="15"/>
      <c r="O1185" s="24"/>
      <c r="P1185" s="17"/>
      <c r="Q1185" s="16"/>
      <c r="R1185" s="19"/>
      <c r="S1185" s="20"/>
    </row>
    <row r="1186" spans="1:19" x14ac:dyDescent="0.25">
      <c r="A1186" t="str">
        <f>(COUNTIF($K$2:K1186,K1186))&amp;K1186</f>
        <v>0</v>
      </c>
      <c r="B1186" s="34"/>
      <c r="C1186" s="13"/>
      <c r="D1186" s="14"/>
      <c r="E1186" s="16"/>
      <c r="F1186" s="17"/>
      <c r="G1186" s="24"/>
      <c r="H1186" s="15"/>
      <c r="I1186" s="15"/>
      <c r="J1186" s="15"/>
      <c r="K1186" s="18"/>
      <c r="L1186" s="15"/>
      <c r="M1186" s="15"/>
      <c r="N1186" s="15"/>
      <c r="O1186" s="24"/>
      <c r="P1186" s="17"/>
      <c r="Q1186" s="16"/>
      <c r="R1186" s="19"/>
      <c r="S1186" s="20"/>
    </row>
    <row r="1187" spans="1:19" x14ac:dyDescent="0.25">
      <c r="A1187" t="str">
        <f>(COUNTIF($K$2:K1187,K1187))&amp;K1187</f>
        <v>0</v>
      </c>
      <c r="B1187" s="34"/>
      <c r="C1187" s="13"/>
      <c r="D1187" s="14"/>
      <c r="E1187" s="16"/>
      <c r="F1187" s="17"/>
      <c r="G1187" s="24"/>
      <c r="H1187" s="15"/>
      <c r="I1187" s="15"/>
      <c r="J1187" s="15"/>
      <c r="K1187" s="18"/>
      <c r="L1187" s="15"/>
      <c r="M1187" s="15"/>
      <c r="N1187" s="15"/>
      <c r="O1187" s="24"/>
      <c r="P1187" s="17"/>
      <c r="Q1187" s="16"/>
      <c r="R1187" s="19"/>
      <c r="S1187" s="20"/>
    </row>
    <row r="1188" spans="1:19" x14ac:dyDescent="0.25">
      <c r="A1188" t="str">
        <f>(COUNTIF($K$2:K1188,K1188))&amp;K1188</f>
        <v>0</v>
      </c>
      <c r="B1188" s="34"/>
      <c r="C1188" s="13"/>
      <c r="D1188" s="14"/>
      <c r="E1188" s="16"/>
      <c r="F1188" s="17"/>
      <c r="G1188" s="24"/>
      <c r="H1188" s="15"/>
      <c r="I1188" s="15"/>
      <c r="J1188" s="15"/>
      <c r="K1188" s="18"/>
      <c r="L1188" s="15"/>
      <c r="M1188" s="15"/>
      <c r="N1188" s="15"/>
      <c r="O1188" s="24"/>
      <c r="P1188" s="17"/>
      <c r="Q1188" s="16"/>
      <c r="R1188" s="19"/>
      <c r="S1188" s="20"/>
    </row>
    <row r="1189" spans="1:19" x14ac:dyDescent="0.25">
      <c r="A1189" t="str">
        <f>(COUNTIF($K$2:K1189,K1189))&amp;K1189</f>
        <v>0</v>
      </c>
      <c r="B1189" s="34"/>
      <c r="C1189" s="13"/>
      <c r="D1189" s="14"/>
      <c r="E1189" s="16"/>
      <c r="F1189" s="17"/>
      <c r="G1189" s="24"/>
      <c r="H1189" s="15"/>
      <c r="I1189" s="15"/>
      <c r="J1189" s="15"/>
      <c r="K1189" s="18"/>
      <c r="L1189" s="15"/>
      <c r="M1189" s="15"/>
      <c r="N1189" s="15"/>
      <c r="O1189" s="24"/>
      <c r="P1189" s="17"/>
      <c r="Q1189" s="16"/>
      <c r="R1189" s="19"/>
      <c r="S1189" s="20"/>
    </row>
    <row r="1190" spans="1:19" x14ac:dyDescent="0.25">
      <c r="A1190" t="str">
        <f>(COUNTIF($K$2:K1190,K1190))&amp;K1190</f>
        <v>0</v>
      </c>
      <c r="B1190" s="34"/>
      <c r="C1190" s="13"/>
      <c r="D1190" s="14"/>
      <c r="E1190" s="16"/>
      <c r="F1190" s="17"/>
      <c r="G1190" s="24"/>
      <c r="H1190" s="15"/>
      <c r="I1190" s="15"/>
      <c r="J1190" s="15"/>
      <c r="K1190" s="18"/>
      <c r="L1190" s="15"/>
      <c r="M1190" s="15"/>
      <c r="N1190" s="15"/>
      <c r="O1190" s="24"/>
      <c r="P1190" s="17"/>
      <c r="Q1190" s="16"/>
      <c r="R1190" s="19"/>
      <c r="S1190" s="20"/>
    </row>
    <row r="1191" spans="1:19" x14ac:dyDescent="0.25">
      <c r="A1191" t="str">
        <f>(COUNTIF($K$2:K1191,K1191))&amp;K1191</f>
        <v>0</v>
      </c>
      <c r="B1191" s="34"/>
      <c r="C1191" s="41"/>
      <c r="E1191" s="33"/>
      <c r="F1191" s="39"/>
      <c r="G1191" s="40"/>
      <c r="H1191" s="38"/>
      <c r="I1191" s="38"/>
      <c r="J1191" s="38"/>
      <c r="K1191" s="49"/>
      <c r="L1191" s="38"/>
      <c r="M1191" s="38"/>
      <c r="N1191" s="38"/>
      <c r="P1191" s="40"/>
      <c r="Q1191" s="33"/>
      <c r="R1191" s="38"/>
      <c r="S1191" s="38"/>
    </row>
    <row r="1192" spans="1:19" x14ac:dyDescent="0.25">
      <c r="A1192" t="str">
        <f>(COUNTIF($K$2:K1192,K1192))&amp;K1192</f>
        <v>0</v>
      </c>
      <c r="B1192" s="34"/>
      <c r="C1192" s="13"/>
      <c r="D1192" s="14"/>
      <c r="E1192" s="16"/>
      <c r="F1192" s="17"/>
      <c r="G1192" s="24"/>
      <c r="H1192" s="15"/>
      <c r="I1192" s="15"/>
      <c r="J1192" s="15"/>
      <c r="K1192" s="18"/>
      <c r="L1192" s="15"/>
      <c r="M1192" s="15"/>
      <c r="N1192" s="15"/>
      <c r="O1192" s="24"/>
      <c r="P1192" s="17"/>
      <c r="Q1192" s="16"/>
      <c r="R1192" s="19"/>
      <c r="S1192" s="20"/>
    </row>
    <row r="1193" spans="1:19" x14ac:dyDescent="0.25">
      <c r="A1193" t="str">
        <f>(COUNTIF($K$2:K1193,K1193))&amp;K1193</f>
        <v>0</v>
      </c>
      <c r="B1193" s="34"/>
      <c r="C1193" s="13"/>
      <c r="D1193" s="14"/>
      <c r="E1193" s="16"/>
      <c r="F1193" s="17"/>
      <c r="G1193" s="24"/>
      <c r="H1193" s="15"/>
      <c r="I1193" s="15"/>
      <c r="J1193" s="15"/>
      <c r="K1193" s="18"/>
      <c r="L1193" s="15"/>
      <c r="M1193" s="15"/>
      <c r="N1193" s="15"/>
      <c r="O1193" s="24"/>
      <c r="P1193" s="17"/>
      <c r="Q1193" s="16"/>
      <c r="R1193" s="19"/>
      <c r="S1193" s="20"/>
    </row>
    <row r="1194" spans="1:19" x14ac:dyDescent="0.25">
      <c r="A1194" t="str">
        <f>(COUNTIF($K$2:K1194,K1194))&amp;K1194</f>
        <v>0</v>
      </c>
      <c r="B1194" s="34"/>
      <c r="C1194" s="13"/>
      <c r="D1194" s="14"/>
      <c r="E1194" s="16"/>
      <c r="F1194" s="17"/>
      <c r="G1194" s="24"/>
      <c r="H1194" s="15"/>
      <c r="I1194" s="15"/>
      <c r="J1194" s="15"/>
      <c r="K1194" s="18"/>
      <c r="L1194" s="15"/>
      <c r="M1194" s="15"/>
      <c r="N1194" s="15"/>
      <c r="O1194" s="24"/>
      <c r="P1194" s="17"/>
      <c r="Q1194" s="16"/>
      <c r="R1194" s="19"/>
      <c r="S1194" s="20"/>
    </row>
    <row r="1195" spans="1:19" x14ac:dyDescent="0.25">
      <c r="A1195" t="str">
        <f>(COUNTIF($K$2:K1195,K1195))&amp;K1195</f>
        <v>0</v>
      </c>
      <c r="B1195" s="34"/>
      <c r="C1195" s="13"/>
      <c r="D1195" s="14"/>
      <c r="E1195" s="16"/>
      <c r="F1195" s="17"/>
      <c r="G1195" s="24"/>
      <c r="H1195" s="15"/>
      <c r="I1195" s="15"/>
      <c r="J1195" s="15"/>
      <c r="K1195" s="18"/>
      <c r="L1195" s="15"/>
      <c r="M1195" s="15"/>
      <c r="N1195" s="15"/>
      <c r="O1195" s="24"/>
      <c r="P1195" s="17"/>
      <c r="Q1195" s="16"/>
      <c r="R1195" s="19"/>
      <c r="S1195" s="20"/>
    </row>
    <row r="1196" spans="1:19" x14ac:dyDescent="0.25">
      <c r="A1196" t="str">
        <f>(COUNTIF($K$2:K1196,K1196))&amp;K1196</f>
        <v>0</v>
      </c>
      <c r="B1196" s="34"/>
      <c r="C1196" s="13"/>
      <c r="D1196" s="14"/>
      <c r="E1196" s="16"/>
      <c r="F1196" s="17"/>
      <c r="G1196" s="24"/>
      <c r="H1196" s="15"/>
      <c r="I1196" s="15"/>
      <c r="J1196" s="15"/>
      <c r="K1196" s="18"/>
      <c r="L1196" s="15"/>
      <c r="M1196" s="15"/>
      <c r="N1196" s="15"/>
      <c r="O1196" s="24"/>
      <c r="P1196" s="17"/>
      <c r="Q1196" s="16"/>
      <c r="R1196" s="19"/>
      <c r="S1196" s="20"/>
    </row>
    <row r="1197" spans="1:19" x14ac:dyDescent="0.25">
      <c r="A1197" t="str">
        <f>(COUNTIF($K$2:K1197,K1197))&amp;K1197</f>
        <v>0</v>
      </c>
      <c r="B1197" s="34"/>
      <c r="C1197" s="13"/>
      <c r="D1197" s="14"/>
      <c r="E1197" s="16"/>
      <c r="F1197" s="17"/>
      <c r="G1197" s="24"/>
      <c r="H1197" s="15"/>
      <c r="I1197" s="15"/>
      <c r="J1197" s="15"/>
      <c r="K1197" s="18"/>
      <c r="L1197" s="15"/>
      <c r="M1197" s="15"/>
      <c r="N1197" s="15"/>
      <c r="O1197" s="24"/>
      <c r="P1197" s="17"/>
      <c r="Q1197" s="16"/>
      <c r="R1197" s="19"/>
      <c r="S1197" s="20"/>
    </row>
    <row r="1198" spans="1:19" x14ac:dyDescent="0.25">
      <c r="A1198" t="str">
        <f>(COUNTIF($K$2:K1198,K1198))&amp;K1198</f>
        <v>0</v>
      </c>
      <c r="B1198" s="34"/>
      <c r="C1198" s="13"/>
      <c r="D1198" s="14"/>
      <c r="E1198" s="16"/>
      <c r="F1198" s="17"/>
      <c r="G1198" s="24"/>
      <c r="H1198" s="15"/>
      <c r="I1198" s="15"/>
      <c r="J1198" s="15"/>
      <c r="K1198" s="18"/>
      <c r="L1198" s="15"/>
      <c r="M1198" s="15"/>
      <c r="N1198" s="15"/>
      <c r="O1198" s="24"/>
      <c r="P1198" s="17"/>
      <c r="Q1198" s="16"/>
      <c r="R1198" s="19"/>
      <c r="S1198" s="20"/>
    </row>
    <row r="1199" spans="1:19" x14ac:dyDescent="0.25">
      <c r="A1199" t="str">
        <f>(COUNTIF($K$2:K1199,K1199))&amp;K1199</f>
        <v>0</v>
      </c>
      <c r="B1199" s="34"/>
      <c r="C1199" s="13"/>
      <c r="D1199" s="14"/>
      <c r="E1199" s="16"/>
      <c r="F1199" s="17"/>
      <c r="G1199" s="24"/>
      <c r="H1199" s="15"/>
      <c r="I1199" s="15"/>
      <c r="J1199" s="15"/>
      <c r="K1199" s="18"/>
      <c r="L1199" s="15"/>
      <c r="M1199" s="15"/>
      <c r="N1199" s="15"/>
      <c r="O1199" s="24"/>
      <c r="P1199" s="17"/>
      <c r="Q1199" s="16"/>
      <c r="R1199" s="19"/>
      <c r="S1199" s="20"/>
    </row>
    <row r="1200" spans="1:19" ht="15.75" x14ac:dyDescent="0.25">
      <c r="A1200" t="str">
        <f>(COUNTIF($K$2:K1200,K1200))&amp;K1200</f>
        <v>0</v>
      </c>
      <c r="B1200" s="34"/>
      <c r="C1200" s="13"/>
      <c r="D1200" s="14"/>
      <c r="E1200" s="16"/>
      <c r="F1200" s="17"/>
      <c r="G1200" s="24"/>
      <c r="H1200" s="15"/>
      <c r="I1200" s="15"/>
      <c r="J1200" s="15"/>
      <c r="K1200" s="21"/>
      <c r="L1200" s="15"/>
      <c r="M1200" s="15"/>
      <c r="N1200" s="15"/>
      <c r="O1200" s="24"/>
      <c r="P1200" s="17"/>
      <c r="Q1200" s="16"/>
      <c r="R1200" s="19"/>
      <c r="S1200" s="20"/>
    </row>
    <row r="1201" spans="1:19" x14ac:dyDescent="0.25">
      <c r="A1201" t="str">
        <f>(COUNTIF($K$2:K1201,K1201))&amp;K1201</f>
        <v>0</v>
      </c>
      <c r="B1201" s="34"/>
      <c r="C1201" s="13"/>
      <c r="D1201" s="14"/>
      <c r="E1201" s="16"/>
      <c r="F1201" s="17"/>
      <c r="G1201" s="24"/>
      <c r="H1201" s="15"/>
      <c r="I1201" s="15"/>
      <c r="J1201" s="15"/>
      <c r="K1201" s="18"/>
      <c r="L1201" s="15"/>
      <c r="M1201" s="15"/>
      <c r="N1201" s="15"/>
      <c r="O1201" s="24"/>
      <c r="P1201" s="17"/>
      <c r="Q1201" s="16"/>
      <c r="R1201" s="19"/>
      <c r="S1201" s="20"/>
    </row>
    <row r="1202" spans="1:19" x14ac:dyDescent="0.25">
      <c r="A1202" t="str">
        <f>(COUNTIF($K$2:K1202,K1202))&amp;K1202</f>
        <v>0</v>
      </c>
      <c r="B1202" s="34"/>
      <c r="C1202" s="13"/>
      <c r="D1202" s="14"/>
      <c r="E1202" s="16"/>
      <c r="F1202" s="17"/>
      <c r="G1202" s="24"/>
      <c r="H1202" s="15"/>
      <c r="I1202" s="15"/>
      <c r="J1202" s="15"/>
      <c r="K1202" s="18"/>
      <c r="L1202" s="15"/>
      <c r="M1202" s="15"/>
      <c r="N1202" s="15"/>
      <c r="O1202" s="24"/>
      <c r="P1202" s="17"/>
      <c r="Q1202" s="16"/>
      <c r="R1202" s="19"/>
      <c r="S1202" s="20"/>
    </row>
    <row r="1203" spans="1:19" x14ac:dyDescent="0.25">
      <c r="A1203" t="str">
        <f>(COUNTIF($K$2:K1203,K1203))&amp;K1203</f>
        <v>0</v>
      </c>
      <c r="B1203" s="34"/>
      <c r="C1203" s="13"/>
      <c r="D1203" s="14"/>
      <c r="E1203" s="16"/>
      <c r="F1203" s="17"/>
      <c r="G1203" s="24"/>
      <c r="H1203" s="15"/>
      <c r="I1203" s="15"/>
      <c r="J1203" s="15"/>
      <c r="K1203" s="18"/>
      <c r="L1203" s="15"/>
      <c r="M1203" s="15"/>
      <c r="N1203" s="15"/>
      <c r="O1203" s="24"/>
      <c r="P1203" s="17"/>
      <c r="Q1203" s="16"/>
      <c r="R1203" s="19"/>
      <c r="S1203" s="20"/>
    </row>
    <row r="1204" spans="1:19" x14ac:dyDescent="0.25">
      <c r="A1204" t="str">
        <f>(COUNTIF($K$2:K1204,K1204))&amp;K1204</f>
        <v>0</v>
      </c>
      <c r="B1204" s="34"/>
      <c r="C1204" s="13"/>
      <c r="D1204" s="14"/>
      <c r="E1204" s="16"/>
      <c r="F1204" s="17"/>
      <c r="G1204" s="24"/>
      <c r="H1204" s="15"/>
      <c r="I1204" s="15"/>
      <c r="J1204" s="15"/>
      <c r="K1204" s="18"/>
      <c r="L1204" s="15"/>
      <c r="M1204" s="15"/>
      <c r="N1204" s="15"/>
      <c r="O1204" s="24"/>
      <c r="P1204" s="17"/>
      <c r="Q1204" s="16"/>
      <c r="R1204" s="19"/>
      <c r="S1204" s="20"/>
    </row>
    <row r="1205" spans="1:19" x14ac:dyDescent="0.25">
      <c r="A1205" t="str">
        <f>(COUNTIF($K$2:K1205,K1205))&amp;K1205</f>
        <v>0</v>
      </c>
      <c r="B1205" s="34"/>
      <c r="C1205" s="13"/>
      <c r="D1205" s="14"/>
      <c r="E1205" s="16"/>
      <c r="F1205" s="17"/>
      <c r="G1205" s="24"/>
      <c r="H1205" s="15"/>
      <c r="I1205" s="15"/>
      <c r="J1205" s="15"/>
      <c r="K1205" s="18"/>
      <c r="L1205" s="15"/>
      <c r="M1205" s="15"/>
      <c r="N1205" s="15"/>
      <c r="O1205" s="24"/>
      <c r="P1205" s="17"/>
      <c r="Q1205" s="16"/>
      <c r="R1205" s="19"/>
      <c r="S1205" s="20"/>
    </row>
    <row r="1206" spans="1:19" x14ac:dyDescent="0.25">
      <c r="A1206" t="str">
        <f>(COUNTIF($K$2:K1206,K1206))&amp;K1206</f>
        <v>0</v>
      </c>
      <c r="B1206" s="34"/>
      <c r="C1206" s="13"/>
      <c r="D1206" s="14"/>
      <c r="E1206" s="16"/>
      <c r="F1206" s="17"/>
      <c r="G1206" s="24"/>
      <c r="H1206" s="15"/>
      <c r="I1206" s="15"/>
      <c r="J1206" s="15"/>
      <c r="K1206" s="18"/>
      <c r="L1206" s="15"/>
      <c r="M1206" s="15"/>
      <c r="N1206" s="15"/>
      <c r="O1206" s="24"/>
      <c r="P1206" s="17"/>
      <c r="Q1206" s="16"/>
      <c r="R1206" s="19"/>
      <c r="S1206" s="20"/>
    </row>
    <row r="1207" spans="1:19" x14ac:dyDescent="0.25">
      <c r="A1207" t="str">
        <f>(COUNTIF($K$2:K1207,K1207))&amp;K1207</f>
        <v>0</v>
      </c>
      <c r="B1207" s="34"/>
      <c r="C1207" s="13"/>
      <c r="D1207" s="14"/>
      <c r="E1207" s="16"/>
      <c r="F1207" s="17"/>
      <c r="G1207" s="24"/>
      <c r="H1207" s="15"/>
      <c r="I1207" s="15"/>
      <c r="J1207" s="15"/>
      <c r="K1207" s="18"/>
      <c r="L1207" s="15"/>
      <c r="M1207" s="15"/>
      <c r="N1207" s="15"/>
      <c r="O1207" s="24"/>
      <c r="P1207" s="17"/>
      <c r="Q1207" s="16"/>
      <c r="R1207" s="19"/>
      <c r="S1207" s="20"/>
    </row>
    <row r="1208" spans="1:19" x14ac:dyDescent="0.25">
      <c r="A1208" t="str">
        <f>(COUNTIF($K$2:K1208,K1208))&amp;K1208</f>
        <v>0</v>
      </c>
      <c r="B1208" s="34"/>
      <c r="C1208" s="41"/>
      <c r="E1208" s="33"/>
      <c r="F1208" s="39"/>
      <c r="G1208" s="40"/>
      <c r="H1208" s="38"/>
      <c r="I1208" s="38"/>
      <c r="J1208" s="38"/>
      <c r="K1208" s="49"/>
      <c r="L1208" s="38"/>
      <c r="M1208" s="38"/>
      <c r="N1208" s="38"/>
      <c r="P1208" s="40"/>
      <c r="Q1208" s="33"/>
      <c r="R1208" s="38"/>
      <c r="S1208" s="38"/>
    </row>
    <row r="1209" spans="1:19" x14ac:dyDescent="0.25">
      <c r="A1209" t="str">
        <f>(COUNTIF($K$2:K1209,K1209))&amp;K1209</f>
        <v>0</v>
      </c>
      <c r="B1209" s="34"/>
      <c r="C1209" s="13"/>
      <c r="D1209" s="14"/>
      <c r="E1209" s="16"/>
      <c r="F1209" s="17"/>
      <c r="G1209" s="24"/>
      <c r="H1209" s="15"/>
      <c r="I1209" s="15"/>
      <c r="J1209" s="15"/>
      <c r="K1209" s="18"/>
      <c r="L1209" s="15"/>
      <c r="M1209" s="15"/>
      <c r="N1209" s="15"/>
      <c r="O1209" s="24"/>
      <c r="P1209" s="17"/>
      <c r="Q1209" s="16"/>
      <c r="R1209" s="19"/>
      <c r="S1209" s="20"/>
    </row>
    <row r="1210" spans="1:19" x14ac:dyDescent="0.25">
      <c r="A1210" t="str">
        <f>(COUNTIF($K$2:K1210,K1210))&amp;K1210</f>
        <v>0</v>
      </c>
      <c r="B1210" s="34"/>
      <c r="C1210" s="13"/>
      <c r="D1210" s="14"/>
      <c r="E1210" s="16"/>
      <c r="F1210" s="17"/>
      <c r="G1210" s="24"/>
      <c r="H1210" s="15"/>
      <c r="I1210" s="15"/>
      <c r="J1210" s="15"/>
      <c r="K1210" s="18"/>
      <c r="L1210" s="15"/>
      <c r="M1210" s="15"/>
      <c r="N1210" s="15"/>
      <c r="O1210" s="24"/>
      <c r="P1210" s="17"/>
      <c r="Q1210" s="16"/>
      <c r="R1210" s="19"/>
      <c r="S1210" s="20"/>
    </row>
    <row r="1211" spans="1:19" x14ac:dyDescent="0.25">
      <c r="A1211" t="str">
        <f>(COUNTIF($K$2:K1211,K1211))&amp;K1211</f>
        <v>0</v>
      </c>
      <c r="B1211" s="34"/>
      <c r="C1211" s="13"/>
      <c r="D1211" s="14"/>
      <c r="E1211" s="16"/>
      <c r="F1211" s="17"/>
      <c r="G1211" s="24"/>
      <c r="H1211" s="15"/>
      <c r="I1211" s="15"/>
      <c r="J1211" s="15"/>
      <c r="K1211" s="18"/>
      <c r="L1211" s="15"/>
      <c r="M1211" s="15"/>
      <c r="N1211" s="15"/>
      <c r="O1211" s="24"/>
      <c r="P1211" s="17"/>
      <c r="Q1211" s="16"/>
      <c r="R1211" s="19"/>
      <c r="S1211" s="20"/>
    </row>
    <row r="1212" spans="1:19" x14ac:dyDescent="0.25">
      <c r="A1212" t="str">
        <f>(COUNTIF($K$2:K1212,K1212))&amp;K1212</f>
        <v>0</v>
      </c>
      <c r="B1212" s="34"/>
      <c r="C1212" s="13"/>
      <c r="D1212" s="14"/>
      <c r="E1212" s="16"/>
      <c r="F1212" s="17"/>
      <c r="G1212" s="24"/>
      <c r="H1212" s="15"/>
      <c r="I1212" s="15"/>
      <c r="J1212" s="15"/>
      <c r="K1212" s="18"/>
      <c r="L1212" s="15"/>
      <c r="M1212" s="15"/>
      <c r="N1212" s="15"/>
      <c r="O1212" s="24"/>
      <c r="P1212" s="17"/>
      <c r="Q1212" s="16"/>
      <c r="R1212" s="19"/>
      <c r="S1212" s="20"/>
    </row>
    <row r="1213" spans="1:19" x14ac:dyDescent="0.25">
      <c r="A1213" t="str">
        <f>(COUNTIF($K$2:K1213,K1213))&amp;K1213</f>
        <v>0</v>
      </c>
      <c r="B1213" s="34"/>
      <c r="C1213" s="13"/>
      <c r="D1213" s="14"/>
      <c r="E1213" s="16"/>
      <c r="F1213" s="17"/>
      <c r="G1213" s="24"/>
      <c r="H1213" s="15"/>
      <c r="I1213" s="15"/>
      <c r="J1213" s="15"/>
      <c r="K1213" s="18"/>
      <c r="L1213" s="15"/>
      <c r="M1213" s="15"/>
      <c r="N1213" s="15"/>
      <c r="O1213" s="24"/>
      <c r="P1213" s="17"/>
      <c r="Q1213" s="16"/>
      <c r="R1213" s="19"/>
      <c r="S1213" s="20"/>
    </row>
    <row r="1214" spans="1:19" x14ac:dyDescent="0.25">
      <c r="A1214" t="str">
        <f>(COUNTIF($K$2:K1214,K1214))&amp;K1214</f>
        <v>0</v>
      </c>
      <c r="B1214" s="34"/>
      <c r="C1214" s="13"/>
      <c r="D1214" s="14"/>
      <c r="E1214" s="16"/>
      <c r="F1214" s="17"/>
      <c r="G1214" s="24"/>
      <c r="H1214" s="15"/>
      <c r="I1214" s="15"/>
      <c r="J1214" s="15"/>
      <c r="K1214" s="18"/>
      <c r="L1214" s="15"/>
      <c r="M1214" s="15"/>
      <c r="N1214" s="15"/>
      <c r="O1214" s="24"/>
      <c r="P1214" s="17"/>
      <c r="Q1214" s="16"/>
      <c r="R1214" s="19"/>
      <c r="S1214" s="20"/>
    </row>
    <row r="1215" spans="1:19" x14ac:dyDescent="0.25">
      <c r="A1215" t="str">
        <f>(COUNTIF($K$2:K1215,K1215))&amp;K1215</f>
        <v>0</v>
      </c>
      <c r="B1215" s="34"/>
      <c r="C1215" s="13"/>
      <c r="D1215" s="14"/>
      <c r="E1215" s="16"/>
      <c r="F1215" s="17"/>
      <c r="G1215" s="24"/>
      <c r="H1215" s="15"/>
      <c r="I1215" s="15"/>
      <c r="J1215" s="15"/>
      <c r="K1215" s="18"/>
      <c r="L1215" s="15"/>
      <c r="M1215" s="15"/>
      <c r="N1215" s="15"/>
      <c r="O1215" s="24"/>
      <c r="P1215" s="17"/>
      <c r="Q1215" s="16"/>
      <c r="R1215" s="19"/>
      <c r="S1215" s="20"/>
    </row>
    <row r="1216" spans="1:19" x14ac:dyDescent="0.25">
      <c r="A1216" t="str">
        <f>(COUNTIF($K$2:K1216,K1216))&amp;K1216</f>
        <v>0</v>
      </c>
      <c r="B1216" s="34"/>
      <c r="C1216" s="13"/>
      <c r="D1216" s="14"/>
      <c r="E1216" s="16"/>
      <c r="F1216" s="17"/>
      <c r="G1216" s="24"/>
      <c r="H1216" s="15"/>
      <c r="I1216" s="15"/>
      <c r="J1216" s="15"/>
      <c r="K1216" s="18"/>
      <c r="L1216" s="15"/>
      <c r="M1216" s="15"/>
      <c r="N1216" s="15"/>
      <c r="O1216" s="24"/>
      <c r="P1216" s="17"/>
      <c r="Q1216" s="16"/>
      <c r="R1216" s="19"/>
      <c r="S1216" s="20"/>
    </row>
    <row r="1217" spans="1:19" ht="15.75" x14ac:dyDescent="0.25">
      <c r="A1217" t="str">
        <f>(COUNTIF($K$2:K1217,K1217))&amp;K1217</f>
        <v>0</v>
      </c>
      <c r="B1217" s="34"/>
      <c r="C1217" s="13"/>
      <c r="D1217" s="14"/>
      <c r="E1217" s="16"/>
      <c r="F1217" s="17"/>
      <c r="G1217" s="24"/>
      <c r="H1217" s="15"/>
      <c r="I1217" s="15"/>
      <c r="J1217" s="15"/>
      <c r="K1217" s="21"/>
      <c r="L1217" s="15"/>
      <c r="M1217" s="15"/>
      <c r="N1217" s="15"/>
      <c r="O1217" s="24"/>
      <c r="P1217" s="17"/>
      <c r="Q1217" s="16"/>
      <c r="R1217" s="19"/>
      <c r="S1217" s="20"/>
    </row>
    <row r="1218" spans="1:19" x14ac:dyDescent="0.25">
      <c r="A1218" t="str">
        <f>(COUNTIF($K$2:K1218,K1218))&amp;K1218</f>
        <v>0</v>
      </c>
      <c r="B1218" s="34"/>
      <c r="C1218" s="13"/>
      <c r="D1218" s="14"/>
      <c r="E1218" s="16"/>
      <c r="F1218" s="17"/>
      <c r="G1218" s="24"/>
      <c r="H1218" s="15"/>
      <c r="I1218" s="15"/>
      <c r="J1218" s="15"/>
      <c r="K1218" s="18"/>
      <c r="L1218" s="15"/>
      <c r="M1218" s="15"/>
      <c r="N1218" s="15"/>
      <c r="O1218" s="24"/>
      <c r="P1218" s="17"/>
      <c r="Q1218" s="16"/>
      <c r="R1218" s="19"/>
      <c r="S1218" s="20"/>
    </row>
    <row r="1219" spans="1:19" x14ac:dyDescent="0.25">
      <c r="A1219" t="str">
        <f>(COUNTIF($K$2:K1219,K1219))&amp;K1219</f>
        <v>0</v>
      </c>
      <c r="B1219" s="34"/>
      <c r="C1219" s="13"/>
      <c r="D1219" s="14"/>
      <c r="E1219" s="16"/>
      <c r="F1219" s="17"/>
      <c r="G1219" s="24"/>
      <c r="H1219" s="15"/>
      <c r="I1219" s="15"/>
      <c r="J1219" s="15"/>
      <c r="K1219" s="18"/>
      <c r="L1219" s="15"/>
      <c r="M1219" s="15"/>
      <c r="N1219" s="15"/>
      <c r="O1219" s="24"/>
      <c r="P1219" s="17"/>
      <c r="Q1219" s="16"/>
      <c r="R1219" s="19"/>
      <c r="S1219" s="20"/>
    </row>
    <row r="1220" spans="1:19" x14ac:dyDescent="0.25">
      <c r="A1220" t="str">
        <f>(COUNTIF($K$2:K1220,K1220))&amp;K1220</f>
        <v>0</v>
      </c>
      <c r="B1220" s="34"/>
      <c r="C1220" s="13"/>
      <c r="D1220" s="14"/>
      <c r="E1220" s="16"/>
      <c r="F1220" s="17"/>
      <c r="G1220" s="24"/>
      <c r="H1220" s="15"/>
      <c r="I1220" s="15"/>
      <c r="J1220" s="15"/>
      <c r="K1220" s="18"/>
      <c r="L1220" s="15"/>
      <c r="M1220" s="15"/>
      <c r="N1220" s="15"/>
      <c r="O1220" s="24"/>
      <c r="P1220" s="17"/>
      <c r="Q1220" s="16"/>
      <c r="R1220" s="19"/>
      <c r="S1220" s="20"/>
    </row>
    <row r="1221" spans="1:19" x14ac:dyDescent="0.25">
      <c r="A1221" t="str">
        <f>(COUNTIF($K$2:K1221,K1221))&amp;K1221</f>
        <v>0</v>
      </c>
      <c r="B1221" s="34"/>
      <c r="C1221" s="13"/>
      <c r="D1221" s="14"/>
      <c r="E1221" s="16"/>
      <c r="F1221" s="17"/>
      <c r="G1221" s="24"/>
      <c r="H1221" s="15"/>
      <c r="I1221" s="15"/>
      <c r="J1221" s="15"/>
      <c r="K1221" s="18"/>
      <c r="L1221" s="15"/>
      <c r="M1221" s="15"/>
      <c r="N1221" s="15"/>
      <c r="O1221" s="24"/>
      <c r="P1221" s="17"/>
      <c r="Q1221" s="16"/>
      <c r="R1221" s="19"/>
      <c r="S1221" s="20"/>
    </row>
    <row r="1222" spans="1:19" x14ac:dyDescent="0.25">
      <c r="A1222" t="str">
        <f>(COUNTIF($K$2:K1222,K1222))&amp;K1222</f>
        <v>0</v>
      </c>
      <c r="B1222" s="34"/>
      <c r="C1222" s="13"/>
      <c r="D1222" s="14"/>
      <c r="E1222" s="16"/>
      <c r="F1222" s="17"/>
      <c r="G1222" s="24"/>
      <c r="H1222" s="15"/>
      <c r="I1222" s="15"/>
      <c r="J1222" s="15"/>
      <c r="K1222" s="18"/>
      <c r="L1222" s="15"/>
      <c r="M1222" s="15"/>
      <c r="N1222" s="15"/>
      <c r="O1222" s="24"/>
      <c r="P1222" s="17"/>
      <c r="Q1222" s="16"/>
      <c r="R1222" s="19"/>
      <c r="S1222" s="20"/>
    </row>
    <row r="1223" spans="1:19" x14ac:dyDescent="0.25">
      <c r="A1223" t="str">
        <f>(COUNTIF($K$2:K1223,K1223))&amp;K1223</f>
        <v>0</v>
      </c>
      <c r="B1223" s="34"/>
      <c r="C1223" s="13"/>
      <c r="D1223" s="14"/>
      <c r="E1223" s="16"/>
      <c r="F1223" s="17"/>
      <c r="G1223" s="24"/>
      <c r="H1223" s="15"/>
      <c r="I1223" s="15"/>
      <c r="J1223" s="15"/>
      <c r="K1223" s="18"/>
      <c r="L1223" s="15"/>
      <c r="M1223" s="15"/>
      <c r="N1223" s="15"/>
      <c r="O1223" s="24"/>
      <c r="P1223" s="17"/>
      <c r="Q1223" s="16"/>
      <c r="R1223" s="19"/>
      <c r="S1223" s="20"/>
    </row>
    <row r="1224" spans="1:19" x14ac:dyDescent="0.25">
      <c r="A1224" t="str">
        <f>(COUNTIF($K$2:K1224,K1224))&amp;K1224</f>
        <v>0</v>
      </c>
      <c r="B1224" s="34"/>
      <c r="C1224" s="13"/>
      <c r="D1224" s="14"/>
      <c r="E1224" s="16"/>
      <c r="F1224" s="17"/>
      <c r="G1224" s="24"/>
      <c r="H1224" s="15"/>
      <c r="I1224" s="15"/>
      <c r="J1224" s="15"/>
      <c r="K1224" s="18"/>
      <c r="L1224" s="15"/>
      <c r="M1224" s="15"/>
      <c r="N1224" s="15"/>
      <c r="O1224" s="24"/>
      <c r="P1224" s="17"/>
      <c r="Q1224" s="16"/>
      <c r="R1224" s="19"/>
      <c r="S1224" s="20"/>
    </row>
    <row r="1225" spans="1:19" x14ac:dyDescent="0.25">
      <c r="A1225" t="str">
        <f>(COUNTIF($K$2:K1225,K1225))&amp;K1225</f>
        <v>0</v>
      </c>
      <c r="B1225" s="34"/>
      <c r="C1225" s="41"/>
      <c r="E1225" s="33"/>
      <c r="F1225" s="39"/>
      <c r="G1225" s="40"/>
      <c r="H1225" s="38"/>
      <c r="I1225" s="38"/>
      <c r="J1225" s="38"/>
      <c r="K1225" s="49"/>
      <c r="L1225" s="38"/>
      <c r="M1225" s="38"/>
      <c r="N1225" s="38"/>
      <c r="P1225" s="40"/>
      <c r="Q1225" s="33"/>
      <c r="R1225" s="38"/>
      <c r="S1225" s="38"/>
    </row>
    <row r="1226" spans="1:19" x14ac:dyDescent="0.25">
      <c r="A1226" t="str">
        <f>(COUNTIF($K$2:K1226,K1226))&amp;K1226</f>
        <v>0</v>
      </c>
      <c r="B1226" s="34"/>
      <c r="C1226" s="13"/>
      <c r="D1226" s="14"/>
      <c r="E1226" s="16"/>
      <c r="F1226" s="17"/>
      <c r="G1226" s="24"/>
      <c r="H1226" s="15"/>
      <c r="I1226" s="15"/>
      <c r="J1226" s="15"/>
      <c r="K1226" s="18"/>
      <c r="L1226" s="15"/>
      <c r="M1226" s="15"/>
      <c r="N1226" s="15"/>
      <c r="O1226" s="24"/>
      <c r="P1226" s="17"/>
      <c r="Q1226" s="16"/>
      <c r="R1226" s="19"/>
      <c r="S1226" s="20"/>
    </row>
    <row r="1227" spans="1:19" x14ac:dyDescent="0.25">
      <c r="A1227" t="str">
        <f>(COUNTIF($K$2:K1227,K1227))&amp;K1227</f>
        <v>0</v>
      </c>
      <c r="B1227" s="34"/>
      <c r="C1227" s="13"/>
      <c r="D1227" s="14"/>
      <c r="E1227" s="16"/>
      <c r="F1227" s="17"/>
      <c r="G1227" s="24"/>
      <c r="H1227" s="15"/>
      <c r="I1227" s="15"/>
      <c r="J1227" s="15"/>
      <c r="K1227" s="18"/>
      <c r="L1227" s="15"/>
      <c r="M1227" s="15"/>
      <c r="N1227" s="15"/>
      <c r="O1227" s="24"/>
      <c r="P1227" s="17"/>
      <c r="Q1227" s="16"/>
      <c r="R1227" s="19"/>
      <c r="S1227" s="20"/>
    </row>
    <row r="1228" spans="1:19" x14ac:dyDescent="0.25">
      <c r="A1228" t="str">
        <f>(COUNTIF($K$2:K1228,K1228))&amp;K1228</f>
        <v>0</v>
      </c>
      <c r="B1228" s="34"/>
      <c r="C1228" s="13"/>
      <c r="D1228" s="14"/>
      <c r="E1228" s="16"/>
      <c r="F1228" s="17"/>
      <c r="G1228" s="24"/>
      <c r="H1228" s="15"/>
      <c r="I1228" s="15"/>
      <c r="J1228" s="15"/>
      <c r="K1228" s="18"/>
      <c r="L1228" s="15"/>
      <c r="M1228" s="15"/>
      <c r="N1228" s="15"/>
      <c r="O1228" s="24"/>
      <c r="P1228" s="17"/>
      <c r="Q1228" s="16"/>
      <c r="R1228" s="19"/>
      <c r="S1228" s="20"/>
    </row>
    <row r="1229" spans="1:19" x14ac:dyDescent="0.25">
      <c r="A1229" t="str">
        <f>(COUNTIF($K$2:K1229,K1229))&amp;K1229</f>
        <v>0</v>
      </c>
      <c r="B1229" s="34"/>
      <c r="C1229" s="13"/>
      <c r="D1229" s="14"/>
      <c r="E1229" s="16"/>
      <c r="F1229" s="17"/>
      <c r="G1229" s="24"/>
      <c r="H1229" s="15"/>
      <c r="I1229" s="15"/>
      <c r="J1229" s="15"/>
      <c r="K1229" s="18"/>
      <c r="L1229" s="15"/>
      <c r="M1229" s="15"/>
      <c r="N1229" s="15"/>
      <c r="O1229" s="24"/>
      <c r="P1229" s="17"/>
      <c r="Q1229" s="16"/>
      <c r="R1229" s="19"/>
      <c r="S1229" s="20"/>
    </row>
    <row r="1230" spans="1:19" x14ac:dyDescent="0.25">
      <c r="A1230" t="str">
        <f>(COUNTIF($K$2:K1230,K1230))&amp;K1230</f>
        <v>0</v>
      </c>
      <c r="B1230" s="34"/>
      <c r="C1230" s="13"/>
      <c r="D1230" s="14"/>
      <c r="E1230" s="16"/>
      <c r="F1230" s="17"/>
      <c r="G1230" s="24"/>
      <c r="H1230" s="15"/>
      <c r="I1230" s="15"/>
      <c r="J1230" s="15"/>
      <c r="K1230" s="18"/>
      <c r="L1230" s="15"/>
      <c r="M1230" s="15"/>
      <c r="N1230" s="15"/>
      <c r="O1230" s="24"/>
      <c r="P1230" s="17"/>
      <c r="Q1230" s="16"/>
      <c r="R1230" s="19"/>
      <c r="S1230" s="20"/>
    </row>
    <row r="1231" spans="1:19" x14ac:dyDescent="0.25">
      <c r="A1231" t="str">
        <f>(COUNTIF($K$2:K1231,K1231))&amp;K1231</f>
        <v>0</v>
      </c>
      <c r="B1231" s="34"/>
      <c r="C1231" s="13"/>
      <c r="D1231" s="14"/>
      <c r="E1231" s="16"/>
      <c r="F1231" s="17"/>
      <c r="G1231" s="24"/>
      <c r="H1231" s="15"/>
      <c r="I1231" s="15"/>
      <c r="J1231" s="15"/>
      <c r="K1231" s="18"/>
      <c r="L1231" s="15"/>
      <c r="M1231" s="15"/>
      <c r="N1231" s="15"/>
      <c r="O1231" s="24"/>
      <c r="P1231" s="17"/>
      <c r="Q1231" s="16"/>
      <c r="R1231" s="19"/>
      <c r="S1231" s="20"/>
    </row>
    <row r="1232" spans="1:19" x14ac:dyDescent="0.25">
      <c r="A1232" t="str">
        <f>(COUNTIF($K$2:K1232,K1232))&amp;K1232</f>
        <v>0</v>
      </c>
      <c r="B1232" s="34"/>
      <c r="C1232" s="13"/>
      <c r="D1232" s="14"/>
      <c r="E1232" s="16"/>
      <c r="F1232" s="17"/>
      <c r="G1232" s="24"/>
      <c r="H1232" s="15"/>
      <c r="I1232" s="15"/>
      <c r="J1232" s="15"/>
      <c r="K1232" s="18"/>
      <c r="L1232" s="15"/>
      <c r="M1232" s="15"/>
      <c r="N1232" s="15"/>
      <c r="O1232" s="24"/>
      <c r="P1232" s="17"/>
      <c r="Q1232" s="16"/>
      <c r="R1232" s="19"/>
      <c r="S1232" s="20"/>
    </row>
    <row r="1233" spans="1:19" x14ac:dyDescent="0.25">
      <c r="A1233" t="str">
        <f>(COUNTIF($K$2:K1233,K1233))&amp;K1233</f>
        <v>0</v>
      </c>
      <c r="B1233" s="34"/>
      <c r="C1233" s="13"/>
      <c r="D1233" s="14"/>
      <c r="E1233" s="16"/>
      <c r="F1233" s="17"/>
      <c r="G1233" s="24"/>
      <c r="H1233" s="15"/>
      <c r="I1233" s="15"/>
      <c r="J1233" s="15"/>
      <c r="K1233" s="18"/>
      <c r="L1233" s="15"/>
      <c r="M1233" s="15"/>
      <c r="N1233" s="15"/>
      <c r="O1233" s="24"/>
      <c r="P1233" s="17"/>
      <c r="Q1233" s="16"/>
      <c r="R1233" s="19"/>
      <c r="S1233" s="20"/>
    </row>
    <row r="1234" spans="1:19" ht="15.75" x14ac:dyDescent="0.25">
      <c r="A1234" t="str">
        <f>(COUNTIF($K$2:K1234,K1234))&amp;K1234</f>
        <v>0</v>
      </c>
      <c r="B1234" s="34"/>
      <c r="C1234" s="13"/>
      <c r="D1234" s="14"/>
      <c r="E1234" s="16"/>
      <c r="F1234" s="17"/>
      <c r="G1234" s="24"/>
      <c r="H1234" s="15"/>
      <c r="I1234" s="15"/>
      <c r="J1234" s="15"/>
      <c r="K1234" s="21"/>
      <c r="L1234" s="15"/>
      <c r="M1234" s="15"/>
      <c r="N1234" s="15"/>
      <c r="O1234" s="24"/>
      <c r="P1234" s="17"/>
      <c r="Q1234" s="16"/>
      <c r="R1234" s="19"/>
      <c r="S1234" s="20"/>
    </row>
    <row r="1235" spans="1:19" x14ac:dyDescent="0.25">
      <c r="A1235" t="str">
        <f>(COUNTIF($K$2:K1235,K1235))&amp;K1235</f>
        <v>0</v>
      </c>
      <c r="B1235" s="34"/>
      <c r="C1235" s="13"/>
      <c r="D1235" s="14"/>
      <c r="E1235" s="16"/>
      <c r="F1235" s="17"/>
      <c r="G1235" s="24"/>
      <c r="H1235" s="15"/>
      <c r="I1235" s="15"/>
      <c r="J1235" s="15"/>
      <c r="K1235" s="18"/>
      <c r="L1235" s="15"/>
      <c r="M1235" s="15"/>
      <c r="N1235" s="15"/>
      <c r="O1235" s="24"/>
      <c r="P1235" s="17"/>
      <c r="Q1235" s="16"/>
      <c r="R1235" s="19"/>
      <c r="S1235" s="20"/>
    </row>
    <row r="1236" spans="1:19" x14ac:dyDescent="0.25">
      <c r="A1236" t="str">
        <f>(COUNTIF($K$2:K1236,K1236))&amp;K1236</f>
        <v>0</v>
      </c>
      <c r="B1236" s="34"/>
      <c r="C1236" s="13"/>
      <c r="D1236" s="14"/>
      <c r="E1236" s="16"/>
      <c r="F1236" s="17"/>
      <c r="G1236" s="24"/>
      <c r="H1236" s="15"/>
      <c r="I1236" s="15"/>
      <c r="J1236" s="15"/>
      <c r="K1236" s="18"/>
      <c r="L1236" s="15"/>
      <c r="M1236" s="15"/>
      <c r="N1236" s="15"/>
      <c r="O1236" s="24"/>
      <c r="P1236" s="17"/>
      <c r="Q1236" s="16"/>
      <c r="R1236" s="19"/>
      <c r="S1236" s="20"/>
    </row>
    <row r="1237" spans="1:19" x14ac:dyDescent="0.25">
      <c r="A1237" t="str">
        <f>(COUNTIF($K$2:K1237,K1237))&amp;K1237</f>
        <v>0</v>
      </c>
      <c r="B1237" s="34"/>
      <c r="C1237" s="13"/>
      <c r="D1237" s="14"/>
      <c r="E1237" s="16"/>
      <c r="F1237" s="17"/>
      <c r="G1237" s="24"/>
      <c r="H1237" s="15"/>
      <c r="I1237" s="15"/>
      <c r="J1237" s="15"/>
      <c r="K1237" s="18"/>
      <c r="L1237" s="15"/>
      <c r="M1237" s="15"/>
      <c r="N1237" s="15"/>
      <c r="O1237" s="24"/>
      <c r="P1237" s="17"/>
      <c r="Q1237" s="16"/>
      <c r="R1237" s="19"/>
      <c r="S1237" s="20"/>
    </row>
    <row r="1238" spans="1:19" x14ac:dyDescent="0.25">
      <c r="A1238" t="str">
        <f>(COUNTIF($K$2:K1238,K1238))&amp;K1238</f>
        <v>0</v>
      </c>
      <c r="B1238" s="34"/>
      <c r="C1238" s="13"/>
      <c r="D1238" s="14"/>
      <c r="E1238" s="16"/>
      <c r="F1238" s="17"/>
      <c r="G1238" s="24"/>
      <c r="H1238" s="15"/>
      <c r="I1238" s="15"/>
      <c r="J1238" s="15"/>
      <c r="K1238" s="18"/>
      <c r="L1238" s="15"/>
      <c r="M1238" s="15"/>
      <c r="N1238" s="15"/>
      <c r="O1238" s="24"/>
      <c r="P1238" s="17"/>
      <c r="Q1238" s="16"/>
      <c r="R1238" s="19"/>
      <c r="S1238" s="20"/>
    </row>
    <row r="1239" spans="1:19" x14ac:dyDescent="0.25">
      <c r="A1239" t="str">
        <f>(COUNTIF($K$2:K1239,K1239))&amp;K1239</f>
        <v>0</v>
      </c>
      <c r="B1239" s="34"/>
      <c r="C1239" s="13"/>
      <c r="D1239" s="14"/>
      <c r="E1239" s="16"/>
      <c r="F1239" s="17"/>
      <c r="G1239" s="24"/>
      <c r="H1239" s="15"/>
      <c r="I1239" s="15"/>
      <c r="J1239" s="15"/>
      <c r="K1239" s="18"/>
      <c r="L1239" s="15"/>
      <c r="M1239" s="15"/>
      <c r="N1239" s="15"/>
      <c r="O1239" s="24"/>
      <c r="P1239" s="17"/>
      <c r="Q1239" s="16"/>
      <c r="R1239" s="19"/>
      <c r="S1239" s="20"/>
    </row>
    <row r="1240" spans="1:19" x14ac:dyDescent="0.25">
      <c r="A1240" t="str">
        <f>(COUNTIF($K$2:K1240,K1240))&amp;K1240</f>
        <v>0</v>
      </c>
      <c r="B1240" s="34"/>
      <c r="C1240" s="13"/>
      <c r="D1240" s="14"/>
      <c r="E1240" s="16"/>
      <c r="F1240" s="17"/>
      <c r="G1240" s="24"/>
      <c r="H1240" s="15"/>
      <c r="I1240" s="15"/>
      <c r="J1240" s="15"/>
      <c r="K1240" s="18"/>
      <c r="L1240" s="15"/>
      <c r="M1240" s="15"/>
      <c r="N1240" s="15"/>
      <c r="O1240" s="24"/>
      <c r="P1240" s="17"/>
      <c r="Q1240" s="16"/>
      <c r="R1240" s="19"/>
      <c r="S1240" s="20"/>
    </row>
    <row r="1241" spans="1:19" x14ac:dyDescent="0.25">
      <c r="A1241" t="str">
        <f>(COUNTIF($K$2:K1241,K1241))&amp;K1241</f>
        <v>0</v>
      </c>
      <c r="B1241" s="34"/>
      <c r="C1241" s="13"/>
      <c r="D1241" s="14"/>
      <c r="E1241" s="16"/>
      <c r="F1241" s="17"/>
      <c r="G1241" s="24"/>
      <c r="H1241" s="15"/>
      <c r="I1241" s="15"/>
      <c r="J1241" s="15"/>
      <c r="K1241" s="18"/>
      <c r="L1241" s="15"/>
      <c r="M1241" s="15"/>
      <c r="N1241" s="15"/>
      <c r="O1241" s="24"/>
      <c r="P1241" s="17"/>
      <c r="Q1241" s="16"/>
      <c r="R1241" s="19"/>
      <c r="S1241" s="20"/>
    </row>
    <row r="1242" spans="1:19" x14ac:dyDescent="0.25">
      <c r="A1242" t="str">
        <f>(COUNTIF($K$2:K1242,K1242))&amp;K1242</f>
        <v>0</v>
      </c>
      <c r="B1242" s="34"/>
      <c r="C1242" s="41"/>
      <c r="E1242" s="33"/>
      <c r="F1242" s="39"/>
      <c r="G1242" s="40"/>
      <c r="H1242" s="38"/>
      <c r="I1242" s="38"/>
      <c r="J1242" s="38"/>
      <c r="K1242" s="49"/>
      <c r="L1242" s="38"/>
      <c r="M1242" s="38"/>
      <c r="N1242" s="38"/>
      <c r="P1242" s="40"/>
      <c r="Q1242" s="33"/>
      <c r="R1242" s="38"/>
      <c r="S1242" s="38"/>
    </row>
    <row r="1243" spans="1:19" x14ac:dyDescent="0.25">
      <c r="A1243" t="str">
        <f>(COUNTIF($K$2:K1243,K1243))&amp;K1243</f>
        <v>0</v>
      </c>
      <c r="B1243" s="34"/>
      <c r="C1243" s="13"/>
      <c r="D1243" s="14"/>
      <c r="E1243" s="16"/>
      <c r="F1243" s="17"/>
      <c r="G1243" s="24"/>
      <c r="H1243" s="15"/>
      <c r="I1243" s="15"/>
      <c r="J1243" s="15"/>
      <c r="K1243" s="18"/>
      <c r="L1243" s="15"/>
      <c r="M1243" s="15"/>
      <c r="N1243" s="15"/>
      <c r="O1243" s="24"/>
      <c r="P1243" s="17"/>
      <c r="Q1243" s="16"/>
      <c r="R1243" s="19"/>
      <c r="S1243" s="20"/>
    </row>
    <row r="1244" spans="1:19" x14ac:dyDescent="0.25">
      <c r="A1244" t="str">
        <f>(COUNTIF($K$2:K1244,K1244))&amp;K1244</f>
        <v>0</v>
      </c>
      <c r="B1244" s="34"/>
      <c r="C1244" s="13"/>
      <c r="D1244" s="14"/>
      <c r="E1244" s="16"/>
      <c r="F1244" s="17"/>
      <c r="G1244" s="24"/>
      <c r="H1244" s="15"/>
      <c r="I1244" s="15"/>
      <c r="J1244" s="15"/>
      <c r="K1244" s="18"/>
      <c r="L1244" s="15"/>
      <c r="M1244" s="15"/>
      <c r="N1244" s="15"/>
      <c r="O1244" s="24"/>
      <c r="P1244" s="17"/>
      <c r="Q1244" s="16"/>
      <c r="R1244" s="19"/>
      <c r="S1244" s="20"/>
    </row>
    <row r="1245" spans="1:19" x14ac:dyDescent="0.25">
      <c r="A1245" t="str">
        <f>(COUNTIF($K$2:K1245,K1245))&amp;K1245</f>
        <v>0</v>
      </c>
      <c r="B1245" s="34"/>
      <c r="C1245" s="13"/>
      <c r="D1245" s="14"/>
      <c r="E1245" s="16"/>
      <c r="F1245" s="17"/>
      <c r="G1245" s="24"/>
      <c r="H1245" s="15"/>
      <c r="I1245" s="15"/>
      <c r="J1245" s="15"/>
      <c r="K1245" s="18"/>
      <c r="L1245" s="15"/>
      <c r="M1245" s="15"/>
      <c r="N1245" s="15"/>
      <c r="O1245" s="24"/>
      <c r="P1245" s="17"/>
      <c r="Q1245" s="16"/>
      <c r="R1245" s="19"/>
      <c r="S1245" s="20"/>
    </row>
    <row r="1246" spans="1:19" x14ac:dyDescent="0.25">
      <c r="A1246" t="str">
        <f>(COUNTIF($K$2:K1246,K1246))&amp;K1246</f>
        <v>0</v>
      </c>
      <c r="B1246" s="34"/>
      <c r="C1246" s="13"/>
      <c r="D1246" s="14"/>
      <c r="E1246" s="16"/>
      <c r="F1246" s="17"/>
      <c r="G1246" s="24"/>
      <c r="H1246" s="15"/>
      <c r="I1246" s="15"/>
      <c r="J1246" s="15"/>
      <c r="K1246" s="18"/>
      <c r="L1246" s="15"/>
      <c r="M1246" s="15"/>
      <c r="N1246" s="15"/>
      <c r="O1246" s="24"/>
      <c r="P1246" s="17"/>
      <c r="Q1246" s="16"/>
      <c r="R1246" s="19"/>
      <c r="S1246" s="20"/>
    </row>
    <row r="1247" spans="1:19" x14ac:dyDescent="0.25">
      <c r="A1247" t="str">
        <f>(COUNTIF($K$2:K1247,K1247))&amp;K1247</f>
        <v>0</v>
      </c>
      <c r="B1247" s="34"/>
      <c r="C1247" s="13"/>
      <c r="D1247" s="14"/>
      <c r="E1247" s="16"/>
      <c r="F1247" s="17"/>
      <c r="G1247" s="24"/>
      <c r="H1247" s="15"/>
      <c r="I1247" s="15"/>
      <c r="J1247" s="15"/>
      <c r="K1247" s="18"/>
      <c r="L1247" s="15"/>
      <c r="M1247" s="15"/>
      <c r="N1247" s="15"/>
      <c r="O1247" s="24"/>
      <c r="P1247" s="17"/>
      <c r="Q1247" s="16"/>
      <c r="R1247" s="19"/>
      <c r="S1247" s="20"/>
    </row>
    <row r="1248" spans="1:19" x14ac:dyDescent="0.25">
      <c r="A1248" t="str">
        <f>(COUNTIF($K$2:K1248,K1248))&amp;K1248</f>
        <v>0</v>
      </c>
      <c r="B1248" s="34"/>
      <c r="C1248" s="13"/>
      <c r="D1248" s="14"/>
      <c r="E1248" s="16"/>
      <c r="F1248" s="17"/>
      <c r="G1248" s="24"/>
      <c r="H1248" s="15"/>
      <c r="I1248" s="15"/>
      <c r="J1248" s="15"/>
      <c r="K1248" s="18"/>
      <c r="L1248" s="15"/>
      <c r="M1248" s="15"/>
      <c r="N1248" s="15"/>
      <c r="O1248" s="24"/>
      <c r="P1248" s="17"/>
      <c r="Q1248" s="16"/>
      <c r="R1248" s="19"/>
      <c r="S1248" s="20"/>
    </row>
    <row r="1249" spans="1:19" x14ac:dyDescent="0.25">
      <c r="A1249" t="str">
        <f>(COUNTIF($K$2:K1249,K1249))&amp;K1249</f>
        <v>0</v>
      </c>
      <c r="B1249" s="34"/>
      <c r="C1249" s="13"/>
      <c r="D1249" s="14"/>
      <c r="E1249" s="16"/>
      <c r="F1249" s="17"/>
      <c r="G1249" s="24"/>
      <c r="H1249" s="15"/>
      <c r="I1249" s="15"/>
      <c r="J1249" s="15"/>
      <c r="K1249" s="18"/>
      <c r="L1249" s="15"/>
      <c r="M1249" s="15"/>
      <c r="N1249" s="15"/>
      <c r="O1249" s="24"/>
      <c r="P1249" s="17"/>
      <c r="Q1249" s="16"/>
      <c r="R1249" s="19"/>
      <c r="S1249" s="20"/>
    </row>
    <row r="1250" spans="1:19" x14ac:dyDescent="0.25">
      <c r="A1250" t="str">
        <f>(COUNTIF($K$2:K1250,K1250))&amp;K1250</f>
        <v>0</v>
      </c>
      <c r="B1250" s="34"/>
      <c r="C1250" s="13"/>
      <c r="D1250" s="14"/>
      <c r="E1250" s="16"/>
      <c r="F1250" s="17"/>
      <c r="G1250" s="24"/>
      <c r="H1250" s="15"/>
      <c r="I1250" s="15"/>
      <c r="J1250" s="15"/>
      <c r="K1250" s="18"/>
      <c r="L1250" s="15"/>
      <c r="M1250" s="15"/>
      <c r="N1250" s="15"/>
      <c r="O1250" s="24"/>
      <c r="P1250" s="17"/>
      <c r="Q1250" s="16"/>
      <c r="R1250" s="19"/>
      <c r="S1250" s="20"/>
    </row>
    <row r="1251" spans="1:19" ht="15.75" x14ac:dyDescent="0.25">
      <c r="A1251" t="str">
        <f>(COUNTIF($K$2:K1251,K1251))&amp;K1251</f>
        <v>0</v>
      </c>
      <c r="B1251" s="34"/>
      <c r="C1251" s="13"/>
      <c r="D1251" s="14"/>
      <c r="E1251" s="16"/>
      <c r="F1251" s="17"/>
      <c r="G1251" s="24"/>
      <c r="H1251" s="15"/>
      <c r="I1251" s="15"/>
      <c r="J1251" s="15"/>
      <c r="K1251" s="21"/>
      <c r="L1251" s="15"/>
      <c r="M1251" s="15"/>
      <c r="N1251" s="15"/>
      <c r="O1251" s="24"/>
      <c r="P1251" s="17"/>
      <c r="Q1251" s="16"/>
      <c r="R1251" s="19"/>
      <c r="S1251" s="20"/>
    </row>
    <row r="1252" spans="1:19" x14ac:dyDescent="0.25">
      <c r="A1252" t="str">
        <f>(COUNTIF($K$2:K1252,K1252))&amp;K1252</f>
        <v>0</v>
      </c>
      <c r="B1252" s="34"/>
      <c r="C1252" s="13"/>
      <c r="D1252" s="14"/>
      <c r="E1252" s="16"/>
      <c r="F1252" s="17"/>
      <c r="G1252" s="24"/>
      <c r="H1252" s="15"/>
      <c r="I1252" s="15"/>
      <c r="J1252" s="15"/>
      <c r="K1252" s="18"/>
      <c r="L1252" s="15"/>
      <c r="M1252" s="15"/>
      <c r="N1252" s="15"/>
      <c r="O1252" s="24"/>
      <c r="P1252" s="17"/>
      <c r="Q1252" s="16"/>
      <c r="R1252" s="19"/>
      <c r="S1252" s="20"/>
    </row>
    <row r="1253" spans="1:19" x14ac:dyDescent="0.25">
      <c r="A1253" t="str">
        <f>(COUNTIF($K$2:K1253,K1253))&amp;K1253</f>
        <v>0</v>
      </c>
      <c r="B1253" s="34"/>
      <c r="C1253" s="13"/>
      <c r="D1253" s="14"/>
      <c r="E1253" s="16"/>
      <c r="F1253" s="17"/>
      <c r="G1253" s="24"/>
      <c r="H1253" s="15"/>
      <c r="I1253" s="15"/>
      <c r="J1253" s="15"/>
      <c r="K1253" s="18"/>
      <c r="L1253" s="15"/>
      <c r="M1253" s="15"/>
      <c r="N1253" s="15"/>
      <c r="O1253" s="24"/>
      <c r="P1253" s="17"/>
      <c r="Q1253" s="16"/>
      <c r="R1253" s="19"/>
      <c r="S1253" s="20"/>
    </row>
    <row r="1254" spans="1:19" x14ac:dyDescent="0.25">
      <c r="A1254" t="str">
        <f>(COUNTIF($K$2:K1254,K1254))&amp;K1254</f>
        <v>0</v>
      </c>
      <c r="B1254" s="34"/>
      <c r="C1254" s="13"/>
      <c r="D1254" s="14"/>
      <c r="E1254" s="16"/>
      <c r="F1254" s="17"/>
      <c r="G1254" s="24"/>
      <c r="H1254" s="15"/>
      <c r="I1254" s="15"/>
      <c r="J1254" s="15"/>
      <c r="K1254" s="18"/>
      <c r="L1254" s="15"/>
      <c r="M1254" s="15"/>
      <c r="N1254" s="15"/>
      <c r="O1254" s="24"/>
      <c r="P1254" s="17"/>
      <c r="Q1254" s="16"/>
      <c r="R1254" s="19"/>
      <c r="S1254" s="20"/>
    </row>
    <row r="1255" spans="1:19" x14ac:dyDescent="0.25">
      <c r="A1255" t="str">
        <f>(COUNTIF($K$2:K1255,K1255))&amp;K1255</f>
        <v>0</v>
      </c>
      <c r="B1255" s="34"/>
      <c r="C1255" s="13"/>
      <c r="D1255" s="14"/>
      <c r="E1255" s="16"/>
      <c r="F1255" s="17"/>
      <c r="G1255" s="24"/>
      <c r="H1255" s="15"/>
      <c r="I1255" s="15"/>
      <c r="J1255" s="15"/>
      <c r="K1255" s="18"/>
      <c r="L1255" s="15"/>
      <c r="M1255" s="15"/>
      <c r="N1255" s="15"/>
      <c r="O1255" s="24"/>
      <c r="P1255" s="17"/>
      <c r="Q1255" s="16"/>
      <c r="R1255" s="19"/>
      <c r="S1255" s="20"/>
    </row>
    <row r="1256" spans="1:19" x14ac:dyDescent="0.25">
      <c r="A1256" t="str">
        <f>(COUNTIF($K$2:K1256,K1256))&amp;K1256</f>
        <v>0</v>
      </c>
      <c r="B1256" s="34"/>
      <c r="C1256" s="13"/>
      <c r="D1256" s="14"/>
      <c r="E1256" s="16"/>
      <c r="F1256" s="17"/>
      <c r="G1256" s="24"/>
      <c r="H1256" s="15"/>
      <c r="I1256" s="15"/>
      <c r="J1256" s="15"/>
      <c r="K1256" s="18"/>
      <c r="L1256" s="15"/>
      <c r="M1256" s="15"/>
      <c r="N1256" s="15"/>
      <c r="O1256" s="24"/>
      <c r="P1256" s="17"/>
      <c r="Q1256" s="16"/>
      <c r="R1256" s="19"/>
      <c r="S1256" s="20"/>
    </row>
    <row r="1257" spans="1:19" x14ac:dyDescent="0.25">
      <c r="A1257" t="str">
        <f>(COUNTIF($K$2:K1257,K1257))&amp;K1257</f>
        <v>0</v>
      </c>
      <c r="B1257" s="34"/>
      <c r="C1257" s="13"/>
      <c r="D1257" s="14"/>
      <c r="E1257" s="16"/>
      <c r="F1257" s="17"/>
      <c r="G1257" s="24"/>
      <c r="H1257" s="15"/>
      <c r="I1257" s="15"/>
      <c r="J1257" s="15"/>
      <c r="K1257" s="18"/>
      <c r="L1257" s="15"/>
      <c r="M1257" s="15"/>
      <c r="N1257" s="15"/>
      <c r="O1257" s="24"/>
      <c r="P1257" s="17"/>
      <c r="Q1257" s="16"/>
      <c r="R1257" s="19"/>
      <c r="S1257" s="20"/>
    </row>
    <row r="1258" spans="1:19" x14ac:dyDescent="0.25">
      <c r="A1258" t="str">
        <f>(COUNTIF($K$2:K1258,K1258))&amp;K1258</f>
        <v>0</v>
      </c>
      <c r="B1258" s="34"/>
      <c r="C1258" s="13"/>
      <c r="D1258" s="14"/>
      <c r="E1258" s="16"/>
      <c r="F1258" s="17"/>
      <c r="G1258" s="24"/>
      <c r="H1258" s="15"/>
      <c r="I1258" s="15"/>
      <c r="J1258" s="15"/>
      <c r="K1258" s="18"/>
      <c r="L1258" s="15"/>
      <c r="M1258" s="15"/>
      <c r="N1258" s="15"/>
      <c r="O1258" s="24"/>
      <c r="P1258" s="17"/>
      <c r="Q1258" s="16"/>
      <c r="R1258" s="19"/>
      <c r="S1258" s="20"/>
    </row>
    <row r="1259" spans="1:19" x14ac:dyDescent="0.25">
      <c r="A1259" t="str">
        <f>(COUNTIF($K$2:K1259,K1259))&amp;K1259</f>
        <v>0</v>
      </c>
      <c r="B1259" s="34"/>
      <c r="C1259" s="41"/>
      <c r="E1259" s="33"/>
      <c r="F1259" s="39"/>
      <c r="G1259" s="40"/>
      <c r="H1259" s="38"/>
      <c r="I1259" s="38"/>
      <c r="J1259" s="38"/>
      <c r="K1259" s="49"/>
      <c r="L1259" s="38"/>
      <c r="M1259" s="38"/>
      <c r="N1259" s="38"/>
      <c r="P1259" s="40"/>
      <c r="Q1259" s="33"/>
      <c r="R1259" s="38"/>
      <c r="S1259" s="38"/>
    </row>
    <row r="1260" spans="1:19" x14ac:dyDescent="0.25">
      <c r="A1260" t="str">
        <f>(COUNTIF($K$2:K1260,K1260))&amp;K1260</f>
        <v>0</v>
      </c>
      <c r="B1260" s="34"/>
      <c r="C1260" s="13"/>
      <c r="D1260" s="14"/>
      <c r="E1260" s="16"/>
      <c r="F1260" s="17"/>
      <c r="G1260" s="24"/>
      <c r="H1260" s="15"/>
      <c r="I1260" s="15"/>
      <c r="J1260" s="15"/>
      <c r="K1260" s="18"/>
      <c r="L1260" s="15"/>
      <c r="M1260" s="15"/>
      <c r="N1260" s="15"/>
      <c r="O1260" s="24"/>
      <c r="P1260" s="17"/>
      <c r="Q1260" s="16"/>
      <c r="R1260" s="19"/>
      <c r="S1260" s="20"/>
    </row>
    <row r="1261" spans="1:19" x14ac:dyDescent="0.25">
      <c r="A1261" t="str">
        <f>(COUNTIF($K$2:K1261,K1261))&amp;K1261</f>
        <v>0</v>
      </c>
      <c r="B1261" s="34"/>
      <c r="C1261" s="13"/>
      <c r="D1261" s="14"/>
      <c r="E1261" s="16"/>
      <c r="F1261" s="17"/>
      <c r="G1261" s="24"/>
      <c r="H1261" s="15"/>
      <c r="I1261" s="15"/>
      <c r="J1261" s="15"/>
      <c r="K1261" s="18"/>
      <c r="L1261" s="15"/>
      <c r="M1261" s="15"/>
      <c r="N1261" s="15"/>
      <c r="O1261" s="24"/>
      <c r="P1261" s="17"/>
      <c r="Q1261" s="16"/>
      <c r="R1261" s="19"/>
      <c r="S1261" s="20"/>
    </row>
    <row r="1262" spans="1:19" x14ac:dyDescent="0.25">
      <c r="A1262" t="str">
        <f>(COUNTIF($K$2:K1262,K1262))&amp;K1262</f>
        <v>0</v>
      </c>
      <c r="B1262" s="34"/>
      <c r="C1262" s="13"/>
      <c r="D1262" s="14"/>
      <c r="E1262" s="16"/>
      <c r="F1262" s="17"/>
      <c r="G1262" s="24"/>
      <c r="H1262" s="15"/>
      <c r="I1262" s="15"/>
      <c r="J1262" s="15"/>
      <c r="K1262" s="18"/>
      <c r="L1262" s="15"/>
      <c r="M1262" s="15"/>
      <c r="N1262" s="15"/>
      <c r="O1262" s="24"/>
      <c r="P1262" s="17"/>
      <c r="Q1262" s="16"/>
      <c r="R1262" s="19"/>
      <c r="S1262" s="20"/>
    </row>
    <row r="1263" spans="1:19" x14ac:dyDescent="0.25">
      <c r="A1263" t="str">
        <f>(COUNTIF($K$2:K1263,K1263))&amp;K1263</f>
        <v>0</v>
      </c>
      <c r="B1263" s="34"/>
      <c r="C1263" s="13"/>
      <c r="D1263" s="14"/>
      <c r="E1263" s="16"/>
      <c r="F1263" s="17"/>
      <c r="G1263" s="24"/>
      <c r="H1263" s="15"/>
      <c r="I1263" s="15"/>
      <c r="J1263" s="15"/>
      <c r="K1263" s="18"/>
      <c r="L1263" s="15"/>
      <c r="M1263" s="15"/>
      <c r="N1263" s="15"/>
      <c r="O1263" s="24"/>
      <c r="P1263" s="17"/>
      <c r="Q1263" s="16"/>
      <c r="R1263" s="19"/>
      <c r="S1263" s="20"/>
    </row>
    <row r="1264" spans="1:19" x14ac:dyDescent="0.25">
      <c r="A1264" t="str">
        <f>(COUNTIF($K$2:K1264,K1264))&amp;K1264</f>
        <v>0</v>
      </c>
      <c r="B1264" s="34"/>
      <c r="C1264" s="13"/>
      <c r="D1264" s="14"/>
      <c r="E1264" s="16"/>
      <c r="F1264" s="17"/>
      <c r="G1264" s="24"/>
      <c r="H1264" s="15"/>
      <c r="I1264" s="15"/>
      <c r="J1264" s="15"/>
      <c r="K1264" s="18"/>
      <c r="L1264" s="15"/>
      <c r="M1264" s="15"/>
      <c r="N1264" s="15"/>
      <c r="O1264" s="24"/>
      <c r="P1264" s="17"/>
      <c r="Q1264" s="16"/>
      <c r="R1264" s="19"/>
      <c r="S1264" s="20"/>
    </row>
    <row r="1265" spans="1:19" x14ac:dyDescent="0.25">
      <c r="A1265" t="str">
        <f>(COUNTIF($K$2:K1265,K1265))&amp;K1265</f>
        <v>0</v>
      </c>
      <c r="B1265" s="34"/>
      <c r="C1265" s="13"/>
      <c r="D1265" s="14"/>
      <c r="E1265" s="16"/>
      <c r="F1265" s="17"/>
      <c r="G1265" s="24"/>
      <c r="H1265" s="15"/>
      <c r="I1265" s="15"/>
      <c r="J1265" s="15"/>
      <c r="K1265" s="18"/>
      <c r="L1265" s="15"/>
      <c r="M1265" s="15"/>
      <c r="N1265" s="15"/>
      <c r="O1265" s="24"/>
      <c r="P1265" s="17"/>
      <c r="Q1265" s="16"/>
      <c r="R1265" s="19"/>
      <c r="S1265" s="20"/>
    </row>
    <row r="1266" spans="1:19" x14ac:dyDescent="0.25">
      <c r="A1266" t="str">
        <f>(COUNTIF($K$2:K1266,K1266))&amp;K1266</f>
        <v>0</v>
      </c>
      <c r="B1266" s="34"/>
      <c r="C1266" s="13"/>
      <c r="D1266" s="14"/>
      <c r="E1266" s="16"/>
      <c r="F1266" s="17"/>
      <c r="G1266" s="24"/>
      <c r="H1266" s="15"/>
      <c r="I1266" s="15"/>
      <c r="J1266" s="15"/>
      <c r="K1266" s="18"/>
      <c r="L1266" s="15"/>
      <c r="M1266" s="15"/>
      <c r="N1266" s="15"/>
      <c r="O1266" s="24"/>
      <c r="P1266" s="17"/>
      <c r="Q1266" s="16"/>
      <c r="R1266" s="19"/>
      <c r="S1266" s="20"/>
    </row>
    <row r="1267" spans="1:19" x14ac:dyDescent="0.25">
      <c r="A1267" t="str">
        <f>(COUNTIF($K$2:K1267,K1267))&amp;K1267</f>
        <v>0</v>
      </c>
      <c r="B1267" s="34"/>
      <c r="C1267" s="13"/>
      <c r="D1267" s="14"/>
      <c r="E1267" s="16"/>
      <c r="F1267" s="17"/>
      <c r="G1267" s="24"/>
      <c r="H1267" s="15"/>
      <c r="I1267" s="15"/>
      <c r="J1267" s="15"/>
      <c r="K1267" s="18"/>
      <c r="L1267" s="15"/>
      <c r="M1267" s="15"/>
      <c r="N1267" s="15"/>
      <c r="O1267" s="24"/>
      <c r="P1267" s="17"/>
      <c r="Q1267" s="16"/>
      <c r="R1267" s="19"/>
      <c r="S1267" s="20"/>
    </row>
    <row r="1268" spans="1:19" ht="15.75" x14ac:dyDescent="0.25">
      <c r="A1268" t="str">
        <f>(COUNTIF($K$2:K1268,K1268))&amp;K1268</f>
        <v>0</v>
      </c>
      <c r="B1268" s="34"/>
      <c r="C1268" s="13"/>
      <c r="D1268" s="14"/>
      <c r="E1268" s="16"/>
      <c r="F1268" s="17"/>
      <c r="G1268" s="24"/>
      <c r="H1268" s="15"/>
      <c r="I1268" s="15"/>
      <c r="J1268" s="15"/>
      <c r="K1268" s="21"/>
      <c r="L1268" s="15"/>
      <c r="M1268" s="15"/>
      <c r="N1268" s="15"/>
      <c r="O1268" s="24"/>
      <c r="P1268" s="17"/>
      <c r="Q1268" s="16"/>
      <c r="R1268" s="19"/>
      <c r="S1268" s="20"/>
    </row>
    <row r="1269" spans="1:19" x14ac:dyDescent="0.25">
      <c r="A1269" t="str">
        <f>(COUNTIF($K$2:K1269,K1269))&amp;K1269</f>
        <v>0</v>
      </c>
      <c r="B1269" s="34"/>
      <c r="C1269" s="13"/>
      <c r="D1269" s="14"/>
      <c r="E1269" s="16"/>
      <c r="F1269" s="17"/>
      <c r="G1269" s="24"/>
      <c r="H1269" s="15"/>
      <c r="I1269" s="15"/>
      <c r="J1269" s="15"/>
      <c r="K1269" s="18"/>
      <c r="L1269" s="15"/>
      <c r="M1269" s="15"/>
      <c r="N1269" s="15"/>
      <c r="O1269" s="24"/>
      <c r="P1269" s="17"/>
      <c r="Q1269" s="16"/>
      <c r="R1269" s="19"/>
      <c r="S1269" s="20"/>
    </row>
    <row r="1270" spans="1:19" x14ac:dyDescent="0.25">
      <c r="A1270" t="str">
        <f>(COUNTIF($K$2:K1270,K1270))&amp;K1270</f>
        <v>0</v>
      </c>
      <c r="B1270" s="34"/>
      <c r="C1270" s="13"/>
      <c r="D1270" s="14"/>
      <c r="E1270" s="16"/>
      <c r="F1270" s="17"/>
      <c r="G1270" s="24"/>
      <c r="H1270" s="15"/>
      <c r="I1270" s="15"/>
      <c r="J1270" s="15"/>
      <c r="K1270" s="18"/>
      <c r="L1270" s="15"/>
      <c r="M1270" s="15"/>
      <c r="N1270" s="15"/>
      <c r="O1270" s="24"/>
      <c r="P1270" s="17"/>
      <c r="Q1270" s="16"/>
      <c r="R1270" s="19"/>
      <c r="S1270" s="20"/>
    </row>
    <row r="1271" spans="1:19" x14ac:dyDescent="0.25">
      <c r="A1271" t="str">
        <f>(COUNTIF($K$2:K1271,K1271))&amp;K1271</f>
        <v>0</v>
      </c>
      <c r="B1271" s="34"/>
      <c r="C1271" s="13"/>
      <c r="D1271" s="14"/>
      <c r="E1271" s="16"/>
      <c r="F1271" s="17"/>
      <c r="G1271" s="24"/>
      <c r="H1271" s="15"/>
      <c r="I1271" s="15"/>
      <c r="J1271" s="15"/>
      <c r="K1271" s="18"/>
      <c r="L1271" s="15"/>
      <c r="M1271" s="15"/>
      <c r="N1271" s="15"/>
      <c r="O1271" s="24"/>
      <c r="P1271" s="17"/>
      <c r="Q1271" s="16"/>
      <c r="R1271" s="19"/>
      <c r="S1271" s="20"/>
    </row>
    <row r="1272" spans="1:19" x14ac:dyDescent="0.25">
      <c r="A1272" t="str">
        <f>(COUNTIF($K$2:K1272,K1272))&amp;K1272</f>
        <v>0</v>
      </c>
      <c r="B1272" s="34"/>
      <c r="C1272" s="13"/>
      <c r="D1272" s="14"/>
      <c r="E1272" s="16"/>
      <c r="F1272" s="17"/>
      <c r="G1272" s="24"/>
      <c r="H1272" s="15"/>
      <c r="I1272" s="15"/>
      <c r="J1272" s="15"/>
      <c r="K1272" s="18"/>
      <c r="L1272" s="15"/>
      <c r="M1272" s="15"/>
      <c r="N1272" s="15"/>
      <c r="O1272" s="24"/>
      <c r="P1272" s="17"/>
      <c r="Q1272" s="16"/>
      <c r="R1272" s="19"/>
      <c r="S1272" s="20"/>
    </row>
    <row r="1273" spans="1:19" x14ac:dyDescent="0.25">
      <c r="A1273" t="str">
        <f>(COUNTIF($K$2:K1273,K1273))&amp;K1273</f>
        <v>0</v>
      </c>
      <c r="B1273" s="34"/>
      <c r="C1273" s="13"/>
      <c r="D1273" s="14"/>
      <c r="E1273" s="16"/>
      <c r="F1273" s="17"/>
      <c r="G1273" s="24"/>
      <c r="H1273" s="15"/>
      <c r="I1273" s="15"/>
      <c r="J1273" s="15"/>
      <c r="K1273" s="18"/>
      <c r="L1273" s="15"/>
      <c r="M1273" s="15"/>
      <c r="N1273" s="15"/>
      <c r="O1273" s="24"/>
      <c r="P1273" s="17"/>
      <c r="Q1273" s="16"/>
      <c r="R1273" s="19"/>
      <c r="S1273" s="20"/>
    </row>
    <row r="1274" spans="1:19" x14ac:dyDescent="0.25">
      <c r="A1274" t="str">
        <f>(COUNTIF($K$2:K1274,K1274))&amp;K1274</f>
        <v>0</v>
      </c>
      <c r="B1274" s="34"/>
      <c r="C1274" s="13"/>
      <c r="D1274" s="14"/>
      <c r="E1274" s="16"/>
      <c r="F1274" s="17"/>
      <c r="G1274" s="24"/>
      <c r="H1274" s="15"/>
      <c r="I1274" s="15"/>
      <c r="J1274" s="15"/>
      <c r="K1274" s="18"/>
      <c r="L1274" s="15"/>
      <c r="M1274" s="15"/>
      <c r="N1274" s="15"/>
      <c r="O1274" s="24"/>
      <c r="P1274" s="17"/>
      <c r="Q1274" s="16"/>
      <c r="R1274" s="19"/>
      <c r="S1274" s="20"/>
    </row>
    <row r="1275" spans="1:19" x14ac:dyDescent="0.25">
      <c r="A1275" t="str">
        <f>(COUNTIF($K$2:K1275,K1275))&amp;K1275</f>
        <v>0</v>
      </c>
      <c r="B1275" s="34"/>
      <c r="C1275" s="13"/>
      <c r="D1275" s="14"/>
      <c r="E1275" s="16"/>
      <c r="F1275" s="17"/>
      <c r="G1275" s="24"/>
      <c r="H1275" s="15"/>
      <c r="I1275" s="15"/>
      <c r="J1275" s="15"/>
      <c r="K1275" s="18"/>
      <c r="L1275" s="15"/>
      <c r="M1275" s="15"/>
      <c r="N1275" s="15"/>
      <c r="O1275" s="24"/>
      <c r="P1275" s="17"/>
      <c r="Q1275" s="16"/>
      <c r="R1275" s="19"/>
      <c r="S1275" s="20"/>
    </row>
    <row r="1276" spans="1:19" x14ac:dyDescent="0.25">
      <c r="A1276" t="str">
        <f>(COUNTIF($K$2:K1276,K1276))&amp;K1276</f>
        <v>0</v>
      </c>
      <c r="B1276" s="34"/>
      <c r="C1276" s="41"/>
      <c r="E1276" s="33"/>
      <c r="F1276" s="39"/>
      <c r="G1276" s="40"/>
      <c r="H1276" s="38"/>
      <c r="I1276" s="38"/>
      <c r="J1276" s="38"/>
      <c r="K1276" s="49"/>
      <c r="L1276" s="38"/>
      <c r="M1276" s="38"/>
      <c r="N1276" s="38"/>
      <c r="P1276" s="40"/>
      <c r="Q1276" s="33"/>
      <c r="R1276" s="38"/>
      <c r="S1276" s="38"/>
    </row>
    <row r="1277" spans="1:19" x14ac:dyDescent="0.25">
      <c r="A1277" t="str">
        <f>(COUNTIF($K$2:K1277,K1277))&amp;K1277</f>
        <v>0</v>
      </c>
      <c r="B1277" s="34"/>
      <c r="C1277" s="13"/>
      <c r="D1277" s="14"/>
      <c r="E1277" s="16"/>
      <c r="F1277" s="17"/>
      <c r="G1277" s="24"/>
      <c r="H1277" s="15"/>
      <c r="I1277" s="15"/>
      <c r="J1277" s="15"/>
      <c r="K1277" s="18"/>
      <c r="L1277" s="15"/>
      <c r="M1277" s="15"/>
      <c r="N1277" s="15"/>
      <c r="O1277" s="24"/>
      <c r="P1277" s="17"/>
      <c r="Q1277" s="16"/>
      <c r="R1277" s="19"/>
      <c r="S1277" s="20"/>
    </row>
    <row r="1278" spans="1:19" x14ac:dyDescent="0.25">
      <c r="A1278" t="str">
        <f>(COUNTIF($K$2:K1278,K1278))&amp;K1278</f>
        <v>0</v>
      </c>
      <c r="B1278" s="34"/>
      <c r="C1278" s="13"/>
      <c r="D1278" s="14"/>
      <c r="E1278" s="16"/>
      <c r="F1278" s="17"/>
      <c r="G1278" s="24"/>
      <c r="H1278" s="15"/>
      <c r="I1278" s="15"/>
      <c r="J1278" s="15"/>
      <c r="K1278" s="18"/>
      <c r="L1278" s="15"/>
      <c r="M1278" s="15"/>
      <c r="N1278" s="15"/>
      <c r="O1278" s="24"/>
      <c r="P1278" s="17"/>
      <c r="Q1278" s="16"/>
      <c r="R1278" s="19"/>
      <c r="S1278" s="20"/>
    </row>
    <row r="1279" spans="1:19" x14ac:dyDescent="0.25">
      <c r="A1279" t="str">
        <f>(COUNTIF($K$2:K1279,K1279))&amp;K1279</f>
        <v>0</v>
      </c>
      <c r="B1279" s="34"/>
      <c r="C1279" s="13"/>
      <c r="D1279" s="14"/>
      <c r="E1279" s="16"/>
      <c r="F1279" s="17"/>
      <c r="G1279" s="24"/>
      <c r="H1279" s="15"/>
      <c r="I1279" s="15"/>
      <c r="J1279" s="15"/>
      <c r="K1279" s="18"/>
      <c r="L1279" s="15"/>
      <c r="M1279" s="15"/>
      <c r="N1279" s="15"/>
      <c r="O1279" s="24"/>
      <c r="P1279" s="17"/>
      <c r="Q1279" s="16"/>
      <c r="R1279" s="19"/>
      <c r="S1279" s="20"/>
    </row>
    <row r="1280" spans="1:19" x14ac:dyDescent="0.25">
      <c r="A1280" t="str">
        <f>(COUNTIF($K$2:K1280,K1280))&amp;K1280</f>
        <v>0</v>
      </c>
      <c r="B1280" s="34"/>
      <c r="C1280" s="13"/>
      <c r="D1280" s="14"/>
      <c r="E1280" s="16"/>
      <c r="F1280" s="17"/>
      <c r="G1280" s="24"/>
      <c r="H1280" s="15"/>
      <c r="I1280" s="15"/>
      <c r="J1280" s="15"/>
      <c r="K1280" s="18"/>
      <c r="L1280" s="15"/>
      <c r="M1280" s="15"/>
      <c r="N1280" s="15"/>
      <c r="O1280" s="24"/>
      <c r="P1280" s="17"/>
      <c r="Q1280" s="16"/>
      <c r="R1280" s="19"/>
      <c r="S1280" s="20"/>
    </row>
    <row r="1281" spans="1:19" x14ac:dyDescent="0.25">
      <c r="A1281" t="str">
        <f>(COUNTIF($K$2:K1281,K1281))&amp;K1281</f>
        <v>0</v>
      </c>
      <c r="B1281" s="34"/>
      <c r="C1281" s="13"/>
      <c r="D1281" s="14"/>
      <c r="E1281" s="16"/>
      <c r="F1281" s="17"/>
      <c r="G1281" s="24"/>
      <c r="H1281" s="15"/>
      <c r="I1281" s="15"/>
      <c r="J1281" s="15"/>
      <c r="K1281" s="18"/>
      <c r="L1281" s="15"/>
      <c r="M1281" s="15"/>
      <c r="N1281" s="15"/>
      <c r="O1281" s="24"/>
      <c r="P1281" s="17"/>
      <c r="Q1281" s="16"/>
      <c r="R1281" s="19"/>
      <c r="S1281" s="20"/>
    </row>
    <row r="1282" spans="1:19" x14ac:dyDescent="0.25">
      <c r="A1282" t="str">
        <f>(COUNTIF($K$2:K1282,K1282))&amp;K1282</f>
        <v>0</v>
      </c>
      <c r="B1282" s="34"/>
      <c r="C1282" s="13"/>
      <c r="D1282" s="14"/>
      <c r="E1282" s="16"/>
      <c r="F1282" s="17"/>
      <c r="G1282" s="24"/>
      <c r="H1282" s="15"/>
      <c r="I1282" s="15"/>
      <c r="J1282" s="15"/>
      <c r="K1282" s="18"/>
      <c r="L1282" s="15"/>
      <c r="M1282" s="15"/>
      <c r="N1282" s="15"/>
      <c r="O1282" s="24"/>
      <c r="P1282" s="17"/>
      <c r="Q1282" s="16"/>
      <c r="R1282" s="19"/>
      <c r="S1282" s="20"/>
    </row>
    <row r="1283" spans="1:19" x14ac:dyDescent="0.25">
      <c r="A1283" t="str">
        <f>(COUNTIF($K$2:K1283,K1283))&amp;K1283</f>
        <v>0</v>
      </c>
      <c r="B1283" s="34"/>
      <c r="C1283" s="13"/>
      <c r="D1283" s="14"/>
      <c r="E1283" s="16"/>
      <c r="F1283" s="17"/>
      <c r="G1283" s="24"/>
      <c r="H1283" s="15"/>
      <c r="I1283" s="15"/>
      <c r="J1283" s="15"/>
      <c r="K1283" s="18"/>
      <c r="L1283" s="15"/>
      <c r="M1283" s="15"/>
      <c r="N1283" s="15"/>
      <c r="O1283" s="24"/>
      <c r="P1283" s="17"/>
      <c r="Q1283" s="16"/>
      <c r="R1283" s="19"/>
      <c r="S1283" s="20"/>
    </row>
    <row r="1284" spans="1:19" x14ac:dyDescent="0.25">
      <c r="A1284" t="str">
        <f>(COUNTIF($K$2:K1284,K1284))&amp;K1284</f>
        <v>0</v>
      </c>
      <c r="B1284" s="34"/>
      <c r="C1284" s="13"/>
      <c r="D1284" s="14"/>
      <c r="E1284" s="16"/>
      <c r="F1284" s="17"/>
      <c r="G1284" s="24"/>
      <c r="H1284" s="15"/>
      <c r="I1284" s="15"/>
      <c r="J1284" s="15"/>
      <c r="K1284" s="18"/>
      <c r="L1284" s="15"/>
      <c r="M1284" s="15"/>
      <c r="N1284" s="15"/>
      <c r="O1284" s="24"/>
      <c r="P1284" s="17"/>
      <c r="Q1284" s="16"/>
      <c r="R1284" s="19"/>
      <c r="S1284" s="20"/>
    </row>
    <row r="1285" spans="1:19" ht="15.75" x14ac:dyDescent="0.25">
      <c r="A1285" t="str">
        <f>(COUNTIF($K$2:K1285,K1285))&amp;K1285</f>
        <v>0</v>
      </c>
      <c r="B1285" s="34"/>
      <c r="C1285" s="13"/>
      <c r="D1285" s="14"/>
      <c r="E1285" s="16"/>
      <c r="F1285" s="17"/>
      <c r="G1285" s="24"/>
      <c r="H1285" s="15"/>
      <c r="I1285" s="15"/>
      <c r="J1285" s="15"/>
      <c r="K1285" s="21"/>
      <c r="L1285" s="15"/>
      <c r="M1285" s="15"/>
      <c r="N1285" s="15"/>
      <c r="O1285" s="24"/>
      <c r="P1285" s="17"/>
      <c r="Q1285" s="16"/>
      <c r="R1285" s="19"/>
      <c r="S1285" s="20"/>
    </row>
    <row r="1286" spans="1:19" x14ac:dyDescent="0.25">
      <c r="A1286" t="str">
        <f>(COUNTIF($K$2:K1286,K1286))&amp;K1286</f>
        <v>0</v>
      </c>
      <c r="B1286" s="34"/>
      <c r="C1286" s="13"/>
      <c r="D1286" s="14"/>
      <c r="E1286" s="16"/>
      <c r="F1286" s="17"/>
      <c r="G1286" s="24"/>
      <c r="H1286" s="15"/>
      <c r="I1286" s="15"/>
      <c r="J1286" s="15"/>
      <c r="K1286" s="18"/>
      <c r="L1286" s="15"/>
      <c r="M1286" s="15"/>
      <c r="N1286" s="15"/>
      <c r="O1286" s="24"/>
      <c r="P1286" s="17"/>
      <c r="Q1286" s="16"/>
      <c r="R1286" s="19"/>
      <c r="S1286" s="20"/>
    </row>
    <row r="1287" spans="1:19" x14ac:dyDescent="0.25">
      <c r="A1287" t="str">
        <f>(COUNTIF($K$2:K1287,K1287))&amp;K1287</f>
        <v>0</v>
      </c>
      <c r="B1287" s="34"/>
      <c r="C1287" s="13"/>
      <c r="D1287" s="14"/>
      <c r="E1287" s="16"/>
      <c r="F1287" s="17"/>
      <c r="G1287" s="24"/>
      <c r="H1287" s="15"/>
      <c r="I1287" s="15"/>
      <c r="J1287" s="15"/>
      <c r="K1287" s="18"/>
      <c r="L1287" s="15"/>
      <c r="M1287" s="15"/>
      <c r="N1287" s="15"/>
      <c r="O1287" s="24"/>
      <c r="P1287" s="17"/>
      <c r="Q1287" s="16"/>
      <c r="R1287" s="19"/>
      <c r="S1287" s="20"/>
    </row>
    <row r="1288" spans="1:19" x14ac:dyDescent="0.25">
      <c r="A1288" t="str">
        <f>(COUNTIF($K$2:K1288,K1288))&amp;K1288</f>
        <v>0</v>
      </c>
      <c r="B1288" s="34"/>
      <c r="C1288" s="13"/>
      <c r="D1288" s="14"/>
      <c r="E1288" s="16"/>
      <c r="F1288" s="17"/>
      <c r="G1288" s="24"/>
      <c r="H1288" s="15"/>
      <c r="I1288" s="15"/>
      <c r="J1288" s="15"/>
      <c r="K1288" s="18"/>
      <c r="L1288" s="15"/>
      <c r="M1288" s="15"/>
      <c r="N1288" s="15"/>
      <c r="O1288" s="24"/>
      <c r="P1288" s="17"/>
      <c r="Q1288" s="16"/>
      <c r="R1288" s="19"/>
      <c r="S1288" s="20"/>
    </row>
    <row r="1289" spans="1:19" x14ac:dyDescent="0.25">
      <c r="A1289" t="str">
        <f>(COUNTIF($K$2:K1289,K1289))&amp;K1289</f>
        <v>0</v>
      </c>
      <c r="B1289" s="34"/>
      <c r="C1289" s="13"/>
      <c r="D1289" s="14"/>
      <c r="E1289" s="16"/>
      <c r="F1289" s="17"/>
      <c r="G1289" s="24"/>
      <c r="H1289" s="15"/>
      <c r="I1289" s="15"/>
      <c r="J1289" s="15"/>
      <c r="K1289" s="18"/>
      <c r="L1289" s="15"/>
      <c r="M1289" s="15"/>
      <c r="N1289" s="15"/>
      <c r="O1289" s="24"/>
      <c r="P1289" s="17"/>
      <c r="Q1289" s="16"/>
      <c r="R1289" s="19"/>
      <c r="S1289" s="20"/>
    </row>
    <row r="1290" spans="1:19" x14ac:dyDescent="0.25">
      <c r="A1290" t="str">
        <f>(COUNTIF($K$2:K1290,K1290))&amp;K1290</f>
        <v>0</v>
      </c>
      <c r="B1290" s="34"/>
      <c r="C1290" s="13"/>
      <c r="D1290" s="14"/>
      <c r="E1290" s="16"/>
      <c r="F1290" s="17"/>
      <c r="G1290" s="24"/>
      <c r="H1290" s="15"/>
      <c r="I1290" s="15"/>
      <c r="J1290" s="15"/>
      <c r="K1290" s="18"/>
      <c r="L1290" s="15"/>
      <c r="M1290" s="15"/>
      <c r="N1290" s="15"/>
      <c r="O1290" s="24"/>
      <c r="P1290" s="17"/>
      <c r="Q1290" s="16"/>
      <c r="R1290" s="19"/>
      <c r="S1290" s="20"/>
    </row>
    <row r="1291" spans="1:19" x14ac:dyDescent="0.25">
      <c r="A1291" t="str">
        <f>(COUNTIF($K$2:K1291,K1291))&amp;K1291</f>
        <v>0</v>
      </c>
      <c r="B1291" s="34"/>
      <c r="C1291" s="13"/>
      <c r="D1291" s="14"/>
      <c r="E1291" s="16"/>
      <c r="F1291" s="17"/>
      <c r="G1291" s="24"/>
      <c r="H1291" s="15"/>
      <c r="I1291" s="15"/>
      <c r="J1291" s="15"/>
      <c r="K1291" s="18"/>
      <c r="L1291" s="15"/>
      <c r="M1291" s="15"/>
      <c r="N1291" s="15"/>
      <c r="O1291" s="24"/>
      <c r="P1291" s="17"/>
      <c r="Q1291" s="16"/>
      <c r="R1291" s="19"/>
      <c r="S1291" s="20"/>
    </row>
    <row r="1292" spans="1:19" x14ac:dyDescent="0.25">
      <c r="A1292" t="str">
        <f>(COUNTIF($K$2:K1292,K1292))&amp;K1292</f>
        <v>0</v>
      </c>
      <c r="B1292" s="34"/>
      <c r="C1292" s="13"/>
      <c r="D1292" s="14"/>
      <c r="E1292" s="16"/>
      <c r="F1292" s="17"/>
      <c r="G1292" s="24"/>
      <c r="H1292" s="15"/>
      <c r="I1292" s="15"/>
      <c r="J1292" s="15"/>
      <c r="K1292" s="18"/>
      <c r="L1292" s="15"/>
      <c r="M1292" s="15"/>
      <c r="N1292" s="15"/>
      <c r="O1292" s="24"/>
      <c r="P1292" s="17"/>
      <c r="Q1292" s="16"/>
      <c r="R1292" s="19"/>
      <c r="S1292" s="20"/>
    </row>
    <row r="1293" spans="1:19" x14ac:dyDescent="0.25">
      <c r="A1293" t="str">
        <f>(COUNTIF($K$2:K1293,K1293))&amp;K1293</f>
        <v>0</v>
      </c>
      <c r="B1293" s="34"/>
      <c r="C1293" s="41"/>
      <c r="E1293" s="33"/>
      <c r="F1293" s="39"/>
      <c r="G1293" s="40"/>
      <c r="H1293" s="38"/>
      <c r="I1293" s="38"/>
      <c r="J1293" s="38"/>
      <c r="K1293" s="49"/>
      <c r="L1293" s="38"/>
      <c r="M1293" s="38"/>
      <c r="N1293" s="38"/>
      <c r="P1293" s="40"/>
      <c r="Q1293" s="33"/>
      <c r="R1293" s="38"/>
      <c r="S1293" s="38"/>
    </row>
    <row r="1294" spans="1:19" x14ac:dyDescent="0.25">
      <c r="A1294" t="str">
        <f>(COUNTIF($K$2:K1294,K1294))&amp;K1294</f>
        <v>0</v>
      </c>
      <c r="B1294" s="34"/>
      <c r="C1294" s="13"/>
      <c r="D1294" s="14"/>
      <c r="E1294" s="16"/>
      <c r="F1294" s="17"/>
      <c r="G1294" s="24"/>
      <c r="H1294" s="15"/>
      <c r="I1294" s="15"/>
      <c r="J1294" s="15"/>
      <c r="K1294" s="18"/>
      <c r="L1294" s="15"/>
      <c r="M1294" s="15"/>
      <c r="N1294" s="15"/>
      <c r="O1294" s="24"/>
      <c r="P1294" s="17"/>
      <c r="Q1294" s="16"/>
      <c r="R1294" s="19"/>
      <c r="S1294" s="20"/>
    </row>
    <row r="1295" spans="1:19" x14ac:dyDescent="0.25">
      <c r="A1295" t="str">
        <f>(COUNTIF($K$2:K1295,K1295))&amp;K1295</f>
        <v>0</v>
      </c>
      <c r="B1295" s="34"/>
      <c r="C1295" s="13"/>
      <c r="D1295" s="14"/>
      <c r="E1295" s="16"/>
      <c r="F1295" s="17"/>
      <c r="G1295" s="24"/>
      <c r="H1295" s="15"/>
      <c r="I1295" s="15"/>
      <c r="J1295" s="15"/>
      <c r="K1295" s="18"/>
      <c r="L1295" s="15"/>
      <c r="M1295" s="15"/>
      <c r="N1295" s="15"/>
      <c r="O1295" s="24"/>
      <c r="P1295" s="17"/>
      <c r="Q1295" s="16"/>
      <c r="R1295" s="19"/>
      <c r="S1295" s="20"/>
    </row>
    <row r="1296" spans="1:19" x14ac:dyDescent="0.25">
      <c r="A1296" t="str">
        <f>(COUNTIF($K$2:K1296,K1296))&amp;K1296</f>
        <v>0</v>
      </c>
      <c r="B1296" s="34"/>
      <c r="C1296" s="13"/>
      <c r="D1296" s="14"/>
      <c r="E1296" s="16"/>
      <c r="F1296" s="17"/>
      <c r="G1296" s="24"/>
      <c r="H1296" s="15"/>
      <c r="I1296" s="15"/>
      <c r="J1296" s="15"/>
      <c r="K1296" s="18"/>
      <c r="L1296" s="15"/>
      <c r="M1296" s="15"/>
      <c r="N1296" s="15"/>
      <c r="O1296" s="24"/>
      <c r="P1296" s="17"/>
      <c r="Q1296" s="16"/>
      <c r="R1296" s="19"/>
      <c r="S1296" s="20"/>
    </row>
    <row r="1297" spans="1:19" x14ac:dyDescent="0.25">
      <c r="A1297" t="str">
        <f>(COUNTIF($K$2:K1297,K1297))&amp;K1297</f>
        <v>0</v>
      </c>
      <c r="B1297" s="34"/>
      <c r="C1297" s="13"/>
      <c r="D1297" s="14"/>
      <c r="E1297" s="16"/>
      <c r="F1297" s="17"/>
      <c r="G1297" s="24"/>
      <c r="H1297" s="15"/>
      <c r="I1297" s="15"/>
      <c r="J1297" s="15"/>
      <c r="K1297" s="18"/>
      <c r="L1297" s="15"/>
      <c r="M1297" s="15"/>
      <c r="N1297" s="15"/>
      <c r="O1297" s="24"/>
      <c r="P1297" s="17"/>
      <c r="Q1297" s="16"/>
      <c r="R1297" s="19"/>
      <c r="S1297" s="20"/>
    </row>
    <row r="1298" spans="1:19" x14ac:dyDescent="0.25">
      <c r="A1298" t="str">
        <f>(COUNTIF($K$2:K1298,K1298))&amp;K1298</f>
        <v>0</v>
      </c>
      <c r="B1298" s="34"/>
      <c r="C1298" s="13"/>
      <c r="D1298" s="14"/>
      <c r="E1298" s="16"/>
      <c r="F1298" s="17"/>
      <c r="G1298" s="24"/>
      <c r="H1298" s="15"/>
      <c r="I1298" s="15"/>
      <c r="J1298" s="15"/>
      <c r="K1298" s="18"/>
      <c r="L1298" s="15"/>
      <c r="M1298" s="15"/>
      <c r="N1298" s="15"/>
      <c r="O1298" s="24"/>
      <c r="P1298" s="17"/>
      <c r="Q1298" s="16"/>
      <c r="R1298" s="19"/>
      <c r="S1298" s="20"/>
    </row>
    <row r="1299" spans="1:19" x14ac:dyDescent="0.25">
      <c r="A1299" t="str">
        <f>(COUNTIF($K$2:K1299,K1299))&amp;K1299</f>
        <v>0</v>
      </c>
      <c r="B1299" s="34"/>
      <c r="C1299" s="13"/>
      <c r="D1299" s="14"/>
      <c r="E1299" s="16"/>
      <c r="F1299" s="17"/>
      <c r="G1299" s="24"/>
      <c r="H1299" s="15"/>
      <c r="I1299" s="15"/>
      <c r="J1299" s="15"/>
      <c r="K1299" s="18"/>
      <c r="L1299" s="15"/>
      <c r="M1299" s="15"/>
      <c r="N1299" s="15"/>
      <c r="O1299" s="24"/>
      <c r="P1299" s="17"/>
      <c r="Q1299" s="16"/>
      <c r="R1299" s="19"/>
      <c r="S1299" s="20"/>
    </row>
    <row r="1300" spans="1:19" x14ac:dyDescent="0.25">
      <c r="A1300" t="str">
        <f>(COUNTIF($K$2:K1300,K1300))&amp;K1300</f>
        <v>0</v>
      </c>
      <c r="B1300" s="34"/>
      <c r="C1300" s="13"/>
      <c r="D1300" s="14"/>
      <c r="E1300" s="16"/>
      <c r="F1300" s="17"/>
      <c r="G1300" s="24"/>
      <c r="H1300" s="15"/>
      <c r="I1300" s="15"/>
      <c r="J1300" s="15"/>
      <c r="K1300" s="18"/>
      <c r="L1300" s="15"/>
      <c r="M1300" s="15"/>
      <c r="N1300" s="15"/>
      <c r="O1300" s="24"/>
      <c r="P1300" s="17"/>
      <c r="Q1300" s="16"/>
      <c r="R1300" s="19"/>
      <c r="S1300" s="20"/>
    </row>
    <row r="1301" spans="1:19" x14ac:dyDescent="0.25">
      <c r="A1301" t="str">
        <f>(COUNTIF($K$2:K1301,K1301))&amp;K1301</f>
        <v>0</v>
      </c>
      <c r="B1301" s="34"/>
      <c r="C1301" s="13"/>
      <c r="D1301" s="14"/>
      <c r="E1301" s="16"/>
      <c r="F1301" s="17"/>
      <c r="G1301" s="24"/>
      <c r="H1301" s="15"/>
      <c r="I1301" s="15"/>
      <c r="J1301" s="15"/>
      <c r="K1301" s="18"/>
      <c r="L1301" s="15"/>
      <c r="M1301" s="15"/>
      <c r="N1301" s="15"/>
      <c r="O1301" s="24"/>
      <c r="P1301" s="17"/>
      <c r="Q1301" s="16"/>
      <c r="R1301" s="19"/>
      <c r="S1301" s="20"/>
    </row>
    <row r="1302" spans="1:19" ht="15.75" x14ac:dyDescent="0.25">
      <c r="A1302" t="str">
        <f>(COUNTIF($K$2:K1302,K1302))&amp;K1302</f>
        <v>0</v>
      </c>
      <c r="B1302" s="34"/>
      <c r="C1302" s="13"/>
      <c r="D1302" s="14"/>
      <c r="E1302" s="16"/>
      <c r="F1302" s="17"/>
      <c r="G1302" s="24"/>
      <c r="H1302" s="15"/>
      <c r="I1302" s="15"/>
      <c r="J1302" s="15"/>
      <c r="K1302" s="21"/>
      <c r="L1302" s="15"/>
      <c r="M1302" s="15"/>
      <c r="N1302" s="15"/>
      <c r="O1302" s="24"/>
      <c r="P1302" s="17"/>
      <c r="Q1302" s="16"/>
      <c r="R1302" s="19"/>
      <c r="S1302" s="20"/>
    </row>
    <row r="1303" spans="1:19" x14ac:dyDescent="0.25">
      <c r="A1303" t="str">
        <f>(COUNTIF($K$2:K1303,K1303))&amp;K1303</f>
        <v>0</v>
      </c>
      <c r="B1303" s="34"/>
      <c r="C1303" s="13"/>
      <c r="D1303" s="14"/>
      <c r="E1303" s="16"/>
      <c r="F1303" s="17"/>
      <c r="G1303" s="24"/>
      <c r="H1303" s="15"/>
      <c r="I1303" s="15"/>
      <c r="J1303" s="15"/>
      <c r="K1303" s="18"/>
      <c r="L1303" s="15"/>
      <c r="M1303" s="15"/>
      <c r="N1303" s="15"/>
      <c r="O1303" s="24"/>
      <c r="P1303" s="17"/>
      <c r="Q1303" s="16"/>
      <c r="R1303" s="19"/>
      <c r="S1303" s="20"/>
    </row>
    <row r="1304" spans="1:19" x14ac:dyDescent="0.25">
      <c r="A1304" t="str">
        <f>(COUNTIF($K$2:K1304,K1304))&amp;K1304</f>
        <v>0</v>
      </c>
      <c r="B1304" s="34"/>
      <c r="C1304" s="13"/>
      <c r="D1304" s="14"/>
      <c r="E1304" s="16"/>
      <c r="F1304" s="17"/>
      <c r="G1304" s="24"/>
      <c r="H1304" s="15"/>
      <c r="I1304" s="15"/>
      <c r="J1304" s="15"/>
      <c r="K1304" s="18"/>
      <c r="L1304" s="15"/>
      <c r="M1304" s="15"/>
      <c r="N1304" s="15"/>
      <c r="O1304" s="24"/>
      <c r="P1304" s="17"/>
      <c r="Q1304" s="16"/>
      <c r="R1304" s="19"/>
      <c r="S1304" s="20"/>
    </row>
    <row r="1305" spans="1:19" x14ac:dyDescent="0.25">
      <c r="A1305" t="str">
        <f>(COUNTIF($K$2:K1305,K1305))&amp;K1305</f>
        <v>0</v>
      </c>
      <c r="B1305" s="34"/>
      <c r="C1305" s="13"/>
      <c r="D1305" s="14"/>
      <c r="E1305" s="16"/>
      <c r="F1305" s="17"/>
      <c r="G1305" s="24"/>
      <c r="H1305" s="15"/>
      <c r="I1305" s="15"/>
      <c r="J1305" s="15"/>
      <c r="K1305" s="18"/>
      <c r="L1305" s="15"/>
      <c r="M1305" s="15"/>
      <c r="N1305" s="15"/>
      <c r="O1305" s="24"/>
      <c r="P1305" s="17"/>
      <c r="Q1305" s="16"/>
      <c r="R1305" s="19"/>
      <c r="S1305" s="20"/>
    </row>
    <row r="1306" spans="1:19" x14ac:dyDescent="0.25">
      <c r="A1306" t="str">
        <f>(COUNTIF($K$2:K1306,K1306))&amp;K1306</f>
        <v>0</v>
      </c>
      <c r="B1306" s="34"/>
      <c r="C1306" s="13"/>
      <c r="D1306" s="14"/>
      <c r="E1306" s="16"/>
      <c r="F1306" s="17"/>
      <c r="G1306" s="24"/>
      <c r="H1306" s="15"/>
      <c r="I1306" s="15"/>
      <c r="J1306" s="15"/>
      <c r="K1306" s="18"/>
      <c r="L1306" s="15"/>
      <c r="M1306" s="15"/>
      <c r="N1306" s="15"/>
      <c r="O1306" s="24"/>
      <c r="P1306" s="17"/>
      <c r="Q1306" s="16"/>
      <c r="R1306" s="19"/>
      <c r="S1306" s="20"/>
    </row>
    <row r="1307" spans="1:19" x14ac:dyDescent="0.25">
      <c r="A1307" t="str">
        <f>(COUNTIF($K$2:K1307,K1307))&amp;K1307</f>
        <v>0</v>
      </c>
      <c r="B1307" s="34"/>
      <c r="C1307" s="13"/>
      <c r="D1307" s="14"/>
      <c r="E1307" s="16"/>
      <c r="F1307" s="17"/>
      <c r="G1307" s="24"/>
      <c r="H1307" s="15"/>
      <c r="I1307" s="15"/>
      <c r="J1307" s="15"/>
      <c r="K1307" s="18"/>
      <c r="L1307" s="15"/>
      <c r="M1307" s="15"/>
      <c r="N1307" s="15"/>
      <c r="O1307" s="24"/>
      <c r="P1307" s="17"/>
      <c r="Q1307" s="16"/>
      <c r="R1307" s="19"/>
      <c r="S1307" s="20"/>
    </row>
    <row r="1308" spans="1:19" x14ac:dyDescent="0.25">
      <c r="A1308" t="str">
        <f>(COUNTIF($K$2:K1308,K1308))&amp;K1308</f>
        <v>0</v>
      </c>
      <c r="B1308" s="34"/>
      <c r="C1308" s="13"/>
      <c r="D1308" s="14"/>
      <c r="E1308" s="16"/>
      <c r="F1308" s="17"/>
      <c r="G1308" s="24"/>
      <c r="H1308" s="15"/>
      <c r="I1308" s="15"/>
      <c r="J1308" s="15"/>
      <c r="K1308" s="18"/>
      <c r="L1308" s="15"/>
      <c r="M1308" s="15"/>
      <c r="N1308" s="15"/>
      <c r="O1308" s="24"/>
      <c r="P1308" s="17"/>
      <c r="Q1308" s="16"/>
      <c r="R1308" s="19"/>
      <c r="S1308" s="20"/>
    </row>
    <row r="1309" spans="1:19" x14ac:dyDescent="0.25">
      <c r="A1309" t="str">
        <f>(COUNTIF($K$2:K1309,K1309))&amp;K1309</f>
        <v>0</v>
      </c>
      <c r="B1309" s="34"/>
      <c r="C1309" s="13"/>
      <c r="D1309" s="14"/>
      <c r="E1309" s="16"/>
      <c r="F1309" s="17"/>
      <c r="G1309" s="24"/>
      <c r="H1309" s="15"/>
      <c r="I1309" s="15"/>
      <c r="J1309" s="15"/>
      <c r="K1309" s="18"/>
      <c r="L1309" s="15"/>
      <c r="M1309" s="15"/>
      <c r="N1309" s="15"/>
      <c r="O1309" s="24"/>
      <c r="P1309" s="17"/>
      <c r="Q1309" s="16"/>
      <c r="R1309" s="19"/>
      <c r="S1309" s="20"/>
    </row>
    <row r="1310" spans="1:19" x14ac:dyDescent="0.25">
      <c r="A1310" t="str">
        <f>(COUNTIF($K$2:K1310,K1310))&amp;K1310</f>
        <v>0</v>
      </c>
      <c r="B1310" s="34"/>
      <c r="C1310" s="41"/>
      <c r="E1310" s="33"/>
      <c r="F1310" s="39"/>
      <c r="G1310" s="40"/>
      <c r="H1310" s="38"/>
      <c r="I1310" s="38"/>
      <c r="J1310" s="38"/>
      <c r="K1310" s="49"/>
      <c r="L1310" s="38"/>
      <c r="M1310" s="38"/>
      <c r="N1310" s="38"/>
      <c r="P1310" s="40"/>
      <c r="Q1310" s="33"/>
      <c r="R1310" s="38"/>
      <c r="S1310" s="38"/>
    </row>
    <row r="1311" spans="1:19" x14ac:dyDescent="0.25">
      <c r="A1311" t="str">
        <f>(COUNTIF($K$2:K1311,K1311))&amp;K1311</f>
        <v>0</v>
      </c>
      <c r="B1311" s="34"/>
      <c r="C1311" s="13"/>
      <c r="D1311" s="14"/>
      <c r="E1311" s="16"/>
      <c r="F1311" s="17"/>
      <c r="G1311" s="24"/>
      <c r="H1311" s="15"/>
      <c r="I1311" s="15"/>
      <c r="J1311" s="15"/>
      <c r="K1311" s="18"/>
      <c r="L1311" s="15"/>
      <c r="M1311" s="15"/>
      <c r="N1311" s="15"/>
      <c r="O1311" s="24"/>
      <c r="P1311" s="17"/>
      <c r="Q1311" s="16"/>
      <c r="R1311" s="19"/>
      <c r="S1311" s="20"/>
    </row>
    <row r="1312" spans="1:19" x14ac:dyDescent="0.25">
      <c r="A1312" t="str">
        <f>(COUNTIF($K$2:K1312,K1312))&amp;K1312</f>
        <v>0</v>
      </c>
      <c r="B1312" s="34"/>
      <c r="C1312" s="13"/>
      <c r="D1312" s="14"/>
      <c r="E1312" s="16"/>
      <c r="F1312" s="17"/>
      <c r="G1312" s="24"/>
      <c r="H1312" s="15"/>
      <c r="I1312" s="15"/>
      <c r="J1312" s="15"/>
      <c r="K1312" s="18"/>
      <c r="L1312" s="15"/>
      <c r="M1312" s="15"/>
      <c r="N1312" s="15"/>
      <c r="O1312" s="24"/>
      <c r="P1312" s="17"/>
      <c r="Q1312" s="16"/>
      <c r="R1312" s="19"/>
      <c r="S1312" s="20"/>
    </row>
    <row r="1313" spans="1:19" x14ac:dyDescent="0.25">
      <c r="A1313" t="str">
        <f>(COUNTIF($K$2:K1313,K1313))&amp;K1313</f>
        <v>0</v>
      </c>
      <c r="B1313" s="34"/>
      <c r="C1313" s="13"/>
      <c r="D1313" s="14"/>
      <c r="E1313" s="16"/>
      <c r="F1313" s="17"/>
      <c r="G1313" s="24"/>
      <c r="H1313" s="15"/>
      <c r="I1313" s="15"/>
      <c r="J1313" s="15"/>
      <c r="K1313" s="18"/>
      <c r="L1313" s="15"/>
      <c r="M1313" s="15"/>
      <c r="N1313" s="15"/>
      <c r="O1313" s="24"/>
      <c r="P1313" s="17"/>
      <c r="Q1313" s="16"/>
      <c r="R1313" s="19"/>
      <c r="S1313" s="20"/>
    </row>
    <row r="1314" spans="1:19" x14ac:dyDescent="0.25">
      <c r="A1314" t="str">
        <f>(COUNTIF($K$2:K1314,K1314))&amp;K1314</f>
        <v>0</v>
      </c>
      <c r="B1314" s="34"/>
      <c r="C1314" s="13"/>
      <c r="D1314" s="14"/>
      <c r="E1314" s="16"/>
      <c r="F1314" s="17"/>
      <c r="G1314" s="24"/>
      <c r="H1314" s="15"/>
      <c r="I1314" s="15"/>
      <c r="J1314" s="15"/>
      <c r="K1314" s="18"/>
      <c r="L1314" s="15"/>
      <c r="M1314" s="15"/>
      <c r="N1314" s="15"/>
      <c r="O1314" s="24"/>
      <c r="P1314" s="17"/>
      <c r="Q1314" s="16"/>
      <c r="R1314" s="19"/>
      <c r="S1314" s="20"/>
    </row>
    <row r="1315" spans="1:19" x14ac:dyDescent="0.25">
      <c r="A1315" t="str">
        <f>(COUNTIF($K$2:K1315,K1315))&amp;K1315</f>
        <v>0</v>
      </c>
      <c r="B1315" s="34"/>
      <c r="C1315" s="13"/>
      <c r="D1315" s="14"/>
      <c r="E1315" s="16"/>
      <c r="F1315" s="17"/>
      <c r="G1315" s="24"/>
      <c r="H1315" s="15"/>
      <c r="I1315" s="15"/>
      <c r="J1315" s="15"/>
      <c r="K1315" s="18"/>
      <c r="L1315" s="15"/>
      <c r="M1315" s="15"/>
      <c r="N1315" s="15"/>
      <c r="O1315" s="24"/>
      <c r="P1315" s="17"/>
      <c r="Q1315" s="16"/>
      <c r="R1315" s="19"/>
      <c r="S1315" s="20"/>
    </row>
    <row r="1316" spans="1:19" x14ac:dyDescent="0.25">
      <c r="A1316" t="str">
        <f>(COUNTIF($K$2:K1316,K1316))&amp;K1316</f>
        <v>0</v>
      </c>
      <c r="B1316" s="34"/>
      <c r="C1316" s="13"/>
      <c r="D1316" s="14"/>
      <c r="E1316" s="16"/>
      <c r="F1316" s="17"/>
      <c r="G1316" s="24"/>
      <c r="H1316" s="15"/>
      <c r="I1316" s="15"/>
      <c r="J1316" s="15"/>
      <c r="K1316" s="18"/>
      <c r="L1316" s="15"/>
      <c r="M1316" s="15"/>
      <c r="N1316" s="15"/>
      <c r="O1316" s="24"/>
      <c r="P1316" s="17"/>
      <c r="Q1316" s="16"/>
      <c r="R1316" s="19"/>
      <c r="S1316" s="20"/>
    </row>
    <row r="1317" spans="1:19" x14ac:dyDescent="0.25">
      <c r="A1317" t="str">
        <f>(COUNTIF($K$2:K1317,K1317))&amp;K1317</f>
        <v>0</v>
      </c>
      <c r="B1317" s="34"/>
      <c r="C1317" s="13"/>
      <c r="D1317" s="14"/>
      <c r="E1317" s="16"/>
      <c r="F1317" s="17"/>
      <c r="G1317" s="24"/>
      <c r="H1317" s="15"/>
      <c r="I1317" s="15"/>
      <c r="J1317" s="15"/>
      <c r="K1317" s="18"/>
      <c r="L1317" s="15"/>
      <c r="M1317" s="15"/>
      <c r="N1317" s="15"/>
      <c r="O1317" s="24"/>
      <c r="P1317" s="17"/>
      <c r="Q1317" s="16"/>
      <c r="R1317" s="19"/>
      <c r="S1317" s="20"/>
    </row>
    <row r="1318" spans="1:19" x14ac:dyDescent="0.25">
      <c r="A1318" t="str">
        <f>(COUNTIF($K$2:K1318,K1318))&amp;K1318</f>
        <v>0</v>
      </c>
      <c r="B1318" s="34"/>
      <c r="C1318" s="13"/>
      <c r="D1318" s="14"/>
      <c r="E1318" s="16"/>
      <c r="F1318" s="17"/>
      <c r="G1318" s="24"/>
      <c r="H1318" s="15"/>
      <c r="I1318" s="15"/>
      <c r="J1318" s="15"/>
      <c r="K1318" s="18"/>
      <c r="L1318" s="15"/>
      <c r="M1318" s="15"/>
      <c r="N1318" s="15"/>
      <c r="O1318" s="24"/>
      <c r="P1318" s="17"/>
      <c r="Q1318" s="16"/>
      <c r="R1318" s="19"/>
      <c r="S1318" s="20"/>
    </row>
    <row r="1319" spans="1:19" ht="15.75" x14ac:dyDescent="0.25">
      <c r="A1319" t="str">
        <f>(COUNTIF($K$2:K1319,K1319))&amp;K1319</f>
        <v>0</v>
      </c>
      <c r="B1319" s="34"/>
      <c r="C1319" s="13"/>
      <c r="D1319" s="14"/>
      <c r="E1319" s="16"/>
      <c r="F1319" s="17"/>
      <c r="G1319" s="24"/>
      <c r="H1319" s="15"/>
      <c r="I1319" s="15"/>
      <c r="J1319" s="15"/>
      <c r="K1319" s="21"/>
      <c r="L1319" s="15"/>
      <c r="M1319" s="15"/>
      <c r="N1319" s="15"/>
      <c r="O1319" s="24"/>
      <c r="P1319" s="17"/>
      <c r="Q1319" s="16"/>
      <c r="R1319" s="19"/>
      <c r="S1319" s="20"/>
    </row>
    <row r="1320" spans="1:19" x14ac:dyDescent="0.25">
      <c r="A1320" t="str">
        <f>(COUNTIF($K$2:K1320,K1320))&amp;K1320</f>
        <v>0</v>
      </c>
      <c r="B1320" s="34"/>
      <c r="C1320" s="13"/>
      <c r="D1320" s="14"/>
      <c r="E1320" s="16"/>
      <c r="F1320" s="17"/>
      <c r="G1320" s="24"/>
      <c r="H1320" s="15"/>
      <c r="I1320" s="15"/>
      <c r="J1320" s="15"/>
      <c r="K1320" s="18"/>
      <c r="L1320" s="15"/>
      <c r="M1320" s="15"/>
      <c r="N1320" s="15"/>
      <c r="O1320" s="24"/>
      <c r="P1320" s="17"/>
      <c r="Q1320" s="16"/>
      <c r="R1320" s="19"/>
      <c r="S1320" s="20"/>
    </row>
    <row r="1321" spans="1:19" x14ac:dyDescent="0.25">
      <c r="A1321" t="str">
        <f>(COUNTIF($K$2:K1321,K1321))&amp;K1321</f>
        <v>0</v>
      </c>
      <c r="B1321" s="34"/>
      <c r="C1321" s="13"/>
      <c r="D1321" s="14"/>
      <c r="E1321" s="16"/>
      <c r="F1321" s="17"/>
      <c r="G1321" s="24"/>
      <c r="H1321" s="15"/>
      <c r="I1321" s="15"/>
      <c r="J1321" s="15"/>
      <c r="K1321" s="18"/>
      <c r="L1321" s="15"/>
      <c r="M1321" s="15"/>
      <c r="N1321" s="15"/>
      <c r="O1321" s="24"/>
      <c r="P1321" s="17"/>
      <c r="Q1321" s="16"/>
      <c r="R1321" s="19"/>
      <c r="S1321" s="20"/>
    </row>
    <row r="1322" spans="1:19" x14ac:dyDescent="0.25">
      <c r="A1322" t="str">
        <f>(COUNTIF($K$2:K1322,K1322))&amp;K1322</f>
        <v>0</v>
      </c>
      <c r="B1322" s="34"/>
      <c r="C1322" s="13"/>
      <c r="D1322" s="14"/>
      <c r="E1322" s="16"/>
      <c r="F1322" s="17"/>
      <c r="G1322" s="24"/>
      <c r="H1322" s="15"/>
      <c r="I1322" s="15"/>
      <c r="J1322" s="15"/>
      <c r="K1322" s="18"/>
      <c r="L1322" s="15"/>
      <c r="M1322" s="15"/>
      <c r="N1322" s="15"/>
      <c r="O1322" s="24"/>
      <c r="P1322" s="17"/>
      <c r="Q1322" s="16"/>
      <c r="R1322" s="19"/>
      <c r="S1322" s="20"/>
    </row>
    <row r="1323" spans="1:19" x14ac:dyDescent="0.25">
      <c r="A1323" t="str">
        <f>(COUNTIF($K$2:K1323,K1323))&amp;K1323</f>
        <v>0</v>
      </c>
      <c r="B1323" s="34"/>
      <c r="C1323" s="13"/>
      <c r="D1323" s="14"/>
      <c r="E1323" s="16"/>
      <c r="F1323" s="17"/>
      <c r="G1323" s="24"/>
      <c r="H1323" s="15"/>
      <c r="I1323" s="15"/>
      <c r="J1323" s="15"/>
      <c r="K1323" s="18"/>
      <c r="L1323" s="15"/>
      <c r="M1323" s="15"/>
      <c r="N1323" s="15"/>
      <c r="O1323" s="24"/>
      <c r="P1323" s="17"/>
      <c r="Q1323" s="16"/>
      <c r="R1323" s="19"/>
      <c r="S1323" s="20"/>
    </row>
    <row r="1324" spans="1:19" x14ac:dyDescent="0.25">
      <c r="A1324" t="str">
        <f>(COUNTIF($K$2:K1324,K1324))&amp;K1324</f>
        <v>0</v>
      </c>
      <c r="B1324" s="34"/>
      <c r="C1324" s="13"/>
      <c r="D1324" s="14"/>
      <c r="E1324" s="16"/>
      <c r="F1324" s="17"/>
      <c r="G1324" s="24"/>
      <c r="H1324" s="15"/>
      <c r="I1324" s="15"/>
      <c r="J1324" s="15"/>
      <c r="K1324" s="18"/>
      <c r="L1324" s="15"/>
      <c r="M1324" s="15"/>
      <c r="N1324" s="15"/>
      <c r="O1324" s="24"/>
      <c r="P1324" s="17"/>
      <c r="Q1324" s="16"/>
      <c r="R1324" s="19"/>
      <c r="S1324" s="20"/>
    </row>
    <row r="1325" spans="1:19" x14ac:dyDescent="0.25">
      <c r="A1325" t="str">
        <f>(COUNTIF($K$2:K1325,K1325))&amp;K1325</f>
        <v>0</v>
      </c>
      <c r="B1325" s="34"/>
      <c r="C1325" s="13"/>
      <c r="D1325" s="14"/>
      <c r="E1325" s="16"/>
      <c r="F1325" s="17"/>
      <c r="G1325" s="24"/>
      <c r="H1325" s="15"/>
      <c r="I1325" s="15"/>
      <c r="J1325" s="15"/>
      <c r="K1325" s="18"/>
      <c r="L1325" s="15"/>
      <c r="M1325" s="15"/>
      <c r="N1325" s="15"/>
      <c r="O1325" s="24"/>
      <c r="P1325" s="17"/>
      <c r="Q1325" s="16"/>
      <c r="R1325" s="19"/>
      <c r="S1325" s="20"/>
    </row>
    <row r="1326" spans="1:19" x14ac:dyDescent="0.25">
      <c r="A1326" t="str">
        <f>(COUNTIF($K$2:K1326,K1326))&amp;K1326</f>
        <v>0</v>
      </c>
      <c r="B1326" s="34"/>
      <c r="C1326" s="13"/>
      <c r="D1326" s="14"/>
      <c r="E1326" s="16"/>
      <c r="F1326" s="17"/>
      <c r="G1326" s="24"/>
      <c r="H1326" s="15"/>
      <c r="I1326" s="15"/>
      <c r="J1326" s="15"/>
      <c r="K1326" s="18"/>
      <c r="L1326" s="15"/>
      <c r="M1326" s="15"/>
      <c r="N1326" s="15"/>
      <c r="O1326" s="24"/>
      <c r="P1326" s="17"/>
      <c r="Q1326" s="16"/>
      <c r="R1326" s="19"/>
      <c r="S1326" s="20"/>
    </row>
    <row r="1327" spans="1:19" x14ac:dyDescent="0.25">
      <c r="A1327" t="str">
        <f>(COUNTIF($K$2:K1327,K1327))&amp;K1327</f>
        <v>0</v>
      </c>
      <c r="B1327" s="34"/>
      <c r="C1327" s="41"/>
      <c r="E1327" s="33"/>
      <c r="F1327" s="39"/>
      <c r="G1327" s="40"/>
      <c r="H1327" s="38"/>
      <c r="I1327" s="38"/>
      <c r="J1327" s="38"/>
      <c r="K1327" s="49"/>
      <c r="L1327" s="38"/>
      <c r="M1327" s="38"/>
      <c r="N1327" s="38"/>
      <c r="P1327" s="40"/>
      <c r="Q1327" s="33"/>
      <c r="R1327" s="38"/>
      <c r="S1327" s="38"/>
    </row>
    <row r="1328" spans="1:19" x14ac:dyDescent="0.25">
      <c r="A1328" t="str">
        <f>(COUNTIF($K$2:K1328,K1328))&amp;K1328</f>
        <v>0</v>
      </c>
      <c r="B1328" s="34"/>
      <c r="C1328" s="13"/>
      <c r="D1328" s="14"/>
      <c r="E1328" s="16"/>
      <c r="F1328" s="17"/>
      <c r="G1328" s="24"/>
      <c r="H1328" s="15"/>
      <c r="I1328" s="15"/>
      <c r="J1328" s="15"/>
      <c r="K1328" s="18"/>
      <c r="L1328" s="15"/>
      <c r="M1328" s="15"/>
      <c r="N1328" s="15"/>
      <c r="O1328" s="24"/>
      <c r="P1328" s="17"/>
      <c r="Q1328" s="16"/>
      <c r="R1328" s="19"/>
      <c r="S1328" s="20"/>
    </row>
    <row r="1329" spans="1:19" x14ac:dyDescent="0.25">
      <c r="A1329" t="str">
        <f>(COUNTIF($K$2:K1329,K1329))&amp;K1329</f>
        <v>0</v>
      </c>
      <c r="B1329" s="34"/>
      <c r="C1329" s="13"/>
      <c r="D1329" s="14"/>
      <c r="E1329" s="16"/>
      <c r="F1329" s="17"/>
      <c r="G1329" s="24"/>
      <c r="H1329" s="15"/>
      <c r="I1329" s="15"/>
      <c r="J1329" s="15"/>
      <c r="K1329" s="18"/>
      <c r="L1329" s="15"/>
      <c r="M1329" s="15"/>
      <c r="N1329" s="15"/>
      <c r="O1329" s="24"/>
      <c r="P1329" s="17"/>
      <c r="Q1329" s="16"/>
      <c r="R1329" s="19"/>
      <c r="S1329" s="20"/>
    </row>
    <row r="1330" spans="1:19" x14ac:dyDescent="0.25">
      <c r="A1330" t="str">
        <f>(COUNTIF($K$2:K1330,K1330))&amp;K1330</f>
        <v>0</v>
      </c>
      <c r="B1330" s="34"/>
      <c r="C1330" s="13"/>
      <c r="D1330" s="14"/>
      <c r="E1330" s="16"/>
      <c r="F1330" s="17"/>
      <c r="G1330" s="24"/>
      <c r="H1330" s="15"/>
      <c r="I1330" s="15"/>
      <c r="J1330" s="15"/>
      <c r="K1330" s="18"/>
      <c r="L1330" s="15"/>
      <c r="M1330" s="15"/>
      <c r="N1330" s="15"/>
      <c r="O1330" s="24"/>
      <c r="P1330" s="17"/>
      <c r="Q1330" s="16"/>
      <c r="R1330" s="19"/>
      <c r="S1330" s="20"/>
    </row>
    <row r="1331" spans="1:19" x14ac:dyDescent="0.25">
      <c r="A1331" t="str">
        <f>(COUNTIF($K$2:K1331,K1331))&amp;K1331</f>
        <v>0</v>
      </c>
      <c r="B1331" s="34"/>
      <c r="C1331" s="13"/>
      <c r="D1331" s="14"/>
      <c r="E1331" s="16"/>
      <c r="F1331" s="17"/>
      <c r="G1331" s="24"/>
      <c r="H1331" s="15"/>
      <c r="I1331" s="15"/>
      <c r="J1331" s="15"/>
      <c r="K1331" s="18"/>
      <c r="L1331" s="15"/>
      <c r="M1331" s="15"/>
      <c r="N1331" s="15"/>
      <c r="O1331" s="24"/>
      <c r="P1331" s="17"/>
      <c r="Q1331" s="16"/>
      <c r="R1331" s="19"/>
      <c r="S1331" s="20"/>
    </row>
    <row r="1332" spans="1:19" x14ac:dyDescent="0.25">
      <c r="A1332" t="str">
        <f>(COUNTIF($K$2:K1332,K1332))&amp;K1332</f>
        <v>0</v>
      </c>
      <c r="B1332" s="34"/>
      <c r="C1332" s="13"/>
      <c r="D1332" s="14"/>
      <c r="E1332" s="16"/>
      <c r="F1332" s="17"/>
      <c r="G1332" s="24"/>
      <c r="H1332" s="15"/>
      <c r="I1332" s="15"/>
      <c r="J1332" s="15"/>
      <c r="K1332" s="18"/>
      <c r="L1332" s="15"/>
      <c r="M1332" s="15"/>
      <c r="N1332" s="15"/>
      <c r="O1332" s="24"/>
      <c r="P1332" s="17"/>
      <c r="Q1332" s="16"/>
      <c r="R1332" s="19"/>
      <c r="S1332" s="20"/>
    </row>
    <row r="1333" spans="1:19" x14ac:dyDescent="0.25">
      <c r="A1333" t="str">
        <f>(COUNTIF($K$2:K1333,K1333))&amp;K1333</f>
        <v>0</v>
      </c>
      <c r="B1333" s="34"/>
      <c r="C1333" s="13"/>
      <c r="D1333" s="14"/>
      <c r="E1333" s="16"/>
      <c r="F1333" s="17"/>
      <c r="G1333" s="24"/>
      <c r="H1333" s="15"/>
      <c r="I1333" s="15"/>
      <c r="J1333" s="15"/>
      <c r="K1333" s="18"/>
      <c r="L1333" s="15"/>
      <c r="M1333" s="15"/>
      <c r="N1333" s="15"/>
      <c r="O1333" s="24"/>
      <c r="P1333" s="17"/>
      <c r="Q1333" s="16"/>
      <c r="R1333" s="19"/>
      <c r="S1333" s="20"/>
    </row>
    <row r="1334" spans="1:19" x14ac:dyDescent="0.25">
      <c r="A1334" t="str">
        <f>(COUNTIF($K$2:K1334,K1334))&amp;K1334</f>
        <v>0</v>
      </c>
      <c r="B1334" s="34"/>
      <c r="C1334" s="13"/>
      <c r="D1334" s="14"/>
      <c r="E1334" s="16"/>
      <c r="F1334" s="17"/>
      <c r="G1334" s="24"/>
      <c r="H1334" s="15"/>
      <c r="I1334" s="15"/>
      <c r="J1334" s="15"/>
      <c r="K1334" s="18"/>
      <c r="L1334" s="15"/>
      <c r="M1334" s="15"/>
      <c r="N1334" s="15"/>
      <c r="O1334" s="24"/>
      <c r="P1334" s="17"/>
      <c r="Q1334" s="16"/>
      <c r="R1334" s="19"/>
      <c r="S1334" s="20"/>
    </row>
    <row r="1335" spans="1:19" x14ac:dyDescent="0.25">
      <c r="A1335" t="str">
        <f>(COUNTIF($K$2:K1335,K1335))&amp;K1335</f>
        <v>0</v>
      </c>
      <c r="B1335" s="34"/>
      <c r="C1335" s="13"/>
      <c r="D1335" s="14"/>
      <c r="E1335" s="16"/>
      <c r="F1335" s="17"/>
      <c r="G1335" s="24"/>
      <c r="H1335" s="15"/>
      <c r="I1335" s="15"/>
      <c r="J1335" s="15"/>
      <c r="K1335" s="18"/>
      <c r="L1335" s="15"/>
      <c r="M1335" s="15"/>
      <c r="N1335" s="15"/>
      <c r="O1335" s="24"/>
      <c r="P1335" s="17"/>
      <c r="Q1335" s="16"/>
      <c r="R1335" s="19"/>
      <c r="S1335" s="20"/>
    </row>
    <row r="1336" spans="1:19" ht="15.75" x14ac:dyDescent="0.25">
      <c r="A1336" t="str">
        <f>(COUNTIF($K$2:K1336,K1336))&amp;K1336</f>
        <v>0</v>
      </c>
      <c r="B1336" s="34"/>
      <c r="C1336" s="13"/>
      <c r="D1336" s="14"/>
      <c r="E1336" s="16"/>
      <c r="F1336" s="17"/>
      <c r="G1336" s="24"/>
      <c r="H1336" s="15"/>
      <c r="I1336" s="15"/>
      <c r="J1336" s="15"/>
      <c r="K1336" s="21"/>
      <c r="L1336" s="15"/>
      <c r="M1336" s="15"/>
      <c r="N1336" s="15"/>
      <c r="O1336" s="24"/>
      <c r="P1336" s="17"/>
      <c r="Q1336" s="16"/>
      <c r="R1336" s="19"/>
      <c r="S1336" s="20"/>
    </row>
    <row r="1337" spans="1:19" x14ac:dyDescent="0.25">
      <c r="A1337" t="str">
        <f>(COUNTIF($K$2:K1337,K1337))&amp;K1337</f>
        <v>0</v>
      </c>
      <c r="B1337" s="34"/>
      <c r="C1337" s="13"/>
      <c r="D1337" s="14"/>
      <c r="E1337" s="16"/>
      <c r="F1337" s="17"/>
      <c r="G1337" s="24"/>
      <c r="H1337" s="15"/>
      <c r="I1337" s="15"/>
      <c r="J1337" s="15"/>
      <c r="K1337" s="18"/>
      <c r="L1337" s="15"/>
      <c r="M1337" s="15"/>
      <c r="N1337" s="15"/>
      <c r="O1337" s="24"/>
      <c r="P1337" s="17"/>
      <c r="Q1337" s="16"/>
      <c r="R1337" s="19"/>
      <c r="S1337" s="20"/>
    </row>
    <row r="1338" spans="1:19" x14ac:dyDescent="0.25">
      <c r="A1338" t="str">
        <f>(COUNTIF($K$2:K1338,K1338))&amp;K1338</f>
        <v>0</v>
      </c>
      <c r="B1338" s="34"/>
      <c r="C1338" s="13"/>
      <c r="D1338" s="14"/>
      <c r="E1338" s="16"/>
      <c r="F1338" s="17"/>
      <c r="G1338" s="24"/>
      <c r="H1338" s="15"/>
      <c r="I1338" s="15"/>
      <c r="J1338" s="15"/>
      <c r="K1338" s="18"/>
      <c r="L1338" s="15"/>
      <c r="M1338" s="15"/>
      <c r="N1338" s="15"/>
      <c r="O1338" s="24"/>
      <c r="P1338" s="17"/>
      <c r="Q1338" s="16"/>
      <c r="R1338" s="19"/>
      <c r="S1338" s="20"/>
    </row>
    <row r="1339" spans="1:19" x14ac:dyDescent="0.25">
      <c r="A1339" t="str">
        <f>(COUNTIF($K$2:K1339,K1339))&amp;K1339</f>
        <v>0</v>
      </c>
      <c r="B1339" s="34"/>
      <c r="C1339" s="13"/>
      <c r="D1339" s="14"/>
      <c r="E1339" s="16"/>
      <c r="F1339" s="17"/>
      <c r="G1339" s="24"/>
      <c r="H1339" s="15"/>
      <c r="I1339" s="15"/>
      <c r="J1339" s="15"/>
      <c r="K1339" s="18"/>
      <c r="L1339" s="15"/>
      <c r="M1339" s="15"/>
      <c r="N1339" s="15"/>
      <c r="O1339" s="24"/>
      <c r="P1339" s="17"/>
      <c r="Q1339" s="16"/>
      <c r="R1339" s="19"/>
      <c r="S1339" s="20"/>
    </row>
    <row r="1340" spans="1:19" x14ac:dyDescent="0.25">
      <c r="A1340" t="str">
        <f>(COUNTIF($K$2:K1340,K1340))&amp;K1340</f>
        <v>0</v>
      </c>
      <c r="B1340" s="34"/>
      <c r="C1340" s="13"/>
      <c r="D1340" s="14"/>
      <c r="E1340" s="16"/>
      <c r="F1340" s="17"/>
      <c r="G1340" s="24"/>
      <c r="H1340" s="15"/>
      <c r="I1340" s="15"/>
      <c r="J1340" s="15"/>
      <c r="K1340" s="18"/>
      <c r="L1340" s="15"/>
      <c r="M1340" s="15"/>
      <c r="N1340" s="15"/>
      <c r="O1340" s="24"/>
      <c r="P1340" s="17"/>
      <c r="Q1340" s="16"/>
      <c r="R1340" s="19"/>
      <c r="S1340" s="20"/>
    </row>
    <row r="1341" spans="1:19" x14ac:dyDescent="0.25">
      <c r="A1341" t="str">
        <f>(COUNTIF($K$2:K1341,K1341))&amp;K1341</f>
        <v>0</v>
      </c>
      <c r="B1341" s="34"/>
      <c r="C1341" s="13"/>
      <c r="D1341" s="14"/>
      <c r="E1341" s="16"/>
      <c r="F1341" s="17"/>
      <c r="G1341" s="24"/>
      <c r="H1341" s="15"/>
      <c r="I1341" s="15"/>
      <c r="J1341" s="15"/>
      <c r="K1341" s="18"/>
      <c r="L1341" s="15"/>
      <c r="M1341" s="15"/>
      <c r="N1341" s="15"/>
      <c r="O1341" s="24"/>
      <c r="P1341" s="17"/>
      <c r="Q1341" s="16"/>
      <c r="R1341" s="19"/>
      <c r="S1341" s="20"/>
    </row>
    <row r="1342" spans="1:19" x14ac:dyDescent="0.25">
      <c r="A1342" t="str">
        <f>(COUNTIF($K$2:K1342,K1342))&amp;K1342</f>
        <v>0</v>
      </c>
      <c r="B1342" s="34"/>
      <c r="C1342" s="13"/>
      <c r="D1342" s="14"/>
      <c r="E1342" s="16"/>
      <c r="F1342" s="17"/>
      <c r="G1342" s="24"/>
      <c r="H1342" s="15"/>
      <c r="I1342" s="15"/>
      <c r="J1342" s="15"/>
      <c r="K1342" s="18"/>
      <c r="L1342" s="15"/>
      <c r="M1342" s="15"/>
      <c r="N1342" s="15"/>
      <c r="O1342" s="24"/>
      <c r="P1342" s="17"/>
      <c r="Q1342" s="16"/>
      <c r="R1342" s="19"/>
      <c r="S1342" s="20"/>
    </row>
    <row r="1343" spans="1:19" x14ac:dyDescent="0.25">
      <c r="A1343" t="str">
        <f>(COUNTIF($K$2:K1343,K1343))&amp;K1343</f>
        <v>0</v>
      </c>
      <c r="B1343" s="34"/>
      <c r="C1343" s="13"/>
      <c r="D1343" s="14"/>
      <c r="E1343" s="16"/>
      <c r="F1343" s="17"/>
      <c r="G1343" s="24"/>
      <c r="H1343" s="15"/>
      <c r="I1343" s="15"/>
      <c r="J1343" s="15"/>
      <c r="K1343" s="18"/>
      <c r="L1343" s="15"/>
      <c r="M1343" s="15"/>
      <c r="N1343" s="15"/>
      <c r="O1343" s="24"/>
      <c r="P1343" s="17"/>
      <c r="Q1343" s="16"/>
      <c r="R1343" s="19"/>
      <c r="S1343" s="20"/>
    </row>
    <row r="1344" spans="1:19" x14ac:dyDescent="0.25">
      <c r="A1344" t="str">
        <f>(COUNTIF($K$2:K1344,K1344))&amp;K1344</f>
        <v>0</v>
      </c>
      <c r="B1344" s="34"/>
      <c r="C1344" s="41"/>
      <c r="E1344" s="33"/>
      <c r="F1344" s="39"/>
      <c r="G1344" s="40"/>
      <c r="H1344" s="38"/>
      <c r="I1344" s="38"/>
      <c r="J1344" s="38"/>
      <c r="K1344" s="49"/>
      <c r="L1344" s="38"/>
      <c r="M1344" s="38"/>
      <c r="N1344" s="38"/>
      <c r="P1344" s="40"/>
      <c r="Q1344" s="33"/>
      <c r="R1344" s="38"/>
      <c r="S1344" s="38"/>
    </row>
    <row r="1345" spans="1:19" x14ac:dyDescent="0.25">
      <c r="A1345" t="str">
        <f>(COUNTIF($K$2:K1345,K1345))&amp;K1345</f>
        <v>0</v>
      </c>
      <c r="B1345" s="34"/>
      <c r="C1345" s="13"/>
      <c r="D1345" s="14"/>
      <c r="E1345" s="16"/>
      <c r="F1345" s="17"/>
      <c r="G1345" s="24"/>
      <c r="H1345" s="15"/>
      <c r="I1345" s="15"/>
      <c r="J1345" s="15"/>
      <c r="K1345" s="18"/>
      <c r="L1345" s="15"/>
      <c r="M1345" s="15"/>
      <c r="N1345" s="15"/>
      <c r="O1345" s="24"/>
      <c r="P1345" s="17"/>
      <c r="Q1345" s="16"/>
      <c r="R1345" s="19"/>
      <c r="S1345" s="20"/>
    </row>
    <row r="1346" spans="1:19" x14ac:dyDescent="0.25">
      <c r="A1346" t="str">
        <f>(COUNTIF($K$2:K1346,K1346))&amp;K1346</f>
        <v>0</v>
      </c>
      <c r="B1346" s="34"/>
      <c r="C1346" s="13"/>
      <c r="D1346" s="14"/>
      <c r="E1346" s="16"/>
      <c r="F1346" s="17"/>
      <c r="G1346" s="24"/>
      <c r="H1346" s="15"/>
      <c r="I1346" s="15"/>
      <c r="J1346" s="15"/>
      <c r="K1346" s="18"/>
      <c r="L1346" s="15"/>
      <c r="M1346" s="15"/>
      <c r="N1346" s="15"/>
      <c r="O1346" s="24"/>
      <c r="P1346" s="17"/>
      <c r="Q1346" s="16"/>
      <c r="R1346" s="19"/>
      <c r="S1346" s="20"/>
    </row>
    <row r="1347" spans="1:19" x14ac:dyDescent="0.25">
      <c r="A1347" t="str">
        <f>(COUNTIF($K$2:K1347,K1347))&amp;K1347</f>
        <v>0</v>
      </c>
      <c r="B1347" s="34"/>
      <c r="C1347" s="13"/>
      <c r="D1347" s="14"/>
      <c r="E1347" s="16"/>
      <c r="F1347" s="17"/>
      <c r="G1347" s="24"/>
      <c r="H1347" s="15"/>
      <c r="I1347" s="15"/>
      <c r="J1347" s="15"/>
      <c r="K1347" s="18"/>
      <c r="L1347" s="15"/>
      <c r="M1347" s="15"/>
      <c r="N1347" s="15"/>
      <c r="O1347" s="24"/>
      <c r="P1347" s="17"/>
      <c r="Q1347" s="16"/>
      <c r="R1347" s="19"/>
      <c r="S1347" s="20"/>
    </row>
    <row r="1348" spans="1:19" x14ac:dyDescent="0.25">
      <c r="A1348" t="str">
        <f>(COUNTIF($K$2:K1348,K1348))&amp;K1348</f>
        <v>0</v>
      </c>
      <c r="B1348" s="34"/>
      <c r="C1348" s="13"/>
      <c r="D1348" s="14"/>
      <c r="E1348" s="16"/>
      <c r="F1348" s="17"/>
      <c r="G1348" s="24"/>
      <c r="H1348" s="15"/>
      <c r="I1348" s="15"/>
      <c r="J1348" s="15"/>
      <c r="K1348" s="18"/>
      <c r="L1348" s="15"/>
      <c r="M1348" s="15"/>
      <c r="N1348" s="15"/>
      <c r="O1348" s="24"/>
      <c r="P1348" s="17"/>
      <c r="Q1348" s="16"/>
      <c r="R1348" s="19"/>
      <c r="S1348" s="20"/>
    </row>
    <row r="1349" spans="1:19" x14ac:dyDescent="0.25">
      <c r="A1349" t="str">
        <f>(COUNTIF($K$2:K1349,K1349))&amp;K1349</f>
        <v>0</v>
      </c>
      <c r="B1349" s="34"/>
      <c r="C1349" s="13"/>
      <c r="D1349" s="14"/>
      <c r="E1349" s="16"/>
      <c r="F1349" s="17"/>
      <c r="G1349" s="24"/>
      <c r="H1349" s="15"/>
      <c r="I1349" s="15"/>
      <c r="J1349" s="15"/>
      <c r="K1349" s="18"/>
      <c r="L1349" s="15"/>
      <c r="M1349" s="15"/>
      <c r="N1349" s="15"/>
      <c r="O1349" s="24"/>
      <c r="P1349" s="17"/>
      <c r="Q1349" s="16"/>
      <c r="R1349" s="19"/>
      <c r="S1349" s="20"/>
    </row>
    <row r="1350" spans="1:19" x14ac:dyDescent="0.25">
      <c r="A1350" t="str">
        <f>(COUNTIF($K$2:K1350,K1350))&amp;K1350</f>
        <v>0</v>
      </c>
      <c r="B1350" s="34"/>
      <c r="C1350" s="13"/>
      <c r="D1350" s="14"/>
      <c r="E1350" s="16"/>
      <c r="F1350" s="17"/>
      <c r="G1350" s="24"/>
      <c r="H1350" s="15"/>
      <c r="I1350" s="15"/>
      <c r="J1350" s="15"/>
      <c r="K1350" s="18"/>
      <c r="L1350" s="15"/>
      <c r="M1350" s="15"/>
      <c r="N1350" s="15"/>
      <c r="O1350" s="24"/>
      <c r="P1350" s="17"/>
      <c r="Q1350" s="16"/>
      <c r="R1350" s="19"/>
      <c r="S1350" s="20"/>
    </row>
    <row r="1351" spans="1:19" x14ac:dyDescent="0.25">
      <c r="A1351" t="str">
        <f>(COUNTIF($K$2:K1351,K1351))&amp;K1351</f>
        <v>0</v>
      </c>
      <c r="B1351" s="34"/>
      <c r="C1351" s="13"/>
      <c r="D1351" s="14"/>
      <c r="E1351" s="16"/>
      <c r="F1351" s="17"/>
      <c r="G1351" s="24"/>
      <c r="H1351" s="15"/>
      <c r="I1351" s="15"/>
      <c r="J1351" s="15"/>
      <c r="K1351" s="18"/>
      <c r="L1351" s="15"/>
      <c r="M1351" s="15"/>
      <c r="N1351" s="15"/>
      <c r="O1351" s="24"/>
      <c r="P1351" s="17"/>
      <c r="Q1351" s="16"/>
      <c r="R1351" s="19"/>
      <c r="S1351" s="20"/>
    </row>
    <row r="1352" spans="1:19" x14ac:dyDescent="0.25">
      <c r="A1352" t="str">
        <f>(COUNTIF($K$2:K1352,K1352))&amp;K1352</f>
        <v>0</v>
      </c>
      <c r="B1352" s="34"/>
      <c r="C1352" s="13"/>
      <c r="D1352" s="14"/>
      <c r="E1352" s="16"/>
      <c r="F1352" s="17"/>
      <c r="G1352" s="24"/>
      <c r="H1352" s="15"/>
      <c r="I1352" s="15"/>
      <c r="J1352" s="15"/>
      <c r="K1352" s="18"/>
      <c r="L1352" s="15"/>
      <c r="M1352" s="15"/>
      <c r="N1352" s="15"/>
      <c r="O1352" s="24"/>
      <c r="P1352" s="17"/>
      <c r="Q1352" s="16"/>
      <c r="R1352" s="19"/>
      <c r="S1352" s="20"/>
    </row>
    <row r="1353" spans="1:19" ht="15.75" x14ac:dyDescent="0.25">
      <c r="A1353" t="str">
        <f>(COUNTIF($K$2:K1353,K1353))&amp;K1353</f>
        <v>0</v>
      </c>
      <c r="B1353" s="34"/>
      <c r="C1353" s="13"/>
      <c r="D1353" s="14"/>
      <c r="E1353" s="16"/>
      <c r="F1353" s="17"/>
      <c r="G1353" s="24"/>
      <c r="H1353" s="15"/>
      <c r="I1353" s="15"/>
      <c r="J1353" s="15"/>
      <c r="K1353" s="21"/>
      <c r="L1353" s="15"/>
      <c r="M1353" s="15"/>
      <c r="N1353" s="15"/>
      <c r="O1353" s="24"/>
      <c r="P1353" s="17"/>
      <c r="Q1353" s="16"/>
      <c r="R1353" s="19"/>
      <c r="S1353" s="20"/>
    </row>
    <row r="1354" spans="1:19" x14ac:dyDescent="0.25">
      <c r="A1354" t="str">
        <f>(COUNTIF($K$2:K1354,K1354))&amp;K1354</f>
        <v>0</v>
      </c>
      <c r="B1354" s="34"/>
      <c r="C1354" s="13"/>
      <c r="D1354" s="14"/>
      <c r="E1354" s="16"/>
      <c r="F1354" s="17"/>
      <c r="G1354" s="24"/>
      <c r="H1354" s="15"/>
      <c r="I1354" s="15"/>
      <c r="J1354" s="15"/>
      <c r="K1354" s="18"/>
      <c r="L1354" s="15"/>
      <c r="M1354" s="15"/>
      <c r="N1354" s="15"/>
      <c r="O1354" s="24"/>
      <c r="P1354" s="17"/>
      <c r="Q1354" s="16"/>
      <c r="R1354" s="19"/>
      <c r="S1354" s="20"/>
    </row>
    <row r="1355" spans="1:19" x14ac:dyDescent="0.25">
      <c r="A1355" t="str">
        <f>(COUNTIF($K$2:K1355,K1355))&amp;K1355</f>
        <v>0</v>
      </c>
      <c r="B1355" s="34"/>
      <c r="C1355" s="13"/>
      <c r="D1355" s="14"/>
      <c r="E1355" s="16"/>
      <c r="F1355" s="17"/>
      <c r="G1355" s="24"/>
      <c r="H1355" s="15"/>
      <c r="I1355" s="15"/>
      <c r="J1355" s="15"/>
      <c r="K1355" s="18"/>
      <c r="L1355" s="15"/>
      <c r="M1355" s="15"/>
      <c r="N1355" s="15"/>
      <c r="O1355" s="24"/>
      <c r="P1355" s="17"/>
      <c r="Q1355" s="16"/>
      <c r="R1355" s="19"/>
      <c r="S1355" s="20"/>
    </row>
    <row r="1356" spans="1:19" x14ac:dyDescent="0.25">
      <c r="A1356" t="str">
        <f>(COUNTIF($K$2:K1356,K1356))&amp;K1356</f>
        <v>0</v>
      </c>
      <c r="B1356" s="34"/>
      <c r="C1356" s="13"/>
      <c r="D1356" s="14"/>
      <c r="E1356" s="16"/>
      <c r="F1356" s="17"/>
      <c r="G1356" s="24"/>
      <c r="H1356" s="15"/>
      <c r="I1356" s="15"/>
      <c r="J1356" s="15"/>
      <c r="K1356" s="18"/>
      <c r="L1356" s="15"/>
      <c r="M1356" s="15"/>
      <c r="N1356" s="15"/>
      <c r="O1356" s="24"/>
      <c r="P1356" s="17"/>
      <c r="Q1356" s="16"/>
      <c r="R1356" s="19"/>
      <c r="S1356" s="20"/>
    </row>
    <row r="1357" spans="1:19" x14ac:dyDescent="0.25">
      <c r="A1357" t="str">
        <f>(COUNTIF($K$2:K1357,K1357))&amp;K1357</f>
        <v>0</v>
      </c>
      <c r="B1357" s="34"/>
      <c r="C1357" s="13"/>
      <c r="D1357" s="14"/>
      <c r="E1357" s="16"/>
      <c r="F1357" s="17"/>
      <c r="G1357" s="24"/>
      <c r="H1357" s="15"/>
      <c r="I1357" s="15"/>
      <c r="J1357" s="15"/>
      <c r="K1357" s="18"/>
      <c r="L1357" s="15"/>
      <c r="M1357" s="15"/>
      <c r="N1357" s="15"/>
      <c r="O1357" s="24"/>
      <c r="P1357" s="17"/>
      <c r="Q1357" s="16"/>
      <c r="R1357" s="19"/>
      <c r="S1357" s="20"/>
    </row>
    <row r="1358" spans="1:19" x14ac:dyDescent="0.25">
      <c r="A1358" t="str">
        <f>(COUNTIF($K$2:K1358,K1358))&amp;K1358</f>
        <v>0</v>
      </c>
      <c r="B1358" s="34"/>
      <c r="C1358" s="13"/>
      <c r="D1358" s="14"/>
      <c r="E1358" s="16"/>
      <c r="F1358" s="17"/>
      <c r="G1358" s="24"/>
      <c r="H1358" s="15"/>
      <c r="I1358" s="15"/>
      <c r="J1358" s="15"/>
      <c r="K1358" s="18"/>
      <c r="L1358" s="15"/>
      <c r="M1358" s="15"/>
      <c r="N1358" s="15"/>
      <c r="O1358" s="24"/>
      <c r="P1358" s="17"/>
      <c r="Q1358" s="16"/>
      <c r="R1358" s="19"/>
      <c r="S1358" s="20"/>
    </row>
    <row r="1359" spans="1:19" x14ac:dyDescent="0.25">
      <c r="A1359" t="str">
        <f>(COUNTIF($K$2:K1359,K1359))&amp;K1359</f>
        <v>0</v>
      </c>
      <c r="B1359" s="34"/>
      <c r="C1359" s="13"/>
      <c r="D1359" s="14"/>
      <c r="E1359" s="16"/>
      <c r="F1359" s="17"/>
      <c r="G1359" s="24"/>
      <c r="H1359" s="15"/>
      <c r="I1359" s="15"/>
      <c r="J1359" s="15"/>
      <c r="K1359" s="18"/>
      <c r="L1359" s="15"/>
      <c r="M1359" s="15"/>
      <c r="N1359" s="15"/>
      <c r="O1359" s="24"/>
      <c r="P1359" s="17"/>
      <c r="Q1359" s="16"/>
      <c r="R1359" s="19"/>
      <c r="S1359" s="20"/>
    </row>
    <row r="1360" spans="1:19" x14ac:dyDescent="0.25">
      <c r="A1360" t="str">
        <f>(COUNTIF($K$2:K1360,K1360))&amp;K1360</f>
        <v>0</v>
      </c>
      <c r="B1360" s="34"/>
      <c r="C1360" s="13"/>
      <c r="D1360" s="14"/>
      <c r="E1360" s="16"/>
      <c r="F1360" s="17"/>
      <c r="G1360" s="24"/>
      <c r="H1360" s="15"/>
      <c r="I1360" s="15"/>
      <c r="J1360" s="15"/>
      <c r="K1360" s="18"/>
      <c r="L1360" s="15"/>
      <c r="M1360" s="15"/>
      <c r="N1360" s="15"/>
      <c r="O1360" s="24"/>
      <c r="P1360" s="17"/>
      <c r="Q1360" s="16"/>
      <c r="R1360" s="19"/>
      <c r="S1360" s="20"/>
    </row>
    <row r="1361" spans="1:19" x14ac:dyDescent="0.25">
      <c r="A1361" t="str">
        <f>(COUNTIF($K$2:K1361,K1361))&amp;K1361</f>
        <v>0</v>
      </c>
      <c r="B1361" s="34"/>
      <c r="C1361" s="41"/>
      <c r="E1361" s="33"/>
      <c r="F1361" s="39"/>
      <c r="G1361" s="40"/>
      <c r="H1361" s="38"/>
      <c r="I1361" s="38"/>
      <c r="J1361" s="38"/>
      <c r="K1361" s="49"/>
      <c r="L1361" s="38"/>
      <c r="M1361" s="38"/>
      <c r="N1361" s="38"/>
      <c r="P1361" s="40"/>
      <c r="Q1361" s="33"/>
      <c r="R1361" s="38"/>
      <c r="S1361" s="38"/>
    </row>
    <row r="1362" spans="1:19" x14ac:dyDescent="0.25">
      <c r="A1362" t="str">
        <f>(COUNTIF($K$2:K1362,K1362))&amp;K1362</f>
        <v>0</v>
      </c>
      <c r="B1362" s="34"/>
      <c r="C1362" s="13"/>
      <c r="D1362" s="14"/>
      <c r="E1362" s="16"/>
      <c r="F1362" s="17"/>
      <c r="G1362" s="24"/>
      <c r="H1362" s="15"/>
      <c r="I1362" s="15"/>
      <c r="J1362" s="15"/>
      <c r="K1362" s="18"/>
      <c r="L1362" s="15"/>
      <c r="M1362" s="15"/>
      <c r="N1362" s="15"/>
      <c r="O1362" s="24"/>
      <c r="P1362" s="17"/>
      <c r="Q1362" s="16"/>
      <c r="R1362" s="19"/>
      <c r="S1362" s="20"/>
    </row>
    <row r="1363" spans="1:19" x14ac:dyDescent="0.25">
      <c r="A1363" t="str">
        <f>(COUNTIF($K$2:K1363,K1363))&amp;K1363</f>
        <v>0</v>
      </c>
      <c r="B1363" s="34"/>
      <c r="C1363" s="13"/>
      <c r="D1363" s="14"/>
      <c r="E1363" s="16"/>
      <c r="F1363" s="17"/>
      <c r="G1363" s="24"/>
      <c r="H1363" s="15"/>
      <c r="I1363" s="15"/>
      <c r="J1363" s="15"/>
      <c r="K1363" s="18"/>
      <c r="L1363" s="15"/>
      <c r="M1363" s="15"/>
      <c r="N1363" s="15"/>
      <c r="O1363" s="24"/>
      <c r="P1363" s="17"/>
      <c r="Q1363" s="16"/>
      <c r="R1363" s="19"/>
      <c r="S1363" s="20"/>
    </row>
    <row r="1364" spans="1:19" x14ac:dyDescent="0.25">
      <c r="A1364" t="str">
        <f>(COUNTIF($K$2:K1364,K1364))&amp;K1364</f>
        <v>0</v>
      </c>
      <c r="B1364" s="34"/>
      <c r="C1364" s="13"/>
      <c r="D1364" s="14"/>
      <c r="E1364" s="16"/>
      <c r="F1364" s="17"/>
      <c r="G1364" s="24"/>
      <c r="H1364" s="15"/>
      <c r="I1364" s="15"/>
      <c r="J1364" s="15"/>
      <c r="K1364" s="18"/>
      <c r="L1364" s="15"/>
      <c r="M1364" s="15"/>
      <c r="N1364" s="15"/>
      <c r="O1364" s="24"/>
      <c r="P1364" s="17"/>
      <c r="Q1364" s="16"/>
      <c r="R1364" s="19"/>
      <c r="S1364" s="20"/>
    </row>
    <row r="1365" spans="1:19" x14ac:dyDescent="0.25">
      <c r="A1365" t="str">
        <f>(COUNTIF($K$2:K1365,K1365))&amp;K1365</f>
        <v>0</v>
      </c>
      <c r="B1365" s="34"/>
      <c r="C1365" s="13"/>
      <c r="D1365" s="14"/>
      <c r="E1365" s="16"/>
      <c r="F1365" s="17"/>
      <c r="G1365" s="24"/>
      <c r="H1365" s="15"/>
      <c r="I1365" s="15"/>
      <c r="J1365" s="15"/>
      <c r="K1365" s="18"/>
      <c r="L1365" s="15"/>
      <c r="M1365" s="15"/>
      <c r="N1365" s="15"/>
      <c r="O1365" s="24"/>
      <c r="P1365" s="17"/>
      <c r="Q1365" s="16"/>
      <c r="R1365" s="19"/>
      <c r="S1365" s="20"/>
    </row>
    <row r="1366" spans="1:19" x14ac:dyDescent="0.25">
      <c r="A1366" t="str">
        <f>(COUNTIF($K$2:K1366,K1366))&amp;K1366</f>
        <v>0</v>
      </c>
      <c r="B1366" s="34"/>
      <c r="C1366" s="13"/>
      <c r="D1366" s="14"/>
      <c r="E1366" s="16"/>
      <c r="F1366" s="17"/>
      <c r="G1366" s="24"/>
      <c r="H1366" s="15"/>
      <c r="I1366" s="15"/>
      <c r="J1366" s="15"/>
      <c r="K1366" s="18"/>
      <c r="L1366" s="15"/>
      <c r="M1366" s="15"/>
      <c r="N1366" s="15"/>
      <c r="O1366" s="24"/>
      <c r="P1366" s="17"/>
      <c r="Q1366" s="16"/>
      <c r="R1366" s="19"/>
      <c r="S1366" s="20"/>
    </row>
    <row r="1367" spans="1:19" x14ac:dyDescent="0.25">
      <c r="A1367" t="str">
        <f>(COUNTIF($K$2:K1367,K1367))&amp;K1367</f>
        <v>0</v>
      </c>
      <c r="B1367" s="34"/>
      <c r="C1367" s="13"/>
      <c r="D1367" s="14"/>
      <c r="E1367" s="16"/>
      <c r="F1367" s="17"/>
      <c r="G1367" s="24"/>
      <c r="H1367" s="15"/>
      <c r="I1367" s="15"/>
      <c r="J1367" s="15"/>
      <c r="K1367" s="18"/>
      <c r="L1367" s="15"/>
      <c r="M1367" s="15"/>
      <c r="N1367" s="15"/>
      <c r="O1367" s="24"/>
      <c r="P1367" s="17"/>
      <c r="Q1367" s="16"/>
      <c r="R1367" s="19"/>
      <c r="S1367" s="20"/>
    </row>
    <row r="1368" spans="1:19" x14ac:dyDescent="0.25">
      <c r="A1368" t="str">
        <f>(COUNTIF($K$2:K1368,K1368))&amp;K1368</f>
        <v>0</v>
      </c>
      <c r="B1368" s="34"/>
      <c r="C1368" s="13"/>
      <c r="D1368" s="14"/>
      <c r="E1368" s="16"/>
      <c r="F1368" s="17"/>
      <c r="G1368" s="24"/>
      <c r="H1368" s="15"/>
      <c r="I1368" s="15"/>
      <c r="J1368" s="15"/>
      <c r="K1368" s="18"/>
      <c r="L1368" s="15"/>
      <c r="M1368" s="15"/>
      <c r="N1368" s="15"/>
      <c r="O1368" s="24"/>
      <c r="P1368" s="17"/>
      <c r="Q1368" s="16"/>
      <c r="R1368" s="19"/>
      <c r="S1368" s="20"/>
    </row>
    <row r="1369" spans="1:19" x14ac:dyDescent="0.25">
      <c r="A1369" t="str">
        <f>(COUNTIF($K$2:K1369,K1369))&amp;K1369</f>
        <v>0</v>
      </c>
      <c r="B1369" s="34"/>
      <c r="C1369" s="13"/>
      <c r="D1369" s="14"/>
      <c r="E1369" s="16"/>
      <c r="F1369" s="17"/>
      <c r="G1369" s="24"/>
      <c r="H1369" s="15"/>
      <c r="I1369" s="15"/>
      <c r="J1369" s="15"/>
      <c r="K1369" s="18"/>
      <c r="L1369" s="15"/>
      <c r="M1369" s="15"/>
      <c r="N1369" s="15"/>
      <c r="O1369" s="24"/>
      <c r="P1369" s="17"/>
      <c r="Q1369" s="16"/>
      <c r="R1369" s="19"/>
      <c r="S1369" s="20"/>
    </row>
    <row r="1370" spans="1:19" ht="15.75" x14ac:dyDescent="0.25">
      <c r="A1370" t="str">
        <f>(COUNTIF($K$2:K1370,K1370))&amp;K1370</f>
        <v>0</v>
      </c>
      <c r="B1370" s="34"/>
      <c r="C1370" s="13"/>
      <c r="D1370" s="14"/>
      <c r="E1370" s="16"/>
      <c r="F1370" s="17"/>
      <c r="G1370" s="24"/>
      <c r="H1370" s="15"/>
      <c r="I1370" s="15"/>
      <c r="J1370" s="15"/>
      <c r="K1370" s="21"/>
      <c r="L1370" s="15"/>
      <c r="M1370" s="15"/>
      <c r="N1370" s="15"/>
      <c r="O1370" s="24"/>
      <c r="P1370" s="17"/>
      <c r="Q1370" s="16"/>
      <c r="R1370" s="19"/>
      <c r="S1370" s="20"/>
    </row>
    <row r="1371" spans="1:19" x14ac:dyDescent="0.25">
      <c r="A1371" t="str">
        <f>(COUNTIF($K$2:K1371,K1371))&amp;K1371</f>
        <v>0</v>
      </c>
      <c r="B1371" s="34"/>
      <c r="C1371" s="13"/>
      <c r="D1371" s="14"/>
      <c r="E1371" s="16"/>
      <c r="F1371" s="17"/>
      <c r="G1371" s="24"/>
      <c r="H1371" s="15"/>
      <c r="I1371" s="15"/>
      <c r="J1371" s="15"/>
      <c r="K1371" s="18"/>
      <c r="L1371" s="15"/>
      <c r="M1371" s="15"/>
      <c r="N1371" s="15"/>
      <c r="O1371" s="24"/>
      <c r="P1371" s="17"/>
      <c r="Q1371" s="16"/>
      <c r="R1371" s="19"/>
      <c r="S1371" s="20"/>
    </row>
    <row r="1372" spans="1:19" x14ac:dyDescent="0.25">
      <c r="A1372" t="str">
        <f>(COUNTIF($K$2:K1372,K1372))&amp;K1372</f>
        <v>0</v>
      </c>
      <c r="B1372" s="34"/>
      <c r="C1372" s="13"/>
      <c r="D1372" s="14"/>
      <c r="E1372" s="16"/>
      <c r="F1372" s="17"/>
      <c r="G1372" s="24"/>
      <c r="H1372" s="15"/>
      <c r="I1372" s="15"/>
      <c r="J1372" s="15"/>
      <c r="K1372" s="18"/>
      <c r="L1372" s="15"/>
      <c r="M1372" s="15"/>
      <c r="N1372" s="15"/>
      <c r="O1372" s="24"/>
      <c r="P1372" s="17"/>
      <c r="Q1372" s="16"/>
      <c r="R1372" s="19"/>
      <c r="S1372" s="20"/>
    </row>
    <row r="1373" spans="1:19" x14ac:dyDescent="0.25">
      <c r="A1373" t="str">
        <f>(COUNTIF($K$2:K1373,K1373))&amp;K1373</f>
        <v>0</v>
      </c>
      <c r="B1373" s="34"/>
      <c r="C1373" s="13"/>
      <c r="D1373" s="14"/>
      <c r="E1373" s="16"/>
      <c r="F1373" s="17"/>
      <c r="G1373" s="24"/>
      <c r="H1373" s="15"/>
      <c r="I1373" s="15"/>
      <c r="J1373" s="15"/>
      <c r="K1373" s="18"/>
      <c r="L1373" s="15"/>
      <c r="M1373" s="15"/>
      <c r="N1373" s="15"/>
      <c r="O1373" s="24"/>
      <c r="P1373" s="17"/>
      <c r="Q1373" s="16"/>
      <c r="R1373" s="19"/>
      <c r="S1373" s="20"/>
    </row>
    <row r="1374" spans="1:19" x14ac:dyDescent="0.25">
      <c r="A1374" t="str">
        <f>(COUNTIF($K$2:K1374,K1374))&amp;K1374</f>
        <v>0</v>
      </c>
      <c r="B1374" s="34"/>
      <c r="C1374" s="13"/>
      <c r="D1374" s="14"/>
      <c r="E1374" s="16"/>
      <c r="F1374" s="17"/>
      <c r="G1374" s="24"/>
      <c r="H1374" s="15"/>
      <c r="I1374" s="15"/>
      <c r="J1374" s="15"/>
      <c r="K1374" s="18"/>
      <c r="L1374" s="15"/>
      <c r="M1374" s="15"/>
      <c r="N1374" s="15"/>
      <c r="O1374" s="24"/>
      <c r="P1374" s="17"/>
      <c r="Q1374" s="16"/>
      <c r="R1374" s="19"/>
      <c r="S1374" s="20"/>
    </row>
    <row r="1375" spans="1:19" x14ac:dyDescent="0.25">
      <c r="A1375" t="str">
        <f>(COUNTIF($K$2:K1375,K1375))&amp;K1375</f>
        <v>0</v>
      </c>
      <c r="B1375" s="34"/>
      <c r="C1375" s="13"/>
      <c r="D1375" s="14"/>
      <c r="E1375" s="16"/>
      <c r="F1375" s="17"/>
      <c r="G1375" s="24"/>
      <c r="H1375" s="15"/>
      <c r="I1375" s="15"/>
      <c r="J1375" s="15"/>
      <c r="K1375" s="18"/>
      <c r="L1375" s="15"/>
      <c r="M1375" s="15"/>
      <c r="N1375" s="15"/>
      <c r="O1375" s="24"/>
      <c r="P1375" s="17"/>
      <c r="Q1375" s="16"/>
      <c r="R1375" s="19"/>
      <c r="S1375" s="20"/>
    </row>
    <row r="1376" spans="1:19" x14ac:dyDescent="0.25">
      <c r="A1376" t="str">
        <f>(COUNTIF($K$2:K1376,K1376))&amp;K1376</f>
        <v>0</v>
      </c>
      <c r="B1376" s="34"/>
      <c r="C1376" s="13"/>
      <c r="D1376" s="14"/>
      <c r="E1376" s="16"/>
      <c r="F1376" s="17"/>
      <c r="G1376" s="24"/>
      <c r="H1376" s="15"/>
      <c r="I1376" s="15"/>
      <c r="J1376" s="15"/>
      <c r="K1376" s="18"/>
      <c r="L1376" s="15"/>
      <c r="M1376" s="15"/>
      <c r="N1376" s="15"/>
      <c r="O1376" s="24"/>
      <c r="P1376" s="17"/>
      <c r="Q1376" s="16"/>
      <c r="R1376" s="19"/>
      <c r="S1376" s="20"/>
    </row>
    <row r="1377" spans="1:19" x14ac:dyDescent="0.25">
      <c r="A1377" t="str">
        <f>(COUNTIF($K$2:K1377,K1377))&amp;K1377</f>
        <v>0</v>
      </c>
      <c r="B1377" s="34"/>
      <c r="C1377" s="13"/>
      <c r="D1377" s="14"/>
      <c r="E1377" s="16"/>
      <c r="F1377" s="17"/>
      <c r="G1377" s="24"/>
      <c r="H1377" s="15"/>
      <c r="I1377" s="15"/>
      <c r="J1377" s="15"/>
      <c r="K1377" s="18"/>
      <c r="L1377" s="15"/>
      <c r="M1377" s="15"/>
      <c r="N1377" s="15"/>
      <c r="O1377" s="24"/>
      <c r="P1377" s="17"/>
      <c r="Q1377" s="16"/>
      <c r="R1377" s="19"/>
      <c r="S1377" s="20"/>
    </row>
    <row r="1378" spans="1:19" x14ac:dyDescent="0.25">
      <c r="A1378" t="str">
        <f>(COUNTIF($K$2:K1378,K1378))&amp;K1378</f>
        <v>0</v>
      </c>
      <c r="B1378" s="34"/>
      <c r="C1378" s="41"/>
      <c r="E1378" s="33"/>
      <c r="F1378" s="39"/>
      <c r="G1378" s="40"/>
      <c r="H1378" s="38"/>
      <c r="I1378" s="38"/>
      <c r="J1378" s="38"/>
      <c r="K1378" s="49"/>
      <c r="L1378" s="38"/>
      <c r="M1378" s="38"/>
      <c r="N1378" s="38"/>
      <c r="P1378" s="40"/>
      <c r="Q1378" s="33"/>
      <c r="R1378" s="38"/>
      <c r="S1378" s="38"/>
    </row>
    <row r="1379" spans="1:19" x14ac:dyDescent="0.25">
      <c r="A1379" t="str">
        <f>(COUNTIF($K$2:K1379,K1379))&amp;K1379</f>
        <v>0</v>
      </c>
      <c r="B1379" s="34"/>
      <c r="C1379" s="13"/>
      <c r="D1379" s="14"/>
      <c r="E1379" s="16"/>
      <c r="F1379" s="17"/>
      <c r="G1379" s="24"/>
      <c r="H1379" s="15"/>
      <c r="I1379" s="15"/>
      <c r="J1379" s="15"/>
      <c r="K1379" s="18"/>
      <c r="L1379" s="15"/>
      <c r="M1379" s="15"/>
      <c r="N1379" s="15"/>
      <c r="O1379" s="24"/>
      <c r="P1379" s="17"/>
      <c r="Q1379" s="16"/>
      <c r="R1379" s="19"/>
      <c r="S1379" s="20"/>
    </row>
    <row r="1380" spans="1:19" x14ac:dyDescent="0.25">
      <c r="A1380" t="str">
        <f>(COUNTIF($K$2:K1380,K1380))&amp;K1380</f>
        <v>0</v>
      </c>
      <c r="B1380" s="34"/>
      <c r="C1380" s="13"/>
      <c r="D1380" s="14"/>
      <c r="E1380" s="16"/>
      <c r="F1380" s="17"/>
      <c r="G1380" s="24"/>
      <c r="H1380" s="15"/>
      <c r="I1380" s="15"/>
      <c r="J1380" s="15"/>
      <c r="K1380" s="18"/>
      <c r="L1380" s="15"/>
      <c r="M1380" s="15"/>
      <c r="N1380" s="15"/>
      <c r="O1380" s="24"/>
      <c r="P1380" s="17"/>
      <c r="Q1380" s="16"/>
      <c r="R1380" s="19"/>
      <c r="S1380" s="20"/>
    </row>
    <row r="1381" spans="1:19" x14ac:dyDescent="0.25">
      <c r="A1381" t="str">
        <f>(COUNTIF($K$2:K1381,K1381))&amp;K1381</f>
        <v>0</v>
      </c>
      <c r="B1381" s="34"/>
      <c r="C1381" s="13"/>
      <c r="D1381" s="14"/>
      <c r="E1381" s="16"/>
      <c r="F1381" s="17"/>
      <c r="G1381" s="24"/>
      <c r="H1381" s="15"/>
      <c r="I1381" s="15"/>
      <c r="J1381" s="15"/>
      <c r="K1381" s="18"/>
      <c r="L1381" s="15"/>
      <c r="M1381" s="15"/>
      <c r="N1381" s="15"/>
      <c r="O1381" s="24"/>
      <c r="P1381" s="17"/>
      <c r="Q1381" s="16"/>
      <c r="R1381" s="19"/>
      <c r="S1381" s="20"/>
    </row>
    <row r="1382" spans="1:19" x14ac:dyDescent="0.25">
      <c r="A1382" t="str">
        <f>(COUNTIF($K$2:K1382,K1382))&amp;K1382</f>
        <v>0</v>
      </c>
      <c r="B1382" s="34"/>
      <c r="C1382" s="13"/>
      <c r="D1382" s="14"/>
      <c r="E1382" s="16"/>
      <c r="F1382" s="17"/>
      <c r="G1382" s="24"/>
      <c r="H1382" s="15"/>
      <c r="I1382" s="15"/>
      <c r="J1382" s="15"/>
      <c r="K1382" s="18"/>
      <c r="L1382" s="15"/>
      <c r="M1382" s="15"/>
      <c r="N1382" s="15"/>
      <c r="O1382" s="24"/>
      <c r="P1382" s="17"/>
      <c r="Q1382" s="16"/>
      <c r="R1382" s="19"/>
      <c r="S1382" s="20"/>
    </row>
    <row r="1383" spans="1:19" x14ac:dyDescent="0.25">
      <c r="A1383" t="str">
        <f>(COUNTIF($K$2:K1383,K1383))&amp;K1383</f>
        <v>0</v>
      </c>
      <c r="B1383" s="34"/>
      <c r="C1383" s="13"/>
      <c r="D1383" s="14"/>
      <c r="E1383" s="16"/>
      <c r="F1383" s="17"/>
      <c r="G1383" s="24"/>
      <c r="H1383" s="15"/>
      <c r="I1383" s="15"/>
      <c r="J1383" s="15"/>
      <c r="K1383" s="18"/>
      <c r="L1383" s="15"/>
      <c r="M1383" s="15"/>
      <c r="N1383" s="15"/>
      <c r="O1383" s="24"/>
      <c r="P1383" s="17"/>
      <c r="Q1383" s="16"/>
      <c r="R1383" s="19"/>
      <c r="S1383" s="20"/>
    </row>
    <row r="1384" spans="1:19" x14ac:dyDescent="0.25">
      <c r="A1384" t="str">
        <f>(COUNTIF($K$2:K1384,K1384))&amp;K1384</f>
        <v>0</v>
      </c>
      <c r="B1384" s="34"/>
      <c r="C1384" s="13"/>
      <c r="D1384" s="14"/>
      <c r="E1384" s="16"/>
      <c r="F1384" s="17"/>
      <c r="G1384" s="24"/>
      <c r="H1384" s="15"/>
      <c r="I1384" s="15"/>
      <c r="J1384" s="15"/>
      <c r="K1384" s="18"/>
      <c r="L1384" s="15"/>
      <c r="M1384" s="15"/>
      <c r="N1384" s="15"/>
      <c r="O1384" s="24"/>
      <c r="P1384" s="17"/>
      <c r="Q1384" s="16"/>
      <c r="R1384" s="19"/>
      <c r="S1384" s="20"/>
    </row>
    <row r="1385" spans="1:19" x14ac:dyDescent="0.25">
      <c r="A1385" t="str">
        <f>(COUNTIF($K$2:K1385,K1385))&amp;K1385</f>
        <v>0</v>
      </c>
      <c r="B1385" s="34"/>
      <c r="C1385" s="13"/>
      <c r="D1385" s="14"/>
      <c r="E1385" s="16"/>
      <c r="F1385" s="17"/>
      <c r="G1385" s="24"/>
      <c r="H1385" s="15"/>
      <c r="I1385" s="15"/>
      <c r="J1385" s="15"/>
      <c r="K1385" s="18"/>
      <c r="L1385" s="15"/>
      <c r="M1385" s="15"/>
      <c r="N1385" s="15"/>
      <c r="O1385" s="24"/>
      <c r="P1385" s="17"/>
      <c r="Q1385" s="16"/>
      <c r="R1385" s="19"/>
      <c r="S1385" s="20"/>
    </row>
    <row r="1386" spans="1:19" x14ac:dyDescent="0.25">
      <c r="A1386" t="str">
        <f>(COUNTIF($K$2:K1386,K1386))&amp;K1386</f>
        <v>0</v>
      </c>
      <c r="B1386" s="34"/>
      <c r="C1386" s="13"/>
      <c r="D1386" s="14"/>
      <c r="E1386" s="16"/>
      <c r="F1386" s="17"/>
      <c r="G1386" s="24"/>
      <c r="H1386" s="15"/>
      <c r="I1386" s="15"/>
      <c r="J1386" s="15"/>
      <c r="K1386" s="18"/>
      <c r="L1386" s="15"/>
      <c r="M1386" s="15"/>
      <c r="N1386" s="15"/>
      <c r="O1386" s="24"/>
      <c r="P1386" s="17"/>
      <c r="Q1386" s="16"/>
      <c r="R1386" s="19"/>
      <c r="S1386" s="20"/>
    </row>
    <row r="1387" spans="1:19" ht="15.75" x14ac:dyDescent="0.25">
      <c r="A1387" t="str">
        <f>(COUNTIF($K$2:K1387,K1387))&amp;K1387</f>
        <v>0</v>
      </c>
      <c r="B1387" s="34"/>
      <c r="C1387" s="13"/>
      <c r="D1387" s="14"/>
      <c r="E1387" s="16"/>
      <c r="F1387" s="17"/>
      <c r="G1387" s="24"/>
      <c r="H1387" s="15"/>
      <c r="I1387" s="15"/>
      <c r="J1387" s="15"/>
      <c r="K1387" s="21"/>
      <c r="L1387" s="15"/>
      <c r="M1387" s="15"/>
      <c r="N1387" s="15"/>
      <c r="O1387" s="24"/>
      <c r="P1387" s="17"/>
      <c r="Q1387" s="16"/>
      <c r="R1387" s="19"/>
      <c r="S1387" s="20"/>
    </row>
    <row r="1388" spans="1:19" x14ac:dyDescent="0.25">
      <c r="A1388" t="str">
        <f>(COUNTIF($K$2:K1388,K1388))&amp;K1388</f>
        <v>0</v>
      </c>
      <c r="B1388" s="34"/>
      <c r="C1388" s="13"/>
      <c r="D1388" s="14"/>
      <c r="E1388" s="16"/>
      <c r="F1388" s="17"/>
      <c r="G1388" s="24"/>
      <c r="H1388" s="15"/>
      <c r="I1388" s="15"/>
      <c r="J1388" s="15"/>
      <c r="K1388" s="18"/>
      <c r="L1388" s="15"/>
      <c r="M1388" s="15"/>
      <c r="N1388" s="15"/>
      <c r="O1388" s="24"/>
      <c r="P1388" s="17"/>
      <c r="Q1388" s="16"/>
      <c r="R1388" s="19"/>
      <c r="S1388" s="20"/>
    </row>
    <row r="1389" spans="1:19" x14ac:dyDescent="0.25">
      <c r="A1389" t="str">
        <f>(COUNTIF($K$2:K1389,K1389))&amp;K1389</f>
        <v>0</v>
      </c>
      <c r="B1389" s="34"/>
      <c r="C1389" s="13"/>
      <c r="D1389" s="14"/>
      <c r="E1389" s="16"/>
      <c r="F1389" s="17"/>
      <c r="G1389" s="24"/>
      <c r="H1389" s="15"/>
      <c r="I1389" s="15"/>
      <c r="J1389" s="15"/>
      <c r="K1389" s="18"/>
      <c r="L1389" s="15"/>
      <c r="M1389" s="15"/>
      <c r="N1389" s="15"/>
      <c r="O1389" s="24"/>
      <c r="P1389" s="17"/>
      <c r="Q1389" s="16"/>
      <c r="R1389" s="19"/>
      <c r="S1389" s="20"/>
    </row>
    <row r="1390" spans="1:19" x14ac:dyDescent="0.25">
      <c r="A1390" t="str">
        <f>(COUNTIF($K$2:K1390,K1390))&amp;K1390</f>
        <v>0</v>
      </c>
      <c r="B1390" s="34"/>
      <c r="C1390" s="13"/>
      <c r="D1390" s="14"/>
      <c r="E1390" s="16"/>
      <c r="F1390" s="17"/>
      <c r="G1390" s="24"/>
      <c r="H1390" s="15"/>
      <c r="I1390" s="15"/>
      <c r="J1390" s="15"/>
      <c r="K1390" s="18"/>
      <c r="L1390" s="15"/>
      <c r="M1390" s="15"/>
      <c r="N1390" s="15"/>
      <c r="O1390" s="24"/>
      <c r="P1390" s="17"/>
      <c r="Q1390" s="16"/>
      <c r="R1390" s="19"/>
      <c r="S1390" s="20"/>
    </row>
    <row r="1391" spans="1:19" x14ac:dyDescent="0.25">
      <c r="A1391" t="str">
        <f>(COUNTIF($K$2:K1391,K1391))&amp;K1391</f>
        <v>0</v>
      </c>
      <c r="B1391" s="34"/>
      <c r="C1391" s="13"/>
      <c r="D1391" s="14"/>
      <c r="E1391" s="16"/>
      <c r="F1391" s="17"/>
      <c r="G1391" s="24"/>
      <c r="H1391" s="15"/>
      <c r="I1391" s="15"/>
      <c r="J1391" s="15"/>
      <c r="K1391" s="18"/>
      <c r="L1391" s="15"/>
      <c r="M1391" s="15"/>
      <c r="N1391" s="15"/>
      <c r="O1391" s="24"/>
      <c r="P1391" s="17"/>
      <c r="Q1391" s="16"/>
      <c r="R1391" s="19"/>
      <c r="S1391" s="20"/>
    </row>
    <row r="1392" spans="1:19" x14ac:dyDescent="0.25">
      <c r="A1392" t="str">
        <f>(COUNTIF($K$2:K1392,K1392))&amp;K1392</f>
        <v>0</v>
      </c>
      <c r="B1392" s="34"/>
      <c r="C1392" s="13"/>
      <c r="D1392" s="14"/>
      <c r="E1392" s="16"/>
      <c r="F1392" s="17"/>
      <c r="G1392" s="24"/>
      <c r="H1392" s="15"/>
      <c r="I1392" s="15"/>
      <c r="J1392" s="15"/>
      <c r="K1392" s="18"/>
      <c r="L1392" s="15"/>
      <c r="M1392" s="15"/>
      <c r="N1392" s="15"/>
      <c r="O1392" s="24"/>
      <c r="P1392" s="17"/>
      <c r="Q1392" s="16"/>
      <c r="R1392" s="19"/>
      <c r="S1392" s="20"/>
    </row>
    <row r="1393" spans="1:19" x14ac:dyDescent="0.25">
      <c r="A1393" t="str">
        <f>(COUNTIF($K$2:K1393,K1393))&amp;K1393</f>
        <v>0</v>
      </c>
      <c r="B1393" s="34"/>
      <c r="C1393" s="13"/>
      <c r="D1393" s="14"/>
      <c r="E1393" s="16"/>
      <c r="F1393" s="17"/>
      <c r="G1393" s="24"/>
      <c r="H1393" s="15"/>
      <c r="I1393" s="15"/>
      <c r="J1393" s="15"/>
      <c r="K1393" s="18"/>
      <c r="L1393" s="15"/>
      <c r="M1393" s="15"/>
      <c r="N1393" s="15"/>
      <c r="O1393" s="24"/>
      <c r="P1393" s="17"/>
      <c r="Q1393" s="16"/>
      <c r="R1393" s="19"/>
      <c r="S1393" s="20"/>
    </row>
    <row r="1394" spans="1:19" x14ac:dyDescent="0.25">
      <c r="A1394" t="str">
        <f>(COUNTIF($K$2:K1394,K1394))&amp;K1394</f>
        <v>0</v>
      </c>
      <c r="B1394" s="34"/>
      <c r="C1394" s="13"/>
      <c r="D1394" s="14"/>
      <c r="E1394" s="16"/>
      <c r="F1394" s="17"/>
      <c r="G1394" s="24"/>
      <c r="H1394" s="15"/>
      <c r="I1394" s="15"/>
      <c r="J1394" s="15"/>
      <c r="K1394" s="18"/>
      <c r="L1394" s="15"/>
      <c r="M1394" s="15"/>
      <c r="N1394" s="15"/>
      <c r="O1394" s="24"/>
      <c r="P1394" s="17"/>
      <c r="Q1394" s="16"/>
      <c r="R1394" s="19"/>
      <c r="S1394" s="20"/>
    </row>
    <row r="1395" spans="1:19" x14ac:dyDescent="0.25">
      <c r="A1395" t="str">
        <f>(COUNTIF($K$2:K1395,K1395))&amp;K1395</f>
        <v>0</v>
      </c>
      <c r="B1395" s="34"/>
      <c r="C1395" s="41"/>
      <c r="E1395" s="33"/>
      <c r="F1395" s="39"/>
      <c r="G1395" s="40"/>
      <c r="H1395" s="38"/>
      <c r="I1395" s="38"/>
      <c r="J1395" s="38"/>
      <c r="K1395" s="49"/>
      <c r="L1395" s="38"/>
      <c r="M1395" s="38"/>
      <c r="N1395" s="38"/>
      <c r="P1395" s="40"/>
      <c r="Q1395" s="33"/>
      <c r="R1395" s="38"/>
      <c r="S1395" s="38"/>
    </row>
    <row r="1396" spans="1:19" x14ac:dyDescent="0.25">
      <c r="A1396" t="str">
        <f>(COUNTIF($K$2:K1396,K1396))&amp;K1396</f>
        <v>0</v>
      </c>
      <c r="B1396" s="34"/>
      <c r="C1396" s="13"/>
      <c r="D1396" s="14"/>
      <c r="E1396" s="16"/>
      <c r="F1396" s="17"/>
      <c r="G1396" s="24"/>
      <c r="H1396" s="15"/>
      <c r="I1396" s="15"/>
      <c r="J1396" s="15"/>
      <c r="K1396" s="18"/>
      <c r="L1396" s="15"/>
      <c r="M1396" s="15"/>
      <c r="N1396" s="15"/>
      <c r="O1396" s="24"/>
      <c r="P1396" s="17"/>
      <c r="Q1396" s="16"/>
      <c r="R1396" s="19"/>
      <c r="S1396" s="20"/>
    </row>
    <row r="1397" spans="1:19" x14ac:dyDescent="0.25">
      <c r="A1397" t="str">
        <f>(COUNTIF($K$2:K1397,K1397))&amp;K1397</f>
        <v>0</v>
      </c>
      <c r="B1397" s="34"/>
      <c r="C1397" s="13"/>
      <c r="D1397" s="14"/>
      <c r="E1397" s="16"/>
      <c r="F1397" s="17"/>
      <c r="G1397" s="24"/>
      <c r="H1397" s="15"/>
      <c r="I1397" s="15"/>
      <c r="J1397" s="15"/>
      <c r="K1397" s="18"/>
      <c r="L1397" s="15"/>
      <c r="M1397" s="15"/>
      <c r="N1397" s="15"/>
      <c r="O1397" s="24"/>
      <c r="P1397" s="17"/>
      <c r="Q1397" s="16"/>
      <c r="R1397" s="19"/>
      <c r="S1397" s="20"/>
    </row>
    <row r="1398" spans="1:19" x14ac:dyDescent="0.25">
      <c r="A1398" t="str">
        <f>(COUNTIF($K$2:K1398,K1398))&amp;K1398</f>
        <v>0</v>
      </c>
      <c r="B1398" s="34"/>
      <c r="C1398" s="13"/>
      <c r="D1398" s="14"/>
      <c r="E1398" s="16"/>
      <c r="F1398" s="17"/>
      <c r="G1398" s="24"/>
      <c r="H1398" s="15"/>
      <c r="I1398" s="15"/>
      <c r="J1398" s="15"/>
      <c r="K1398" s="18"/>
      <c r="L1398" s="15"/>
      <c r="M1398" s="15"/>
      <c r="N1398" s="15"/>
      <c r="O1398" s="24"/>
      <c r="P1398" s="17"/>
      <c r="Q1398" s="16"/>
      <c r="R1398" s="19"/>
      <c r="S1398" s="20"/>
    </row>
    <row r="1399" spans="1:19" x14ac:dyDescent="0.25">
      <c r="A1399" t="str">
        <f>(COUNTIF($K$2:K1399,K1399))&amp;K1399</f>
        <v>0</v>
      </c>
      <c r="B1399" s="34"/>
      <c r="C1399" s="13"/>
      <c r="D1399" s="14"/>
      <c r="E1399" s="16"/>
      <c r="F1399" s="17"/>
      <c r="G1399" s="24"/>
      <c r="H1399" s="15"/>
      <c r="I1399" s="15"/>
      <c r="J1399" s="15"/>
      <c r="K1399" s="18"/>
      <c r="L1399" s="15"/>
      <c r="M1399" s="15"/>
      <c r="N1399" s="15"/>
      <c r="O1399" s="24"/>
      <c r="P1399" s="17"/>
      <c r="Q1399" s="16"/>
      <c r="R1399" s="19"/>
      <c r="S1399" s="20"/>
    </row>
    <row r="1400" spans="1:19" x14ac:dyDescent="0.25">
      <c r="A1400" t="str">
        <f>(COUNTIF($K$2:K1400,K1400))&amp;K1400</f>
        <v>0</v>
      </c>
      <c r="B1400" s="34"/>
      <c r="C1400" s="13"/>
      <c r="D1400" s="14"/>
      <c r="E1400" s="16"/>
      <c r="F1400" s="17"/>
      <c r="G1400" s="24"/>
      <c r="H1400" s="15"/>
      <c r="I1400" s="15"/>
      <c r="J1400" s="15"/>
      <c r="K1400" s="18"/>
      <c r="L1400" s="15"/>
      <c r="M1400" s="15"/>
      <c r="N1400" s="15"/>
      <c r="O1400" s="24"/>
      <c r="P1400" s="17"/>
      <c r="Q1400" s="16"/>
      <c r="R1400" s="19"/>
      <c r="S1400" s="20"/>
    </row>
    <row r="1401" spans="1:19" x14ac:dyDescent="0.25">
      <c r="A1401" t="str">
        <f>(COUNTIF($K$2:K1401,K1401))&amp;K1401</f>
        <v>0</v>
      </c>
      <c r="B1401" s="34"/>
      <c r="C1401" s="13"/>
      <c r="D1401" s="14"/>
      <c r="E1401" s="16"/>
      <c r="F1401" s="17"/>
      <c r="G1401" s="24"/>
      <c r="H1401" s="15"/>
      <c r="I1401" s="15"/>
      <c r="J1401" s="15"/>
      <c r="K1401" s="18"/>
      <c r="L1401" s="15"/>
      <c r="M1401" s="15"/>
      <c r="N1401" s="15"/>
      <c r="O1401" s="24"/>
      <c r="P1401" s="17"/>
      <c r="Q1401" s="16"/>
      <c r="R1401" s="19"/>
      <c r="S1401" s="20"/>
    </row>
    <row r="1402" spans="1:19" x14ac:dyDescent="0.25">
      <c r="A1402" t="str">
        <f>(COUNTIF($K$2:K1402,K1402))&amp;K1402</f>
        <v>0</v>
      </c>
      <c r="B1402" s="34"/>
      <c r="C1402" s="13"/>
      <c r="D1402" s="14"/>
      <c r="E1402" s="16"/>
      <c r="F1402" s="17"/>
      <c r="G1402" s="24"/>
      <c r="H1402" s="15"/>
      <c r="I1402" s="15"/>
      <c r="J1402" s="15"/>
      <c r="K1402" s="18"/>
      <c r="L1402" s="15"/>
      <c r="M1402" s="15"/>
      <c r="N1402" s="15"/>
      <c r="O1402" s="24"/>
      <c r="P1402" s="17"/>
      <c r="Q1402" s="16"/>
      <c r="R1402" s="19"/>
      <c r="S1402" s="20"/>
    </row>
    <row r="1403" spans="1:19" x14ac:dyDescent="0.25">
      <c r="A1403" t="str">
        <f>(COUNTIF($K$2:K1403,K1403))&amp;K1403</f>
        <v>0</v>
      </c>
      <c r="B1403" s="34"/>
      <c r="C1403" s="13"/>
      <c r="D1403" s="14"/>
      <c r="E1403" s="16"/>
      <c r="F1403" s="17"/>
      <c r="G1403" s="24"/>
      <c r="H1403" s="15"/>
      <c r="I1403" s="15"/>
      <c r="J1403" s="15"/>
      <c r="K1403" s="18"/>
      <c r="L1403" s="15"/>
      <c r="M1403" s="15"/>
      <c r="N1403" s="15"/>
      <c r="O1403" s="24"/>
      <c r="P1403" s="17"/>
      <c r="Q1403" s="16"/>
      <c r="R1403" s="19"/>
      <c r="S1403" s="20"/>
    </row>
    <row r="1404" spans="1:19" ht="15.75" x14ac:dyDescent="0.25">
      <c r="A1404" t="str">
        <f>(COUNTIF($K$2:K1404,K1404))&amp;K1404</f>
        <v>0</v>
      </c>
      <c r="B1404" s="34"/>
      <c r="C1404" s="13"/>
      <c r="D1404" s="14"/>
      <c r="E1404" s="16"/>
      <c r="F1404" s="17"/>
      <c r="G1404" s="24"/>
      <c r="H1404" s="15"/>
      <c r="I1404" s="15"/>
      <c r="J1404" s="15"/>
      <c r="K1404" s="21"/>
      <c r="L1404" s="15"/>
      <c r="M1404" s="15"/>
      <c r="N1404" s="15"/>
      <c r="O1404" s="24"/>
      <c r="P1404" s="17"/>
      <c r="Q1404" s="16"/>
      <c r="R1404" s="19"/>
      <c r="S1404" s="20"/>
    </row>
    <row r="1405" spans="1:19" x14ac:dyDescent="0.25">
      <c r="A1405" t="str">
        <f>(COUNTIF($K$2:K1405,K1405))&amp;K1405</f>
        <v>0</v>
      </c>
      <c r="B1405" s="34"/>
      <c r="C1405" s="13"/>
      <c r="D1405" s="14"/>
      <c r="E1405" s="16"/>
      <c r="F1405" s="17"/>
      <c r="G1405" s="24"/>
      <c r="H1405" s="15"/>
      <c r="I1405" s="15"/>
      <c r="J1405" s="15"/>
      <c r="K1405" s="18"/>
      <c r="L1405" s="15"/>
      <c r="M1405" s="15"/>
      <c r="N1405" s="15"/>
      <c r="O1405" s="24"/>
      <c r="P1405" s="17"/>
      <c r="Q1405" s="16"/>
      <c r="R1405" s="19"/>
      <c r="S1405" s="20"/>
    </row>
    <row r="1406" spans="1:19" x14ac:dyDescent="0.25">
      <c r="A1406" t="str">
        <f>(COUNTIF($K$2:K1406,K1406))&amp;K1406</f>
        <v>0</v>
      </c>
      <c r="B1406" s="34"/>
      <c r="C1406" s="13"/>
      <c r="D1406" s="14"/>
      <c r="E1406" s="16"/>
      <c r="F1406" s="17"/>
      <c r="G1406" s="24"/>
      <c r="H1406" s="15"/>
      <c r="I1406" s="15"/>
      <c r="J1406" s="15"/>
      <c r="K1406" s="18"/>
      <c r="L1406" s="15"/>
      <c r="M1406" s="15"/>
      <c r="N1406" s="15"/>
      <c r="O1406" s="24"/>
      <c r="P1406" s="17"/>
      <c r="Q1406" s="16"/>
      <c r="R1406" s="19"/>
      <c r="S1406" s="20"/>
    </row>
    <row r="1407" spans="1:19" x14ac:dyDescent="0.25">
      <c r="A1407" t="str">
        <f>(COUNTIF($K$2:K1407,K1407))&amp;K1407</f>
        <v>0</v>
      </c>
      <c r="B1407" s="34"/>
      <c r="C1407" s="13"/>
      <c r="D1407" s="14"/>
      <c r="E1407" s="16"/>
      <c r="F1407" s="17"/>
      <c r="G1407" s="24"/>
      <c r="H1407" s="15"/>
      <c r="I1407" s="15"/>
      <c r="J1407" s="15"/>
      <c r="K1407" s="18"/>
      <c r="L1407" s="15"/>
      <c r="M1407" s="15"/>
      <c r="N1407" s="15"/>
      <c r="O1407" s="24"/>
      <c r="P1407" s="17"/>
      <c r="Q1407" s="16"/>
      <c r="R1407" s="19"/>
      <c r="S1407" s="20"/>
    </row>
    <row r="1408" spans="1:19" x14ac:dyDescent="0.25">
      <c r="A1408" t="str">
        <f>(COUNTIF($K$2:K1408,K1408))&amp;K1408</f>
        <v>0</v>
      </c>
      <c r="B1408" s="34"/>
      <c r="C1408" s="13"/>
      <c r="D1408" s="14"/>
      <c r="E1408" s="16"/>
      <c r="F1408" s="17"/>
      <c r="G1408" s="24"/>
      <c r="H1408" s="15"/>
      <c r="I1408" s="15"/>
      <c r="J1408" s="15"/>
      <c r="K1408" s="18"/>
      <c r="L1408" s="15"/>
      <c r="M1408" s="15"/>
      <c r="N1408" s="15"/>
      <c r="O1408" s="24"/>
      <c r="P1408" s="17"/>
      <c r="Q1408" s="16"/>
      <c r="R1408" s="19"/>
      <c r="S1408" s="20"/>
    </row>
    <row r="1409" spans="1:19" x14ac:dyDescent="0.25">
      <c r="A1409" t="str">
        <f>(COUNTIF($K$2:K1409,K1409))&amp;K1409</f>
        <v>0</v>
      </c>
      <c r="B1409" s="34"/>
      <c r="C1409" s="13"/>
      <c r="D1409" s="14"/>
      <c r="E1409" s="16"/>
      <c r="F1409" s="17"/>
      <c r="G1409" s="24"/>
      <c r="H1409" s="15"/>
      <c r="I1409" s="15"/>
      <c r="J1409" s="15"/>
      <c r="K1409" s="18"/>
      <c r="L1409" s="15"/>
      <c r="M1409" s="15"/>
      <c r="N1409" s="15"/>
      <c r="O1409" s="24"/>
      <c r="P1409" s="17"/>
      <c r="Q1409" s="16"/>
      <c r="R1409" s="19"/>
      <c r="S1409" s="20"/>
    </row>
    <row r="1410" spans="1:19" x14ac:dyDescent="0.25">
      <c r="A1410" t="str">
        <f>(COUNTIF($K$2:K1410,K1410))&amp;K1410</f>
        <v>0</v>
      </c>
      <c r="B1410" s="34"/>
      <c r="C1410" s="13"/>
      <c r="D1410" s="14"/>
      <c r="E1410" s="16"/>
      <c r="F1410" s="17"/>
      <c r="G1410" s="24"/>
      <c r="H1410" s="15"/>
      <c r="I1410" s="15"/>
      <c r="J1410" s="15"/>
      <c r="K1410" s="18"/>
      <c r="L1410" s="15"/>
      <c r="M1410" s="15"/>
      <c r="N1410" s="15"/>
      <c r="O1410" s="24"/>
      <c r="P1410" s="17"/>
      <c r="Q1410" s="16"/>
      <c r="R1410" s="19"/>
      <c r="S1410" s="20"/>
    </row>
    <row r="1411" spans="1:19" x14ac:dyDescent="0.25">
      <c r="A1411" t="str">
        <f>(COUNTIF($K$2:K1411,K1411))&amp;K1411</f>
        <v>0</v>
      </c>
      <c r="B1411" s="34"/>
      <c r="C1411" s="13"/>
      <c r="D1411" s="14"/>
      <c r="E1411" s="16"/>
      <c r="F1411" s="17"/>
      <c r="G1411" s="24"/>
      <c r="H1411" s="15"/>
      <c r="I1411" s="15"/>
      <c r="J1411" s="15"/>
      <c r="K1411" s="18"/>
      <c r="L1411" s="15"/>
      <c r="M1411" s="15"/>
      <c r="N1411" s="15"/>
      <c r="O1411" s="24"/>
      <c r="P1411" s="17"/>
      <c r="Q1411" s="16"/>
      <c r="R1411" s="19"/>
      <c r="S1411" s="20"/>
    </row>
    <row r="1412" spans="1:19" x14ac:dyDescent="0.25">
      <c r="A1412" t="str">
        <f>(COUNTIF($K$2:K1412,K1412))&amp;K1412</f>
        <v>0</v>
      </c>
      <c r="B1412" s="34"/>
      <c r="C1412" s="41"/>
      <c r="E1412" s="33"/>
      <c r="F1412" s="39"/>
      <c r="G1412" s="40"/>
      <c r="H1412" s="38"/>
      <c r="I1412" s="38"/>
      <c r="J1412" s="38"/>
      <c r="K1412" s="49"/>
      <c r="L1412" s="38"/>
      <c r="M1412" s="38"/>
      <c r="N1412" s="38"/>
      <c r="P1412" s="40"/>
      <c r="Q1412" s="33"/>
      <c r="R1412" s="38"/>
      <c r="S1412" s="38"/>
    </row>
    <row r="1413" spans="1:19" x14ac:dyDescent="0.25">
      <c r="A1413" t="str">
        <f>(COUNTIF($K$2:K1413,K1413))&amp;K1413</f>
        <v>0</v>
      </c>
      <c r="B1413" s="34"/>
      <c r="C1413" s="13"/>
      <c r="D1413" s="14"/>
      <c r="E1413" s="16"/>
      <c r="F1413" s="17"/>
      <c r="G1413" s="24"/>
      <c r="H1413" s="15"/>
      <c r="I1413" s="15"/>
      <c r="J1413" s="15"/>
      <c r="K1413" s="18"/>
      <c r="L1413" s="15"/>
      <c r="M1413" s="15"/>
      <c r="N1413" s="15"/>
      <c r="O1413" s="24"/>
      <c r="P1413" s="17"/>
      <c r="Q1413" s="16"/>
      <c r="R1413" s="19"/>
      <c r="S1413" s="20"/>
    </row>
    <row r="1414" spans="1:19" x14ac:dyDescent="0.25">
      <c r="A1414" t="str">
        <f>(COUNTIF($K$2:K1414,K1414))&amp;K1414</f>
        <v>0</v>
      </c>
      <c r="B1414" s="34"/>
      <c r="C1414" s="13"/>
      <c r="D1414" s="14"/>
      <c r="E1414" s="16"/>
      <c r="F1414" s="17"/>
      <c r="G1414" s="24"/>
      <c r="H1414" s="15"/>
      <c r="I1414" s="15"/>
      <c r="J1414" s="15"/>
      <c r="K1414" s="18"/>
      <c r="L1414" s="15"/>
      <c r="M1414" s="15"/>
      <c r="N1414" s="15"/>
      <c r="O1414" s="24"/>
      <c r="P1414" s="17"/>
      <c r="Q1414" s="16"/>
      <c r="R1414" s="19"/>
      <c r="S1414" s="20"/>
    </row>
    <row r="1415" spans="1:19" x14ac:dyDescent="0.25">
      <c r="A1415" t="str">
        <f>(COUNTIF($K$2:K1415,K1415))&amp;K1415</f>
        <v>0</v>
      </c>
      <c r="B1415" s="34"/>
      <c r="C1415" s="13"/>
      <c r="D1415" s="14"/>
      <c r="E1415" s="16"/>
      <c r="F1415" s="17"/>
      <c r="G1415" s="24"/>
      <c r="H1415" s="15"/>
      <c r="I1415" s="15"/>
      <c r="J1415" s="15"/>
      <c r="K1415" s="18"/>
      <c r="L1415" s="15"/>
      <c r="M1415" s="15"/>
      <c r="N1415" s="15"/>
      <c r="O1415" s="24"/>
      <c r="P1415" s="17"/>
      <c r="Q1415" s="16"/>
      <c r="R1415" s="19"/>
      <c r="S1415" s="20"/>
    </row>
    <row r="1416" spans="1:19" x14ac:dyDescent="0.25">
      <c r="A1416" t="str">
        <f>(COUNTIF($K$2:K1416,K1416))&amp;K1416</f>
        <v>0</v>
      </c>
      <c r="B1416" s="34"/>
      <c r="C1416" s="13"/>
      <c r="D1416" s="14"/>
      <c r="E1416" s="16"/>
      <c r="F1416" s="17"/>
      <c r="G1416" s="24"/>
      <c r="H1416" s="15"/>
      <c r="I1416" s="15"/>
      <c r="J1416" s="15"/>
      <c r="K1416" s="18"/>
      <c r="L1416" s="15"/>
      <c r="M1416" s="15"/>
      <c r="N1416" s="15"/>
      <c r="O1416" s="24"/>
      <c r="P1416" s="17"/>
      <c r="Q1416" s="16"/>
      <c r="R1416" s="19"/>
      <c r="S1416" s="20"/>
    </row>
    <row r="1417" spans="1:19" x14ac:dyDescent="0.25">
      <c r="A1417" t="str">
        <f>(COUNTIF($K$2:K1417,K1417))&amp;K1417</f>
        <v>0</v>
      </c>
      <c r="B1417" s="34"/>
      <c r="C1417" s="13"/>
      <c r="D1417" s="14"/>
      <c r="E1417" s="16"/>
      <c r="F1417" s="17"/>
      <c r="G1417" s="24"/>
      <c r="H1417" s="15"/>
      <c r="I1417" s="15"/>
      <c r="J1417" s="15"/>
      <c r="K1417" s="18"/>
      <c r="L1417" s="15"/>
      <c r="M1417" s="15"/>
      <c r="N1417" s="15"/>
      <c r="O1417" s="24"/>
      <c r="P1417" s="17"/>
      <c r="Q1417" s="16"/>
      <c r="R1417" s="19"/>
      <c r="S1417" s="20"/>
    </row>
    <row r="1418" spans="1:19" x14ac:dyDescent="0.25">
      <c r="A1418" t="str">
        <f>(COUNTIF($K$2:K1418,K1418))&amp;K1418</f>
        <v>0</v>
      </c>
      <c r="B1418" s="34"/>
      <c r="C1418" s="13"/>
      <c r="D1418" s="14"/>
      <c r="E1418" s="16"/>
      <c r="F1418" s="17"/>
      <c r="G1418" s="24"/>
      <c r="H1418" s="15"/>
      <c r="I1418" s="15"/>
      <c r="J1418" s="15"/>
      <c r="K1418" s="18"/>
      <c r="L1418" s="15"/>
      <c r="M1418" s="15"/>
      <c r="N1418" s="15"/>
      <c r="O1418" s="24"/>
      <c r="P1418" s="17"/>
      <c r="Q1418" s="16"/>
      <c r="R1418" s="19"/>
      <c r="S1418" s="20"/>
    </row>
    <row r="1419" spans="1:19" x14ac:dyDescent="0.25">
      <c r="A1419" t="str">
        <f>(COUNTIF($K$2:K1419,K1419))&amp;K1419</f>
        <v>0</v>
      </c>
      <c r="B1419" s="34"/>
      <c r="C1419" s="13"/>
      <c r="D1419" s="14"/>
      <c r="E1419" s="16"/>
      <c r="F1419" s="17"/>
      <c r="G1419" s="24"/>
      <c r="H1419" s="15"/>
      <c r="I1419" s="15"/>
      <c r="J1419" s="15"/>
      <c r="K1419" s="18"/>
      <c r="L1419" s="15"/>
      <c r="M1419" s="15"/>
      <c r="N1419" s="15"/>
      <c r="O1419" s="24"/>
      <c r="P1419" s="17"/>
      <c r="Q1419" s="16"/>
      <c r="R1419" s="19"/>
      <c r="S1419" s="20"/>
    </row>
    <row r="1420" spans="1:19" x14ac:dyDescent="0.25">
      <c r="A1420" t="str">
        <f>(COUNTIF($K$2:K1420,K1420))&amp;K1420</f>
        <v>0</v>
      </c>
      <c r="B1420" s="34"/>
      <c r="C1420" s="13"/>
      <c r="D1420" s="14"/>
      <c r="E1420" s="16"/>
      <c r="F1420" s="17"/>
      <c r="G1420" s="24"/>
      <c r="H1420" s="15"/>
      <c r="I1420" s="15"/>
      <c r="J1420" s="15"/>
      <c r="K1420" s="18"/>
      <c r="L1420" s="15"/>
      <c r="M1420" s="15"/>
      <c r="N1420" s="15"/>
      <c r="O1420" s="24"/>
      <c r="P1420" s="17"/>
      <c r="Q1420" s="16"/>
      <c r="R1420" s="19"/>
      <c r="S1420" s="20"/>
    </row>
    <row r="1421" spans="1:19" ht="15.75" x14ac:dyDescent="0.25">
      <c r="A1421" t="str">
        <f>(COUNTIF($K$2:K1421,K1421))&amp;K1421</f>
        <v>0</v>
      </c>
      <c r="B1421" s="34"/>
      <c r="C1421" s="13"/>
      <c r="D1421" s="14"/>
      <c r="E1421" s="16"/>
      <c r="F1421" s="17"/>
      <c r="G1421" s="24"/>
      <c r="H1421" s="15"/>
      <c r="I1421" s="15"/>
      <c r="J1421" s="15"/>
      <c r="K1421" s="21"/>
      <c r="L1421" s="15"/>
      <c r="M1421" s="15"/>
      <c r="N1421" s="15"/>
      <c r="O1421" s="24"/>
      <c r="P1421" s="17"/>
      <c r="Q1421" s="16"/>
      <c r="R1421" s="19"/>
      <c r="S1421" s="20"/>
    </row>
    <row r="1422" spans="1:19" x14ac:dyDescent="0.25">
      <c r="A1422" t="str">
        <f>(COUNTIF($K$2:K1422,K1422))&amp;K1422</f>
        <v>0</v>
      </c>
      <c r="B1422" s="34"/>
      <c r="C1422" s="13"/>
      <c r="D1422" s="14"/>
      <c r="E1422" s="16"/>
      <c r="F1422" s="17"/>
      <c r="G1422" s="24"/>
      <c r="H1422" s="15"/>
      <c r="I1422" s="15"/>
      <c r="J1422" s="15"/>
      <c r="K1422" s="18"/>
      <c r="L1422" s="15"/>
      <c r="M1422" s="15"/>
      <c r="N1422" s="15"/>
      <c r="O1422" s="24"/>
      <c r="P1422" s="17"/>
      <c r="Q1422" s="16"/>
      <c r="R1422" s="19"/>
      <c r="S1422" s="20"/>
    </row>
    <row r="1423" spans="1:19" x14ac:dyDescent="0.25">
      <c r="A1423" t="str">
        <f>(COUNTIF($K$2:K1423,K1423))&amp;K1423</f>
        <v>0</v>
      </c>
      <c r="B1423" s="34"/>
      <c r="C1423" s="13"/>
      <c r="D1423" s="14"/>
      <c r="E1423" s="16"/>
      <c r="F1423" s="17"/>
      <c r="G1423" s="24"/>
      <c r="H1423" s="15"/>
      <c r="I1423" s="15"/>
      <c r="J1423" s="15"/>
      <c r="K1423" s="18"/>
      <c r="L1423" s="15"/>
      <c r="M1423" s="15"/>
      <c r="N1423" s="15"/>
      <c r="O1423" s="24"/>
      <c r="P1423" s="17"/>
      <c r="Q1423" s="16"/>
      <c r="R1423" s="19"/>
      <c r="S1423" s="20"/>
    </row>
    <row r="1424" spans="1:19" x14ac:dyDescent="0.25">
      <c r="A1424" t="str">
        <f>(COUNTIF($K$2:K1424,K1424))&amp;K1424</f>
        <v>0</v>
      </c>
      <c r="B1424" s="34"/>
      <c r="C1424" s="13"/>
      <c r="D1424" s="14"/>
      <c r="E1424" s="16"/>
      <c r="F1424" s="17"/>
      <c r="G1424" s="24"/>
      <c r="H1424" s="15"/>
      <c r="I1424" s="15"/>
      <c r="J1424" s="15"/>
      <c r="K1424" s="18"/>
      <c r="L1424" s="15"/>
      <c r="M1424" s="15"/>
      <c r="N1424" s="15"/>
      <c r="O1424" s="24"/>
      <c r="P1424" s="17"/>
      <c r="Q1424" s="16"/>
      <c r="R1424" s="19"/>
      <c r="S1424" s="20"/>
    </row>
    <row r="1425" spans="1:19" x14ac:dyDescent="0.25">
      <c r="A1425" t="str">
        <f>(COUNTIF($K$2:K1425,K1425))&amp;K1425</f>
        <v>0</v>
      </c>
      <c r="B1425" s="34"/>
      <c r="C1425" s="13"/>
      <c r="D1425" s="14"/>
      <c r="E1425" s="16"/>
      <c r="F1425" s="17"/>
      <c r="G1425" s="24"/>
      <c r="H1425" s="15"/>
      <c r="I1425" s="15"/>
      <c r="J1425" s="15"/>
      <c r="K1425" s="18"/>
      <c r="L1425" s="15"/>
      <c r="M1425" s="15"/>
      <c r="N1425" s="15"/>
      <c r="O1425" s="24"/>
      <c r="P1425" s="17"/>
      <c r="Q1425" s="16"/>
      <c r="R1425" s="19"/>
      <c r="S1425" s="20"/>
    </row>
    <row r="1426" spans="1:19" x14ac:dyDescent="0.25">
      <c r="A1426" t="str">
        <f>(COUNTIF($K$2:K1426,K1426))&amp;K1426</f>
        <v>0</v>
      </c>
      <c r="B1426" s="34"/>
      <c r="C1426" s="13"/>
      <c r="D1426" s="14"/>
      <c r="E1426" s="16"/>
      <c r="F1426" s="17"/>
      <c r="G1426" s="24"/>
      <c r="H1426" s="15"/>
      <c r="I1426" s="15"/>
      <c r="J1426" s="15"/>
      <c r="K1426" s="18"/>
      <c r="L1426" s="15"/>
      <c r="M1426" s="15"/>
      <c r="N1426" s="15"/>
      <c r="O1426" s="24"/>
      <c r="P1426" s="17"/>
      <c r="Q1426" s="16"/>
      <c r="R1426" s="19"/>
      <c r="S1426" s="20"/>
    </row>
    <row r="1427" spans="1:19" x14ac:dyDescent="0.25">
      <c r="A1427" t="str">
        <f>(COUNTIF($K$2:K1427,K1427))&amp;K1427</f>
        <v>0</v>
      </c>
      <c r="B1427" s="34"/>
      <c r="C1427" s="13"/>
      <c r="D1427" s="14"/>
      <c r="E1427" s="16"/>
      <c r="F1427" s="17"/>
      <c r="G1427" s="24"/>
      <c r="H1427" s="15"/>
      <c r="I1427" s="15"/>
      <c r="J1427" s="15"/>
      <c r="K1427" s="18"/>
      <c r="L1427" s="15"/>
      <c r="M1427" s="15"/>
      <c r="N1427" s="15"/>
      <c r="O1427" s="24"/>
      <c r="P1427" s="17"/>
      <c r="Q1427" s="16"/>
      <c r="R1427" s="19"/>
      <c r="S1427" s="20"/>
    </row>
    <row r="1428" spans="1:19" x14ac:dyDescent="0.25">
      <c r="A1428" t="str">
        <f>(COUNTIF($K$2:K1428,K1428))&amp;K1428</f>
        <v>0</v>
      </c>
      <c r="B1428" s="34"/>
      <c r="C1428" s="13"/>
      <c r="D1428" s="14"/>
      <c r="E1428" s="16"/>
      <c r="F1428" s="17"/>
      <c r="G1428" s="24"/>
      <c r="H1428" s="15"/>
      <c r="I1428" s="15"/>
      <c r="J1428" s="15"/>
      <c r="K1428" s="18"/>
      <c r="L1428" s="15"/>
      <c r="M1428" s="15"/>
      <c r="N1428" s="15"/>
      <c r="O1428" s="24"/>
      <c r="P1428" s="17"/>
      <c r="Q1428" s="16"/>
      <c r="R1428" s="19"/>
      <c r="S1428" s="20"/>
    </row>
    <row r="1429" spans="1:19" x14ac:dyDescent="0.25">
      <c r="A1429" t="str">
        <f>(COUNTIF($K$2:K1429,K1429))&amp;K1429</f>
        <v>0</v>
      </c>
      <c r="B1429" s="34"/>
      <c r="C1429" s="41"/>
      <c r="E1429" s="33"/>
      <c r="F1429" s="39"/>
      <c r="G1429" s="40"/>
      <c r="H1429" s="38"/>
      <c r="I1429" s="38"/>
      <c r="J1429" s="38"/>
      <c r="K1429" s="49"/>
      <c r="L1429" s="38"/>
      <c r="M1429" s="38"/>
      <c r="N1429" s="38"/>
      <c r="P1429" s="40"/>
      <c r="Q1429" s="33"/>
      <c r="R1429" s="38"/>
      <c r="S1429" s="38"/>
    </row>
    <row r="1430" spans="1:19" x14ac:dyDescent="0.25">
      <c r="A1430" t="str">
        <f>(COUNTIF($K$2:K1430,K1430))&amp;K1430</f>
        <v>0</v>
      </c>
      <c r="B1430" s="34"/>
      <c r="C1430" s="13"/>
      <c r="D1430" s="14"/>
      <c r="E1430" s="16"/>
      <c r="F1430" s="17"/>
      <c r="G1430" s="24"/>
      <c r="H1430" s="15"/>
      <c r="I1430" s="15"/>
      <c r="J1430" s="15"/>
      <c r="K1430" s="18"/>
      <c r="L1430" s="15"/>
      <c r="M1430" s="15"/>
      <c r="N1430" s="15"/>
      <c r="O1430" s="24"/>
      <c r="P1430" s="17"/>
      <c r="Q1430" s="16"/>
      <c r="R1430" s="19"/>
      <c r="S1430" s="20"/>
    </row>
    <row r="1431" spans="1:19" x14ac:dyDescent="0.25">
      <c r="A1431" t="str">
        <f>(COUNTIF($K$2:K1431,K1431))&amp;K1431</f>
        <v>0</v>
      </c>
      <c r="B1431" s="34"/>
      <c r="C1431" s="13"/>
      <c r="D1431" s="14"/>
      <c r="E1431" s="16"/>
      <c r="F1431" s="17"/>
      <c r="G1431" s="24"/>
      <c r="H1431" s="15"/>
      <c r="I1431" s="15"/>
      <c r="J1431" s="15"/>
      <c r="K1431" s="18"/>
      <c r="L1431" s="15"/>
      <c r="M1431" s="15"/>
      <c r="N1431" s="15"/>
      <c r="O1431" s="24"/>
      <c r="P1431" s="17"/>
      <c r="Q1431" s="16"/>
      <c r="R1431" s="19"/>
      <c r="S1431" s="20"/>
    </row>
    <row r="1432" spans="1:19" x14ac:dyDescent="0.25">
      <c r="A1432" t="str">
        <f>(COUNTIF($K$2:K1432,K1432))&amp;K1432</f>
        <v>0</v>
      </c>
      <c r="B1432" s="34"/>
      <c r="C1432" s="13"/>
      <c r="D1432" s="14"/>
      <c r="E1432" s="16"/>
      <c r="F1432" s="17"/>
      <c r="G1432" s="24"/>
      <c r="H1432" s="15"/>
      <c r="I1432" s="15"/>
      <c r="J1432" s="15"/>
      <c r="K1432" s="18"/>
      <c r="L1432" s="15"/>
      <c r="M1432" s="15"/>
      <c r="N1432" s="15"/>
      <c r="O1432" s="24"/>
      <c r="P1432" s="17"/>
      <c r="Q1432" s="16"/>
      <c r="R1432" s="19"/>
      <c r="S1432" s="20"/>
    </row>
    <row r="1433" spans="1:19" x14ac:dyDescent="0.25">
      <c r="A1433" t="str">
        <f>(COUNTIF($K$2:K1433,K1433))&amp;K1433</f>
        <v>0</v>
      </c>
      <c r="B1433" s="34"/>
      <c r="C1433" s="13"/>
      <c r="D1433" s="14"/>
      <c r="E1433" s="16"/>
      <c r="F1433" s="17"/>
      <c r="G1433" s="24"/>
      <c r="H1433" s="15"/>
      <c r="I1433" s="15"/>
      <c r="J1433" s="15"/>
      <c r="K1433" s="18"/>
      <c r="L1433" s="15"/>
      <c r="M1433" s="15"/>
      <c r="N1433" s="15"/>
      <c r="O1433" s="24"/>
      <c r="P1433" s="17"/>
      <c r="Q1433" s="16"/>
      <c r="R1433" s="19"/>
      <c r="S1433" s="20"/>
    </row>
    <row r="1434" spans="1:19" x14ac:dyDescent="0.25">
      <c r="A1434" t="str">
        <f>(COUNTIF($K$2:K1434,K1434))&amp;K1434</f>
        <v>0</v>
      </c>
      <c r="B1434" s="34"/>
      <c r="C1434" s="13"/>
      <c r="D1434" s="14"/>
      <c r="E1434" s="16"/>
      <c r="F1434" s="17"/>
      <c r="G1434" s="24"/>
      <c r="H1434" s="15"/>
      <c r="I1434" s="15"/>
      <c r="J1434" s="15"/>
      <c r="K1434" s="18"/>
      <c r="L1434" s="15"/>
      <c r="M1434" s="15"/>
      <c r="N1434" s="15"/>
      <c r="O1434" s="24"/>
      <c r="P1434" s="17"/>
      <c r="Q1434" s="16"/>
      <c r="R1434" s="19"/>
      <c r="S1434" s="20"/>
    </row>
    <row r="1435" spans="1:19" x14ac:dyDescent="0.25">
      <c r="A1435" t="str">
        <f>(COUNTIF($K$2:K1435,K1435))&amp;K1435</f>
        <v>0</v>
      </c>
      <c r="B1435" s="34"/>
      <c r="C1435" s="13"/>
      <c r="D1435" s="14"/>
      <c r="E1435" s="16"/>
      <c r="F1435" s="17"/>
      <c r="G1435" s="24"/>
      <c r="H1435" s="15"/>
      <c r="I1435" s="15"/>
      <c r="J1435" s="15"/>
      <c r="K1435" s="18"/>
      <c r="L1435" s="15"/>
      <c r="M1435" s="15"/>
      <c r="N1435" s="15"/>
      <c r="O1435" s="24"/>
      <c r="P1435" s="17"/>
      <c r="Q1435" s="16"/>
      <c r="R1435" s="19"/>
      <c r="S1435" s="20"/>
    </row>
    <row r="1436" spans="1:19" x14ac:dyDescent="0.25">
      <c r="A1436" t="str">
        <f>(COUNTIF($K$2:K1436,K1436))&amp;K1436</f>
        <v>0</v>
      </c>
      <c r="B1436" s="34"/>
      <c r="C1436" s="13"/>
      <c r="D1436" s="14"/>
      <c r="E1436" s="16"/>
      <c r="F1436" s="17"/>
      <c r="G1436" s="24"/>
      <c r="H1436" s="15"/>
      <c r="I1436" s="15"/>
      <c r="J1436" s="15"/>
      <c r="K1436" s="18"/>
      <c r="L1436" s="15"/>
      <c r="M1436" s="15"/>
      <c r="N1436" s="15"/>
      <c r="O1436" s="24"/>
      <c r="P1436" s="17"/>
      <c r="Q1436" s="16"/>
      <c r="R1436" s="19"/>
      <c r="S1436" s="20"/>
    </row>
    <row r="1437" spans="1:19" x14ac:dyDescent="0.25">
      <c r="A1437" t="str">
        <f>(COUNTIF($K$2:K1437,K1437))&amp;K1437</f>
        <v>0</v>
      </c>
      <c r="B1437" s="34"/>
      <c r="C1437" s="13"/>
      <c r="D1437" s="14"/>
      <c r="E1437" s="16"/>
      <c r="F1437" s="17"/>
      <c r="G1437" s="24"/>
      <c r="H1437" s="15"/>
      <c r="I1437" s="15"/>
      <c r="J1437" s="15"/>
      <c r="K1437" s="18"/>
      <c r="L1437" s="15"/>
      <c r="M1437" s="15"/>
      <c r="N1437" s="15"/>
      <c r="O1437" s="24"/>
      <c r="P1437" s="17"/>
      <c r="Q1437" s="16"/>
      <c r="R1437" s="19"/>
      <c r="S1437" s="20"/>
    </row>
    <row r="1438" spans="1:19" ht="15.75" x14ac:dyDescent="0.25">
      <c r="A1438" t="str">
        <f>(COUNTIF($K$2:K1438,K1438))&amp;K1438</f>
        <v>0</v>
      </c>
      <c r="B1438" s="34"/>
      <c r="C1438" s="13"/>
      <c r="D1438" s="14"/>
      <c r="E1438" s="16"/>
      <c r="F1438" s="17"/>
      <c r="G1438" s="24"/>
      <c r="H1438" s="15"/>
      <c r="I1438" s="15"/>
      <c r="J1438" s="15"/>
      <c r="K1438" s="21"/>
      <c r="L1438" s="15"/>
      <c r="M1438" s="15"/>
      <c r="N1438" s="15"/>
      <c r="O1438" s="24"/>
      <c r="P1438" s="17"/>
      <c r="Q1438" s="16"/>
      <c r="R1438" s="19"/>
      <c r="S1438" s="20"/>
    </row>
    <row r="1439" spans="1:19" x14ac:dyDescent="0.25">
      <c r="A1439" t="str">
        <f>(COUNTIF($K$2:K1439,K1439))&amp;K1439</f>
        <v>0</v>
      </c>
      <c r="B1439" s="34"/>
      <c r="C1439" s="13"/>
      <c r="D1439" s="14"/>
      <c r="E1439" s="16"/>
      <c r="F1439" s="17"/>
      <c r="G1439" s="24"/>
      <c r="H1439" s="15"/>
      <c r="I1439" s="15"/>
      <c r="J1439" s="15"/>
      <c r="K1439" s="18"/>
      <c r="L1439" s="15"/>
      <c r="M1439" s="15"/>
      <c r="N1439" s="15"/>
      <c r="O1439" s="24"/>
      <c r="P1439" s="17"/>
      <c r="Q1439" s="16"/>
      <c r="R1439" s="19"/>
      <c r="S1439" s="20"/>
    </row>
    <row r="1440" spans="1:19" x14ac:dyDescent="0.25">
      <c r="A1440" t="str">
        <f>(COUNTIF($K$2:K1440,K1440))&amp;K1440</f>
        <v>0</v>
      </c>
      <c r="B1440" s="34"/>
      <c r="C1440" s="13"/>
      <c r="D1440" s="14"/>
      <c r="E1440" s="16"/>
      <c r="F1440" s="17"/>
      <c r="G1440" s="24"/>
      <c r="H1440" s="15"/>
      <c r="I1440" s="15"/>
      <c r="J1440" s="15"/>
      <c r="K1440" s="18"/>
      <c r="L1440" s="15"/>
      <c r="M1440" s="15"/>
      <c r="N1440" s="15"/>
      <c r="O1440" s="24"/>
      <c r="P1440" s="17"/>
      <c r="Q1440" s="16"/>
      <c r="R1440" s="19"/>
      <c r="S1440" s="20"/>
    </row>
    <row r="1441" spans="1:19" x14ac:dyDescent="0.25">
      <c r="A1441" t="str">
        <f>(COUNTIF($K$2:K1441,K1441))&amp;K1441</f>
        <v>0</v>
      </c>
      <c r="B1441" s="34"/>
      <c r="C1441" s="13"/>
      <c r="D1441" s="14"/>
      <c r="E1441" s="16"/>
      <c r="F1441" s="17"/>
      <c r="G1441" s="24"/>
      <c r="H1441" s="15"/>
      <c r="I1441" s="15"/>
      <c r="J1441" s="15"/>
      <c r="K1441" s="18"/>
      <c r="L1441" s="15"/>
      <c r="M1441" s="15"/>
      <c r="N1441" s="15"/>
      <c r="O1441" s="24"/>
      <c r="P1441" s="17"/>
      <c r="Q1441" s="16"/>
      <c r="R1441" s="19"/>
      <c r="S1441" s="20"/>
    </row>
    <row r="1442" spans="1:19" x14ac:dyDescent="0.25">
      <c r="A1442" t="str">
        <f>(COUNTIF($K$2:K1442,K1442))&amp;K1442</f>
        <v>0</v>
      </c>
      <c r="B1442" s="34"/>
      <c r="C1442" s="13"/>
      <c r="D1442" s="14"/>
      <c r="E1442" s="16"/>
      <c r="F1442" s="17"/>
      <c r="G1442" s="24"/>
      <c r="H1442" s="15"/>
      <c r="I1442" s="15"/>
      <c r="J1442" s="15"/>
      <c r="K1442" s="18"/>
      <c r="L1442" s="15"/>
      <c r="M1442" s="15"/>
      <c r="N1442" s="15"/>
      <c r="O1442" s="24"/>
      <c r="P1442" s="17"/>
      <c r="Q1442" s="16"/>
      <c r="R1442" s="19"/>
      <c r="S1442" s="20"/>
    </row>
    <row r="1443" spans="1:19" x14ac:dyDescent="0.25">
      <c r="A1443" t="str">
        <f>(COUNTIF($K$2:K1443,K1443))&amp;K1443</f>
        <v>0</v>
      </c>
      <c r="B1443" s="34"/>
      <c r="C1443" s="13"/>
      <c r="D1443" s="14"/>
      <c r="E1443" s="16"/>
      <c r="F1443" s="17"/>
      <c r="G1443" s="24"/>
      <c r="H1443" s="15"/>
      <c r="I1443" s="15"/>
      <c r="J1443" s="15"/>
      <c r="K1443" s="18"/>
      <c r="L1443" s="15"/>
      <c r="M1443" s="15"/>
      <c r="N1443" s="15"/>
      <c r="O1443" s="24"/>
      <c r="P1443" s="17"/>
      <c r="Q1443" s="16"/>
      <c r="R1443" s="19"/>
      <c r="S1443" s="20"/>
    </row>
    <row r="1444" spans="1:19" x14ac:dyDescent="0.25">
      <c r="A1444" t="str">
        <f>(COUNTIF($K$2:K1444,K1444))&amp;K1444</f>
        <v>0</v>
      </c>
      <c r="B1444" s="34"/>
      <c r="C1444" s="13"/>
      <c r="D1444" s="14"/>
      <c r="E1444" s="16"/>
      <c r="F1444" s="17"/>
      <c r="G1444" s="24"/>
      <c r="H1444" s="15"/>
      <c r="I1444" s="15"/>
      <c r="J1444" s="15"/>
      <c r="K1444" s="18"/>
      <c r="L1444" s="15"/>
      <c r="M1444" s="15"/>
      <c r="N1444" s="15"/>
      <c r="O1444" s="24"/>
      <c r="P1444" s="17"/>
      <c r="Q1444" s="16"/>
      <c r="R1444" s="19"/>
      <c r="S1444" s="20"/>
    </row>
    <row r="1445" spans="1:19" x14ac:dyDescent="0.25">
      <c r="A1445" t="str">
        <f>(COUNTIF($K$2:K1445,K1445))&amp;K1445</f>
        <v>0</v>
      </c>
      <c r="B1445" s="34"/>
      <c r="C1445" s="13"/>
      <c r="D1445" s="14"/>
      <c r="E1445" s="16"/>
      <c r="F1445" s="17"/>
      <c r="G1445" s="24"/>
      <c r="H1445" s="15"/>
      <c r="I1445" s="15"/>
      <c r="J1445" s="15"/>
      <c r="K1445" s="18"/>
      <c r="L1445" s="15"/>
      <c r="M1445" s="15"/>
      <c r="N1445" s="15"/>
      <c r="O1445" s="24"/>
      <c r="P1445" s="17"/>
      <c r="Q1445" s="16"/>
      <c r="R1445" s="19"/>
      <c r="S1445" s="20"/>
    </row>
    <row r="1446" spans="1:19" x14ac:dyDescent="0.25">
      <c r="A1446" t="str">
        <f>(COUNTIF($K$2:K1446,K1446))&amp;K1446</f>
        <v>0</v>
      </c>
      <c r="B1446" s="34"/>
      <c r="C1446" s="41"/>
      <c r="E1446" s="33"/>
      <c r="F1446" s="39"/>
      <c r="G1446" s="40"/>
      <c r="H1446" s="38"/>
      <c r="I1446" s="38"/>
      <c r="J1446" s="38"/>
      <c r="K1446" s="49"/>
      <c r="L1446" s="38"/>
      <c r="M1446" s="38"/>
      <c r="N1446" s="38"/>
      <c r="P1446" s="40"/>
      <c r="Q1446" s="33"/>
      <c r="R1446" s="38"/>
      <c r="S1446" s="38"/>
    </row>
    <row r="1447" spans="1:19" x14ac:dyDescent="0.25">
      <c r="A1447" t="str">
        <f>(COUNTIF($K$2:K1447,K1447))&amp;K1447</f>
        <v>0</v>
      </c>
      <c r="B1447" s="34"/>
      <c r="C1447" s="13"/>
      <c r="D1447" s="14"/>
      <c r="E1447" s="16"/>
      <c r="F1447" s="17"/>
      <c r="G1447" s="24"/>
      <c r="H1447" s="15"/>
      <c r="I1447" s="15"/>
      <c r="J1447" s="15"/>
      <c r="K1447" s="18"/>
      <c r="L1447" s="15"/>
      <c r="M1447" s="15"/>
      <c r="N1447" s="15"/>
      <c r="O1447" s="24"/>
      <c r="P1447" s="17"/>
      <c r="Q1447" s="16"/>
      <c r="R1447" s="19"/>
      <c r="S1447" s="20"/>
    </row>
    <row r="1448" spans="1:19" x14ac:dyDescent="0.25">
      <c r="A1448" t="str">
        <f>(COUNTIF($K$2:K1448,K1448))&amp;K1448</f>
        <v>0</v>
      </c>
      <c r="B1448" s="34"/>
      <c r="C1448" s="13"/>
      <c r="D1448" s="14"/>
      <c r="E1448" s="16"/>
      <c r="F1448" s="17"/>
      <c r="G1448" s="24"/>
      <c r="H1448" s="15"/>
      <c r="I1448" s="15"/>
      <c r="J1448" s="15"/>
      <c r="K1448" s="18"/>
      <c r="L1448" s="15"/>
      <c r="M1448" s="15"/>
      <c r="N1448" s="15"/>
      <c r="O1448" s="24"/>
      <c r="P1448" s="17"/>
      <c r="Q1448" s="16"/>
      <c r="R1448" s="19"/>
      <c r="S1448" s="20"/>
    </row>
    <row r="1449" spans="1:19" x14ac:dyDescent="0.25">
      <c r="A1449" t="str">
        <f>(COUNTIF($K$2:K1449,K1449))&amp;K1449</f>
        <v>0</v>
      </c>
      <c r="B1449" s="34"/>
      <c r="C1449" s="13"/>
      <c r="D1449" s="14"/>
      <c r="E1449" s="16"/>
      <c r="F1449" s="17"/>
      <c r="G1449" s="24"/>
      <c r="H1449" s="15"/>
      <c r="I1449" s="15"/>
      <c r="J1449" s="15"/>
      <c r="K1449" s="18"/>
      <c r="L1449" s="15"/>
      <c r="M1449" s="15"/>
      <c r="N1449" s="15"/>
      <c r="O1449" s="24"/>
      <c r="P1449" s="17"/>
      <c r="Q1449" s="16"/>
      <c r="R1449" s="19"/>
      <c r="S1449" s="20"/>
    </row>
    <row r="1450" spans="1:19" x14ac:dyDescent="0.25">
      <c r="A1450" t="str">
        <f>(COUNTIF($K$2:K1450,K1450))&amp;K1450</f>
        <v>0</v>
      </c>
      <c r="B1450" s="34"/>
      <c r="C1450" s="13"/>
      <c r="D1450" s="14"/>
      <c r="E1450" s="16"/>
      <c r="F1450" s="17"/>
      <c r="G1450" s="24"/>
      <c r="H1450" s="15"/>
      <c r="I1450" s="15"/>
      <c r="J1450" s="15"/>
      <c r="K1450" s="18"/>
      <c r="L1450" s="15"/>
      <c r="M1450" s="15"/>
      <c r="N1450" s="15"/>
      <c r="O1450" s="24"/>
      <c r="P1450" s="17"/>
      <c r="Q1450" s="16"/>
      <c r="R1450" s="19"/>
      <c r="S1450" s="20"/>
    </row>
    <row r="1451" spans="1:19" x14ac:dyDescent="0.25">
      <c r="A1451" t="str">
        <f>(COUNTIF($K$2:K1451,K1451))&amp;K1451</f>
        <v>0</v>
      </c>
      <c r="B1451" s="34"/>
      <c r="C1451" s="13"/>
      <c r="D1451" s="14"/>
      <c r="E1451" s="16"/>
      <c r="F1451" s="17"/>
      <c r="G1451" s="24"/>
      <c r="H1451" s="15"/>
      <c r="I1451" s="15"/>
      <c r="J1451" s="15"/>
      <c r="K1451" s="18"/>
      <c r="L1451" s="15"/>
      <c r="M1451" s="15"/>
      <c r="N1451" s="15"/>
      <c r="O1451" s="24"/>
      <c r="P1451" s="17"/>
      <c r="Q1451" s="16"/>
      <c r="R1451" s="19"/>
      <c r="S1451" s="20"/>
    </row>
    <row r="1452" spans="1:19" x14ac:dyDescent="0.25">
      <c r="A1452" t="str">
        <f>(COUNTIF($K$2:K1452,K1452))&amp;K1452</f>
        <v>0</v>
      </c>
      <c r="B1452" s="34"/>
      <c r="C1452" s="13"/>
      <c r="D1452" s="14"/>
      <c r="E1452" s="16"/>
      <c r="F1452" s="17"/>
      <c r="G1452" s="24"/>
      <c r="H1452" s="15"/>
      <c r="I1452" s="15"/>
      <c r="J1452" s="15"/>
      <c r="K1452" s="18"/>
      <c r="L1452" s="15"/>
      <c r="M1452" s="15"/>
      <c r="N1452" s="15"/>
      <c r="O1452" s="24"/>
      <c r="P1452" s="17"/>
      <c r="Q1452" s="16"/>
      <c r="R1452" s="19"/>
      <c r="S1452" s="20"/>
    </row>
    <row r="1453" spans="1:19" x14ac:dyDescent="0.25">
      <c r="A1453" t="str">
        <f>(COUNTIF($K$2:K1453,K1453))&amp;K1453</f>
        <v>0</v>
      </c>
      <c r="B1453" s="34"/>
      <c r="C1453" s="13"/>
      <c r="D1453" s="14"/>
      <c r="E1453" s="16"/>
      <c r="F1453" s="17"/>
      <c r="G1453" s="24"/>
      <c r="H1453" s="15"/>
      <c r="I1453" s="15"/>
      <c r="J1453" s="15"/>
      <c r="K1453" s="18"/>
      <c r="L1453" s="15"/>
      <c r="M1453" s="15"/>
      <c r="N1453" s="15"/>
      <c r="O1453" s="24"/>
      <c r="P1453" s="17"/>
      <c r="Q1453" s="16"/>
      <c r="R1453" s="19"/>
      <c r="S1453" s="20"/>
    </row>
    <row r="1454" spans="1:19" x14ac:dyDescent="0.25">
      <c r="A1454" t="str">
        <f>(COUNTIF($K$2:K1454,K1454))&amp;K1454</f>
        <v>0</v>
      </c>
      <c r="B1454" s="34"/>
      <c r="C1454" s="13"/>
      <c r="D1454" s="14"/>
      <c r="E1454" s="16"/>
      <c r="F1454" s="17"/>
      <c r="G1454" s="24"/>
      <c r="H1454" s="15"/>
      <c r="I1454" s="15"/>
      <c r="J1454" s="15"/>
      <c r="K1454" s="18"/>
      <c r="L1454" s="15"/>
      <c r="M1454" s="15"/>
      <c r="N1454" s="15"/>
      <c r="O1454" s="24"/>
      <c r="P1454" s="17"/>
      <c r="Q1454" s="16"/>
      <c r="R1454" s="19"/>
      <c r="S1454" s="20"/>
    </row>
    <row r="1455" spans="1:19" ht="15.75" x14ac:dyDescent="0.25">
      <c r="A1455" t="str">
        <f>(COUNTIF($K$2:K1455,K1455))&amp;K1455</f>
        <v>0</v>
      </c>
      <c r="B1455" s="34"/>
      <c r="C1455" s="13"/>
      <c r="D1455" s="14"/>
      <c r="E1455" s="16"/>
      <c r="F1455" s="17"/>
      <c r="G1455" s="24"/>
      <c r="H1455" s="15"/>
      <c r="I1455" s="15"/>
      <c r="J1455" s="15"/>
      <c r="K1455" s="21"/>
      <c r="L1455" s="15"/>
      <c r="M1455" s="15"/>
      <c r="N1455" s="15"/>
      <c r="O1455" s="24"/>
      <c r="P1455" s="17"/>
      <c r="Q1455" s="16"/>
      <c r="R1455" s="19"/>
      <c r="S1455" s="20"/>
    </row>
    <row r="1456" spans="1:19" x14ac:dyDescent="0.25">
      <c r="A1456" t="str">
        <f>(COUNTIF($K$2:K1456,K1456))&amp;K1456</f>
        <v>0</v>
      </c>
      <c r="B1456" s="34"/>
      <c r="C1456" s="13"/>
      <c r="D1456" s="14"/>
      <c r="E1456" s="16"/>
      <c r="F1456" s="17"/>
      <c r="G1456" s="24"/>
      <c r="H1456" s="15"/>
      <c r="I1456" s="15"/>
      <c r="J1456" s="15"/>
      <c r="K1456" s="18"/>
      <c r="L1456" s="15"/>
      <c r="M1456" s="15"/>
      <c r="N1456" s="15"/>
      <c r="O1456" s="24"/>
      <c r="P1456" s="17"/>
      <c r="Q1456" s="16"/>
      <c r="R1456" s="19"/>
      <c r="S1456" s="20"/>
    </row>
    <row r="1457" spans="1:19" x14ac:dyDescent="0.25">
      <c r="A1457" t="str">
        <f>(COUNTIF($K$2:K1457,K1457))&amp;K1457</f>
        <v>0</v>
      </c>
      <c r="B1457" s="34"/>
      <c r="C1457" s="13"/>
      <c r="D1457" s="14"/>
      <c r="E1457" s="16"/>
      <c r="F1457" s="17"/>
      <c r="G1457" s="24"/>
      <c r="H1457" s="15"/>
      <c r="I1457" s="15"/>
      <c r="J1457" s="15"/>
      <c r="K1457" s="18"/>
      <c r="L1457" s="15"/>
      <c r="M1457" s="15"/>
      <c r="N1457" s="15"/>
      <c r="O1457" s="24"/>
      <c r="P1457" s="17"/>
      <c r="Q1457" s="16"/>
      <c r="R1457" s="19"/>
      <c r="S1457" s="20"/>
    </row>
    <row r="1458" spans="1:19" x14ac:dyDescent="0.25">
      <c r="A1458" t="str">
        <f>(COUNTIF($K$2:K1458,K1458))&amp;K1458</f>
        <v>0</v>
      </c>
      <c r="B1458" s="34"/>
      <c r="C1458" s="13"/>
      <c r="D1458" s="14"/>
      <c r="E1458" s="16"/>
      <c r="F1458" s="17"/>
      <c r="G1458" s="24"/>
      <c r="H1458" s="15"/>
      <c r="I1458" s="15"/>
      <c r="J1458" s="15"/>
      <c r="K1458" s="18"/>
      <c r="L1458" s="15"/>
      <c r="M1458" s="15"/>
      <c r="N1458" s="15"/>
      <c r="O1458" s="24"/>
      <c r="P1458" s="17"/>
      <c r="Q1458" s="16"/>
      <c r="R1458" s="19"/>
      <c r="S1458" s="20"/>
    </row>
    <row r="1459" spans="1:19" x14ac:dyDescent="0.25">
      <c r="A1459" t="str">
        <f>(COUNTIF($K$2:K1459,K1459))&amp;K1459</f>
        <v>0</v>
      </c>
      <c r="B1459" s="34"/>
      <c r="C1459" s="13"/>
      <c r="D1459" s="14"/>
      <c r="E1459" s="16"/>
      <c r="F1459" s="17"/>
      <c r="G1459" s="24"/>
      <c r="H1459" s="15"/>
      <c r="I1459" s="15"/>
      <c r="J1459" s="15"/>
      <c r="K1459" s="18"/>
      <c r="L1459" s="15"/>
      <c r="M1459" s="15"/>
      <c r="N1459" s="15"/>
      <c r="O1459" s="24"/>
      <c r="P1459" s="17"/>
      <c r="Q1459" s="16"/>
      <c r="R1459" s="19"/>
      <c r="S1459" s="20"/>
    </row>
    <row r="1460" spans="1:19" x14ac:dyDescent="0.25">
      <c r="A1460" t="str">
        <f>(COUNTIF($K$2:K1460,K1460))&amp;K1460</f>
        <v>0</v>
      </c>
      <c r="B1460" s="34"/>
      <c r="C1460" s="13"/>
      <c r="D1460" s="14"/>
      <c r="E1460" s="16"/>
      <c r="F1460" s="17"/>
      <c r="G1460" s="24"/>
      <c r="H1460" s="15"/>
      <c r="I1460" s="15"/>
      <c r="J1460" s="15"/>
      <c r="K1460" s="18"/>
      <c r="L1460" s="15"/>
      <c r="M1460" s="15"/>
      <c r="N1460" s="15"/>
      <c r="O1460" s="24"/>
      <c r="P1460" s="17"/>
      <c r="Q1460" s="16"/>
      <c r="R1460" s="19"/>
      <c r="S1460" s="20"/>
    </row>
    <row r="1461" spans="1:19" x14ac:dyDescent="0.25">
      <c r="A1461" t="str">
        <f>(COUNTIF($K$2:K1461,K1461))&amp;K1461</f>
        <v>0</v>
      </c>
      <c r="B1461" s="34"/>
      <c r="C1461" s="13"/>
      <c r="D1461" s="14"/>
      <c r="E1461" s="16"/>
      <c r="F1461" s="17"/>
      <c r="G1461" s="24"/>
      <c r="H1461" s="15"/>
      <c r="I1461" s="15"/>
      <c r="J1461" s="15"/>
      <c r="K1461" s="18"/>
      <c r="L1461" s="15"/>
      <c r="M1461" s="15"/>
      <c r="N1461" s="15"/>
      <c r="O1461" s="24"/>
      <c r="P1461" s="17"/>
      <c r="Q1461" s="16"/>
      <c r="R1461" s="19"/>
      <c r="S1461" s="20"/>
    </row>
    <row r="1462" spans="1:19" x14ac:dyDescent="0.25">
      <c r="A1462" t="str">
        <f>(COUNTIF($K$2:K1462,K1462))&amp;K1462</f>
        <v>0</v>
      </c>
      <c r="B1462" s="34"/>
      <c r="C1462" s="13"/>
      <c r="D1462" s="14"/>
      <c r="E1462" s="16"/>
      <c r="F1462" s="17"/>
      <c r="G1462" s="24"/>
      <c r="H1462" s="15"/>
      <c r="I1462" s="15"/>
      <c r="J1462" s="15"/>
      <c r="K1462" s="18"/>
      <c r="L1462" s="15"/>
      <c r="M1462" s="15"/>
      <c r="N1462" s="15"/>
      <c r="O1462" s="24"/>
      <c r="P1462" s="17"/>
      <c r="Q1462" s="16"/>
      <c r="R1462" s="19"/>
      <c r="S1462" s="20"/>
    </row>
    <row r="1463" spans="1:19" x14ac:dyDescent="0.25">
      <c r="A1463" t="str">
        <f>(COUNTIF($K$2:K1463,K1463))&amp;K1463</f>
        <v>0</v>
      </c>
      <c r="B1463" s="34"/>
      <c r="C1463" s="41"/>
      <c r="E1463" s="33"/>
      <c r="F1463" s="39"/>
      <c r="G1463" s="40"/>
      <c r="H1463" s="38"/>
      <c r="I1463" s="38"/>
      <c r="J1463" s="38"/>
      <c r="K1463" s="49"/>
      <c r="L1463" s="38"/>
      <c r="M1463" s="38"/>
      <c r="N1463" s="38"/>
      <c r="P1463" s="40"/>
      <c r="Q1463" s="33"/>
      <c r="R1463" s="38"/>
      <c r="S1463" s="38"/>
    </row>
    <row r="1464" spans="1:19" x14ac:dyDescent="0.25">
      <c r="A1464" t="str">
        <f>(COUNTIF($K$2:K1464,K1464))&amp;K1464</f>
        <v>0</v>
      </c>
      <c r="B1464" s="34"/>
      <c r="C1464" s="13"/>
      <c r="D1464" s="14"/>
      <c r="E1464" s="16"/>
      <c r="F1464" s="17"/>
      <c r="G1464" s="24"/>
      <c r="H1464" s="15"/>
      <c r="I1464" s="15"/>
      <c r="J1464" s="15"/>
      <c r="K1464" s="18"/>
      <c r="L1464" s="15"/>
      <c r="M1464" s="15"/>
      <c r="N1464" s="15"/>
      <c r="O1464" s="24"/>
      <c r="P1464" s="17"/>
      <c r="Q1464" s="16"/>
      <c r="R1464" s="19"/>
      <c r="S1464" s="20"/>
    </row>
    <row r="1465" spans="1:19" x14ac:dyDescent="0.25">
      <c r="A1465" t="str">
        <f>(COUNTIF($K$2:K1465,K1465))&amp;K1465</f>
        <v>0</v>
      </c>
      <c r="B1465" s="34"/>
      <c r="C1465" s="13"/>
      <c r="D1465" s="14"/>
      <c r="E1465" s="16"/>
      <c r="F1465" s="17"/>
      <c r="G1465" s="24"/>
      <c r="H1465" s="15"/>
      <c r="I1465" s="15"/>
      <c r="J1465" s="15"/>
      <c r="K1465" s="18"/>
      <c r="L1465" s="15"/>
      <c r="M1465" s="15"/>
      <c r="N1465" s="15"/>
      <c r="O1465" s="24"/>
      <c r="P1465" s="17"/>
      <c r="Q1465" s="16"/>
      <c r="R1465" s="19"/>
      <c r="S1465" s="20"/>
    </row>
    <row r="1466" spans="1:19" x14ac:dyDescent="0.25">
      <c r="A1466" t="str">
        <f>(COUNTIF($K$2:K1466,K1466))&amp;K1466</f>
        <v>0</v>
      </c>
      <c r="B1466" s="34"/>
      <c r="C1466" s="13"/>
      <c r="D1466" s="14"/>
      <c r="E1466" s="16"/>
      <c r="F1466" s="17"/>
      <c r="G1466" s="24"/>
      <c r="H1466" s="15"/>
      <c r="I1466" s="15"/>
      <c r="J1466" s="15"/>
      <c r="K1466" s="18"/>
      <c r="L1466" s="15"/>
      <c r="M1466" s="15"/>
      <c r="N1466" s="15"/>
      <c r="O1466" s="24"/>
      <c r="P1466" s="17"/>
      <c r="Q1466" s="16"/>
      <c r="R1466" s="19"/>
      <c r="S1466" s="20"/>
    </row>
    <row r="1467" spans="1:19" x14ac:dyDescent="0.25">
      <c r="A1467" t="str">
        <f>(COUNTIF($K$2:K1467,K1467))&amp;K1467</f>
        <v>0</v>
      </c>
      <c r="B1467" s="34"/>
      <c r="C1467" s="13"/>
      <c r="D1467" s="14"/>
      <c r="E1467" s="16"/>
      <c r="F1467" s="17"/>
      <c r="G1467" s="24"/>
      <c r="H1467" s="15"/>
      <c r="I1467" s="15"/>
      <c r="J1467" s="15"/>
      <c r="K1467" s="18"/>
      <c r="L1467" s="15"/>
      <c r="M1467" s="15"/>
      <c r="N1467" s="15"/>
      <c r="O1467" s="24"/>
      <c r="P1467" s="17"/>
      <c r="Q1467" s="16"/>
      <c r="R1467" s="19"/>
      <c r="S1467" s="20"/>
    </row>
    <row r="1468" spans="1:19" x14ac:dyDescent="0.25">
      <c r="A1468" t="str">
        <f>(COUNTIF($K$2:K1468,K1468))&amp;K1468</f>
        <v>0</v>
      </c>
      <c r="B1468" s="34"/>
      <c r="C1468" s="13"/>
      <c r="D1468" s="14"/>
      <c r="E1468" s="16"/>
      <c r="F1468" s="17"/>
      <c r="G1468" s="24"/>
      <c r="H1468" s="15"/>
      <c r="I1468" s="15"/>
      <c r="J1468" s="15"/>
      <c r="K1468" s="18"/>
      <c r="L1468" s="15"/>
      <c r="M1468" s="15"/>
      <c r="N1468" s="15"/>
      <c r="O1468" s="24"/>
      <c r="P1468" s="17"/>
      <c r="Q1468" s="16"/>
      <c r="R1468" s="19"/>
      <c r="S1468" s="20"/>
    </row>
    <row r="1469" spans="1:19" x14ac:dyDescent="0.25">
      <c r="A1469" t="str">
        <f>(COUNTIF($K$2:K1469,K1469))&amp;K1469</f>
        <v>0</v>
      </c>
      <c r="B1469" s="34"/>
      <c r="C1469" s="13"/>
      <c r="D1469" s="14"/>
      <c r="E1469" s="16"/>
      <c r="F1469" s="17"/>
      <c r="G1469" s="24"/>
      <c r="H1469" s="15"/>
      <c r="I1469" s="15"/>
      <c r="J1469" s="15"/>
      <c r="K1469" s="18"/>
      <c r="L1469" s="15"/>
      <c r="M1469" s="15"/>
      <c r="N1469" s="15"/>
      <c r="O1469" s="24"/>
      <c r="P1469" s="17"/>
      <c r="Q1469" s="16"/>
      <c r="R1469" s="19"/>
      <c r="S1469" s="20"/>
    </row>
    <row r="1470" spans="1:19" x14ac:dyDescent="0.25">
      <c r="A1470" t="str">
        <f>(COUNTIF($K$2:K1470,K1470))&amp;K1470</f>
        <v>0</v>
      </c>
      <c r="B1470" s="34"/>
      <c r="C1470" s="13"/>
      <c r="D1470" s="14"/>
      <c r="E1470" s="16"/>
      <c r="F1470" s="17"/>
      <c r="G1470" s="24"/>
      <c r="H1470" s="15"/>
      <c r="I1470" s="15"/>
      <c r="J1470" s="15"/>
      <c r="K1470" s="18"/>
      <c r="L1470" s="15"/>
      <c r="M1470" s="15"/>
      <c r="N1470" s="15"/>
      <c r="O1470" s="24"/>
      <c r="P1470" s="17"/>
      <c r="Q1470" s="16"/>
      <c r="R1470" s="19"/>
      <c r="S1470" s="20"/>
    </row>
    <row r="1471" spans="1:19" x14ac:dyDescent="0.25">
      <c r="A1471" t="str">
        <f>(COUNTIF($K$2:K1471,K1471))&amp;K1471</f>
        <v>0</v>
      </c>
      <c r="B1471" s="34"/>
      <c r="C1471" s="13"/>
      <c r="D1471" s="14"/>
      <c r="E1471" s="16"/>
      <c r="F1471" s="17"/>
      <c r="G1471" s="24"/>
      <c r="H1471" s="15"/>
      <c r="I1471" s="15"/>
      <c r="J1471" s="15"/>
      <c r="K1471" s="18"/>
      <c r="L1471" s="15"/>
      <c r="M1471" s="15"/>
      <c r="N1471" s="15"/>
      <c r="O1471" s="24"/>
      <c r="P1471" s="17"/>
      <c r="Q1471" s="16"/>
      <c r="R1471" s="19"/>
      <c r="S1471" s="20"/>
    </row>
    <row r="1472" spans="1:19" ht="15.75" x14ac:dyDescent="0.25">
      <c r="A1472" t="str">
        <f>(COUNTIF($K$2:K1472,K1472))&amp;K1472</f>
        <v>0</v>
      </c>
      <c r="B1472" s="34"/>
      <c r="C1472" s="13"/>
      <c r="D1472" s="14"/>
      <c r="E1472" s="16"/>
      <c r="F1472" s="17"/>
      <c r="G1472" s="24"/>
      <c r="H1472" s="15"/>
      <c r="I1472" s="15"/>
      <c r="J1472" s="15"/>
      <c r="K1472" s="21"/>
      <c r="L1472" s="15"/>
      <c r="M1472" s="15"/>
      <c r="N1472" s="15"/>
      <c r="O1472" s="24"/>
      <c r="P1472" s="17"/>
      <c r="Q1472" s="16"/>
      <c r="R1472" s="19"/>
      <c r="S1472" s="20"/>
    </row>
    <row r="1473" spans="1:19" x14ac:dyDescent="0.25">
      <c r="A1473" t="str">
        <f>(COUNTIF($K$2:K1473,K1473))&amp;K1473</f>
        <v>0</v>
      </c>
      <c r="B1473" s="34"/>
      <c r="C1473" s="13"/>
      <c r="D1473" s="14"/>
      <c r="E1473" s="16"/>
      <c r="F1473" s="17"/>
      <c r="G1473" s="24"/>
      <c r="H1473" s="15"/>
      <c r="I1473" s="15"/>
      <c r="J1473" s="15"/>
      <c r="K1473" s="18"/>
      <c r="L1473" s="15"/>
      <c r="M1473" s="15"/>
      <c r="N1473" s="15"/>
      <c r="O1473" s="24"/>
      <c r="P1473" s="17"/>
      <c r="Q1473" s="16"/>
      <c r="R1473" s="19"/>
      <c r="S1473" s="20"/>
    </row>
    <row r="1474" spans="1:19" x14ac:dyDescent="0.25">
      <c r="A1474" t="str">
        <f>(COUNTIF($K$2:K1474,K1474))&amp;K1474</f>
        <v>0</v>
      </c>
      <c r="B1474" s="34"/>
      <c r="C1474" s="13"/>
      <c r="D1474" s="14"/>
      <c r="E1474" s="16"/>
      <c r="F1474" s="17"/>
      <c r="G1474" s="24"/>
      <c r="H1474" s="15"/>
      <c r="I1474" s="15"/>
      <c r="J1474" s="15"/>
      <c r="K1474" s="18"/>
      <c r="L1474" s="15"/>
      <c r="M1474" s="15"/>
      <c r="N1474" s="15"/>
      <c r="O1474" s="24"/>
      <c r="P1474" s="17"/>
      <c r="Q1474" s="16"/>
      <c r="R1474" s="19"/>
      <c r="S1474" s="20"/>
    </row>
    <row r="1475" spans="1:19" x14ac:dyDescent="0.25">
      <c r="A1475" t="str">
        <f>(COUNTIF($K$2:K1475,K1475))&amp;K1475</f>
        <v>0</v>
      </c>
      <c r="B1475" s="34"/>
      <c r="C1475" s="13"/>
      <c r="D1475" s="14"/>
      <c r="E1475" s="16"/>
      <c r="F1475" s="17"/>
      <c r="G1475" s="24"/>
      <c r="H1475" s="15"/>
      <c r="I1475" s="15"/>
      <c r="J1475" s="15"/>
      <c r="K1475" s="18"/>
      <c r="L1475" s="15"/>
      <c r="M1475" s="15"/>
      <c r="N1475" s="15"/>
      <c r="O1475" s="24"/>
      <c r="P1475" s="17"/>
      <c r="Q1475" s="16"/>
      <c r="R1475" s="19"/>
      <c r="S1475" s="20"/>
    </row>
    <row r="1476" spans="1:19" x14ac:dyDescent="0.25">
      <c r="A1476" t="str">
        <f>(COUNTIF($K$2:K1476,K1476))&amp;K1476</f>
        <v>0</v>
      </c>
      <c r="B1476" s="34"/>
      <c r="C1476" s="13"/>
      <c r="D1476" s="14"/>
      <c r="E1476" s="16"/>
      <c r="F1476" s="17"/>
      <c r="G1476" s="24"/>
      <c r="H1476" s="15"/>
      <c r="I1476" s="15"/>
      <c r="J1476" s="15"/>
      <c r="K1476" s="18"/>
      <c r="L1476" s="15"/>
      <c r="M1476" s="15"/>
      <c r="N1476" s="15"/>
      <c r="O1476" s="24"/>
      <c r="P1476" s="17"/>
      <c r="Q1476" s="16"/>
      <c r="R1476" s="19"/>
      <c r="S1476" s="20"/>
    </row>
    <row r="1477" spans="1:19" x14ac:dyDescent="0.25">
      <c r="A1477" t="str">
        <f>(COUNTIF($K$2:K1477,K1477))&amp;K1477</f>
        <v>0</v>
      </c>
      <c r="B1477" s="34"/>
      <c r="C1477" s="13"/>
      <c r="D1477" s="14"/>
      <c r="E1477" s="16"/>
      <c r="F1477" s="17"/>
      <c r="G1477" s="24"/>
      <c r="H1477" s="15"/>
      <c r="I1477" s="15"/>
      <c r="J1477" s="15"/>
      <c r="K1477" s="18"/>
      <c r="L1477" s="15"/>
      <c r="M1477" s="15"/>
      <c r="N1477" s="15"/>
      <c r="O1477" s="24"/>
      <c r="P1477" s="17"/>
      <c r="Q1477" s="16"/>
      <c r="R1477" s="19"/>
      <c r="S1477" s="20"/>
    </row>
    <row r="1478" spans="1:19" x14ac:dyDescent="0.25">
      <c r="A1478" t="str">
        <f>(COUNTIF($K$2:K1478,K1478))&amp;K1478</f>
        <v>0</v>
      </c>
      <c r="B1478" s="34"/>
      <c r="C1478" s="13"/>
      <c r="D1478" s="14"/>
      <c r="E1478" s="16"/>
      <c r="F1478" s="17"/>
      <c r="G1478" s="24"/>
      <c r="H1478" s="15"/>
      <c r="I1478" s="15"/>
      <c r="J1478" s="15"/>
      <c r="K1478" s="18"/>
      <c r="L1478" s="15"/>
      <c r="M1478" s="15"/>
      <c r="N1478" s="15"/>
      <c r="O1478" s="24"/>
      <c r="P1478" s="17"/>
      <c r="Q1478" s="16"/>
      <c r="R1478" s="19"/>
      <c r="S1478" s="20"/>
    </row>
    <row r="1479" spans="1:19" x14ac:dyDescent="0.25">
      <c r="A1479" t="str">
        <f>(COUNTIF($K$2:K1479,K1479))&amp;K1479</f>
        <v>0</v>
      </c>
      <c r="B1479" s="34"/>
      <c r="C1479" s="13"/>
      <c r="D1479" s="14"/>
      <c r="E1479" s="16"/>
      <c r="F1479" s="17"/>
      <c r="G1479" s="24"/>
      <c r="H1479" s="15"/>
      <c r="I1479" s="15"/>
      <c r="J1479" s="15"/>
      <c r="K1479" s="18"/>
      <c r="L1479" s="15"/>
      <c r="M1479" s="15"/>
      <c r="N1479" s="15"/>
      <c r="O1479" s="24"/>
      <c r="P1479" s="17"/>
      <c r="Q1479" s="16"/>
      <c r="R1479" s="19"/>
      <c r="S1479" s="20"/>
    </row>
    <row r="1480" spans="1:19" x14ac:dyDescent="0.25">
      <c r="A1480" t="str">
        <f>(COUNTIF($K$2:K1480,K1480))&amp;K1480</f>
        <v>0</v>
      </c>
      <c r="B1480" s="34"/>
      <c r="C1480" s="41"/>
      <c r="E1480" s="33"/>
      <c r="F1480" s="39"/>
      <c r="G1480" s="40"/>
      <c r="H1480" s="38"/>
      <c r="I1480" s="38"/>
      <c r="J1480" s="38"/>
      <c r="K1480" s="49"/>
      <c r="L1480" s="38"/>
      <c r="M1480" s="38"/>
      <c r="N1480" s="38"/>
      <c r="P1480" s="40"/>
      <c r="Q1480" s="33"/>
      <c r="R1480" s="38"/>
      <c r="S1480" s="38"/>
    </row>
    <row r="1481" spans="1:19" x14ac:dyDescent="0.25">
      <c r="A1481" t="str">
        <f>(COUNTIF($K$2:K1481,K1481))&amp;K1481</f>
        <v>0</v>
      </c>
      <c r="B1481" s="34"/>
      <c r="C1481" s="13"/>
      <c r="D1481" s="14"/>
      <c r="E1481" s="16"/>
      <c r="F1481" s="17"/>
      <c r="G1481" s="24"/>
      <c r="H1481" s="15"/>
      <c r="I1481" s="15"/>
      <c r="J1481" s="15"/>
      <c r="K1481" s="18"/>
      <c r="L1481" s="15"/>
      <c r="M1481" s="15"/>
      <c r="N1481" s="15"/>
      <c r="O1481" s="24"/>
      <c r="P1481" s="17"/>
      <c r="Q1481" s="16"/>
      <c r="R1481" s="19"/>
      <c r="S1481" s="20"/>
    </row>
    <row r="1482" spans="1:19" x14ac:dyDescent="0.25">
      <c r="A1482" t="str">
        <f>(COUNTIF($K$2:K1482,K1482))&amp;K1482</f>
        <v>0</v>
      </c>
      <c r="B1482" s="34"/>
      <c r="C1482" s="13"/>
      <c r="D1482" s="14"/>
      <c r="E1482" s="16"/>
      <c r="F1482" s="17"/>
      <c r="G1482" s="24"/>
      <c r="H1482" s="15"/>
      <c r="I1482" s="15"/>
      <c r="J1482" s="15"/>
      <c r="K1482" s="18"/>
      <c r="L1482" s="15"/>
      <c r="M1482" s="15"/>
      <c r="N1482" s="15"/>
      <c r="O1482" s="24"/>
      <c r="P1482" s="17"/>
      <c r="Q1482" s="16"/>
      <c r="R1482" s="19"/>
      <c r="S1482" s="20"/>
    </row>
    <row r="1483" spans="1:19" x14ac:dyDescent="0.25">
      <c r="A1483" t="str">
        <f>(COUNTIF($K$2:K1483,K1483))&amp;K1483</f>
        <v>0</v>
      </c>
      <c r="B1483" s="34"/>
      <c r="C1483" s="13"/>
      <c r="D1483" s="14"/>
      <c r="E1483" s="16"/>
      <c r="F1483" s="17"/>
      <c r="G1483" s="24"/>
      <c r="H1483" s="15"/>
      <c r="I1483" s="15"/>
      <c r="J1483" s="15"/>
      <c r="K1483" s="18"/>
      <c r="L1483" s="15"/>
      <c r="M1483" s="15"/>
      <c r="N1483" s="15"/>
      <c r="O1483" s="24"/>
      <c r="P1483" s="17"/>
      <c r="Q1483" s="16"/>
      <c r="R1483" s="19"/>
      <c r="S1483" s="20"/>
    </row>
    <row r="1484" spans="1:19" x14ac:dyDescent="0.25">
      <c r="A1484" t="str">
        <f>(COUNTIF($K$2:K1484,K1484))&amp;K1484</f>
        <v>0</v>
      </c>
      <c r="B1484" s="34"/>
      <c r="C1484" s="13"/>
      <c r="D1484" s="14"/>
      <c r="E1484" s="16"/>
      <c r="F1484" s="17"/>
      <c r="G1484" s="24"/>
      <c r="H1484" s="15"/>
      <c r="I1484" s="15"/>
      <c r="J1484" s="15"/>
      <c r="K1484" s="18"/>
      <c r="L1484" s="15"/>
      <c r="M1484" s="15"/>
      <c r="N1484" s="15"/>
      <c r="O1484" s="24"/>
      <c r="P1484" s="17"/>
      <c r="Q1484" s="16"/>
      <c r="R1484" s="19"/>
      <c r="S1484" s="20"/>
    </row>
    <row r="1485" spans="1:19" x14ac:dyDescent="0.25">
      <c r="A1485" t="str">
        <f>(COUNTIF($K$2:K1485,K1485))&amp;K1485</f>
        <v>0</v>
      </c>
      <c r="B1485" s="34"/>
      <c r="C1485" s="13"/>
      <c r="D1485" s="14"/>
      <c r="E1485" s="16"/>
      <c r="F1485" s="17"/>
      <c r="G1485" s="24"/>
      <c r="H1485" s="15"/>
      <c r="I1485" s="15"/>
      <c r="J1485" s="15"/>
      <c r="K1485" s="18"/>
      <c r="L1485" s="15"/>
      <c r="M1485" s="15"/>
      <c r="N1485" s="15"/>
      <c r="O1485" s="24"/>
      <c r="P1485" s="17"/>
      <c r="Q1485" s="16"/>
      <c r="R1485" s="19"/>
      <c r="S1485" s="20"/>
    </row>
    <row r="1486" spans="1:19" x14ac:dyDescent="0.25">
      <c r="A1486" t="str">
        <f>(COUNTIF($K$2:K1486,K1486))&amp;K1486</f>
        <v>0</v>
      </c>
      <c r="B1486" s="34"/>
      <c r="C1486" s="13"/>
      <c r="D1486" s="14"/>
      <c r="E1486" s="16"/>
      <c r="F1486" s="17"/>
      <c r="G1486" s="24"/>
      <c r="H1486" s="15"/>
      <c r="I1486" s="15"/>
      <c r="J1486" s="15"/>
      <c r="K1486" s="18"/>
      <c r="L1486" s="15"/>
      <c r="M1486" s="15"/>
      <c r="N1486" s="15"/>
      <c r="O1486" s="24"/>
      <c r="P1486" s="17"/>
      <c r="Q1486" s="16"/>
      <c r="R1486" s="19"/>
      <c r="S1486" s="20"/>
    </row>
    <row r="1487" spans="1:19" x14ac:dyDescent="0.25">
      <c r="A1487" t="str">
        <f>(COUNTIF($K$2:K1487,K1487))&amp;K1487</f>
        <v>0</v>
      </c>
      <c r="B1487" s="34"/>
      <c r="C1487" s="13"/>
      <c r="D1487" s="14"/>
      <c r="E1487" s="16"/>
      <c r="F1487" s="17"/>
      <c r="G1487" s="24"/>
      <c r="H1487" s="15"/>
      <c r="I1487" s="15"/>
      <c r="J1487" s="15"/>
      <c r="K1487" s="18"/>
      <c r="L1487" s="15"/>
      <c r="M1487" s="15"/>
      <c r="N1487" s="15"/>
      <c r="O1487" s="24"/>
      <c r="P1487" s="17"/>
      <c r="Q1487" s="16"/>
      <c r="R1487" s="19"/>
      <c r="S1487" s="20"/>
    </row>
    <row r="1488" spans="1:19" x14ac:dyDescent="0.25">
      <c r="A1488" t="str">
        <f>(COUNTIF($K$2:K1488,K1488))&amp;K1488</f>
        <v>0</v>
      </c>
      <c r="B1488" s="34"/>
      <c r="C1488" s="13"/>
      <c r="D1488" s="14"/>
      <c r="E1488" s="16"/>
      <c r="F1488" s="17"/>
      <c r="G1488" s="24"/>
      <c r="H1488" s="15"/>
      <c r="I1488" s="15"/>
      <c r="J1488" s="15"/>
      <c r="K1488" s="18"/>
      <c r="L1488" s="15"/>
      <c r="M1488" s="15"/>
      <c r="N1488" s="15"/>
      <c r="O1488" s="24"/>
      <c r="P1488" s="17"/>
      <c r="Q1488" s="16"/>
      <c r="R1488" s="19"/>
      <c r="S1488" s="20"/>
    </row>
    <row r="1489" spans="1:19" ht="15.75" x14ac:dyDescent="0.25">
      <c r="A1489" t="str">
        <f>(COUNTIF($K$2:K1489,K1489))&amp;K1489</f>
        <v>0</v>
      </c>
      <c r="B1489" s="34"/>
      <c r="C1489" s="13"/>
      <c r="D1489" s="14"/>
      <c r="E1489" s="16"/>
      <c r="F1489" s="17"/>
      <c r="G1489" s="24"/>
      <c r="H1489" s="15"/>
      <c r="I1489" s="15"/>
      <c r="J1489" s="15"/>
      <c r="K1489" s="21"/>
      <c r="L1489" s="15"/>
      <c r="M1489" s="15"/>
      <c r="N1489" s="15"/>
      <c r="O1489" s="24"/>
      <c r="P1489" s="17"/>
      <c r="Q1489" s="16"/>
      <c r="R1489" s="19"/>
      <c r="S1489" s="20"/>
    </row>
    <row r="1490" spans="1:19" x14ac:dyDescent="0.25">
      <c r="A1490" t="str">
        <f>(COUNTIF($K$2:K1490,K1490))&amp;K1490</f>
        <v>0</v>
      </c>
      <c r="B1490" s="34"/>
      <c r="C1490" s="13"/>
      <c r="D1490" s="14"/>
      <c r="E1490" s="16"/>
      <c r="F1490" s="17"/>
      <c r="G1490" s="24"/>
      <c r="H1490" s="15"/>
      <c r="I1490" s="15"/>
      <c r="J1490" s="15"/>
      <c r="K1490" s="18"/>
      <c r="L1490" s="15"/>
      <c r="M1490" s="15"/>
      <c r="N1490" s="15"/>
      <c r="O1490" s="24"/>
      <c r="P1490" s="17"/>
      <c r="Q1490" s="16"/>
      <c r="R1490" s="19"/>
      <c r="S1490" s="20"/>
    </row>
    <row r="1491" spans="1:19" x14ac:dyDescent="0.25">
      <c r="A1491" t="str">
        <f>(COUNTIF($K$2:K1491,K1491))&amp;K1491</f>
        <v>0</v>
      </c>
      <c r="B1491" s="34"/>
      <c r="C1491" s="13"/>
      <c r="D1491" s="14"/>
      <c r="E1491" s="16"/>
      <c r="F1491" s="17"/>
      <c r="G1491" s="24"/>
      <c r="H1491" s="15"/>
      <c r="I1491" s="15"/>
      <c r="J1491" s="15"/>
      <c r="K1491" s="18"/>
      <c r="L1491" s="15"/>
      <c r="M1491" s="15"/>
      <c r="N1491" s="15"/>
      <c r="O1491" s="24"/>
      <c r="P1491" s="17"/>
      <c r="Q1491" s="16"/>
      <c r="R1491" s="19"/>
      <c r="S1491" s="20"/>
    </row>
    <row r="1492" spans="1:19" x14ac:dyDescent="0.25">
      <c r="A1492" t="str">
        <f>(COUNTIF($K$2:K1492,K1492))&amp;K1492</f>
        <v>0</v>
      </c>
      <c r="B1492" s="34"/>
      <c r="C1492" s="13"/>
      <c r="D1492" s="14"/>
      <c r="E1492" s="16"/>
      <c r="F1492" s="17"/>
      <c r="G1492" s="24"/>
      <c r="H1492" s="15"/>
      <c r="I1492" s="15"/>
      <c r="J1492" s="15"/>
      <c r="K1492" s="18"/>
      <c r="L1492" s="15"/>
      <c r="M1492" s="15"/>
      <c r="N1492" s="15"/>
      <c r="O1492" s="24"/>
      <c r="P1492" s="17"/>
      <c r="Q1492" s="16"/>
      <c r="R1492" s="19"/>
      <c r="S1492" s="20"/>
    </row>
    <row r="1493" spans="1:19" x14ac:dyDescent="0.25">
      <c r="A1493" t="str">
        <f>(COUNTIF($K$2:K1493,K1493))&amp;K1493</f>
        <v>0</v>
      </c>
      <c r="B1493" s="34"/>
      <c r="C1493" s="13"/>
      <c r="D1493" s="14"/>
      <c r="E1493" s="16"/>
      <c r="F1493" s="17"/>
      <c r="G1493" s="24"/>
      <c r="H1493" s="15"/>
      <c r="I1493" s="15"/>
      <c r="J1493" s="15"/>
      <c r="K1493" s="18"/>
      <c r="L1493" s="15"/>
      <c r="M1493" s="15"/>
      <c r="N1493" s="15"/>
      <c r="O1493" s="24"/>
      <c r="P1493" s="17"/>
      <c r="Q1493" s="16"/>
      <c r="R1493" s="19"/>
      <c r="S1493" s="20"/>
    </row>
    <row r="1494" spans="1:19" x14ac:dyDescent="0.25">
      <c r="A1494" t="str">
        <f>(COUNTIF($K$2:K1494,K1494))&amp;K1494</f>
        <v>0</v>
      </c>
      <c r="B1494" s="34"/>
      <c r="C1494" s="13"/>
      <c r="D1494" s="14"/>
      <c r="E1494" s="16"/>
      <c r="F1494" s="17"/>
      <c r="G1494" s="24"/>
      <c r="H1494" s="15"/>
      <c r="I1494" s="15"/>
      <c r="J1494" s="15"/>
      <c r="K1494" s="18"/>
      <c r="L1494" s="15"/>
      <c r="M1494" s="15"/>
      <c r="N1494" s="15"/>
      <c r="O1494" s="24"/>
      <c r="P1494" s="17"/>
      <c r="Q1494" s="16"/>
      <c r="R1494" s="19"/>
      <c r="S1494" s="20"/>
    </row>
    <row r="1495" spans="1:19" x14ac:dyDescent="0.25">
      <c r="A1495" t="str">
        <f>(COUNTIF($K$2:K1495,K1495))&amp;K1495</f>
        <v>0</v>
      </c>
      <c r="B1495" s="34"/>
      <c r="C1495" s="13"/>
      <c r="D1495" s="14"/>
      <c r="E1495" s="16"/>
      <c r="F1495" s="17"/>
      <c r="G1495" s="24"/>
      <c r="H1495" s="15"/>
      <c r="I1495" s="15"/>
      <c r="J1495" s="15"/>
      <c r="K1495" s="18"/>
      <c r="L1495" s="15"/>
      <c r="M1495" s="15"/>
      <c r="N1495" s="15"/>
      <c r="O1495" s="24"/>
      <c r="P1495" s="17"/>
      <c r="Q1495" s="16"/>
      <c r="R1495" s="19"/>
      <c r="S1495" s="20"/>
    </row>
    <row r="1496" spans="1:19" x14ac:dyDescent="0.25">
      <c r="A1496" t="str">
        <f>(COUNTIF($K$2:K1496,K1496))&amp;K1496</f>
        <v>0</v>
      </c>
      <c r="B1496" s="34"/>
      <c r="C1496" s="13"/>
      <c r="D1496" s="14"/>
      <c r="E1496" s="16"/>
      <c r="F1496" s="17"/>
      <c r="G1496" s="24"/>
      <c r="H1496" s="15"/>
      <c r="I1496" s="15"/>
      <c r="J1496" s="15"/>
      <c r="K1496" s="18"/>
      <c r="L1496" s="15"/>
      <c r="M1496" s="15"/>
      <c r="N1496" s="15"/>
      <c r="O1496" s="24"/>
      <c r="P1496" s="17"/>
      <c r="Q1496" s="16"/>
      <c r="R1496" s="19"/>
      <c r="S1496" s="20"/>
    </row>
    <row r="1497" spans="1:19" x14ac:dyDescent="0.25">
      <c r="A1497" t="str">
        <f>(COUNTIF($K$2:K1497,K1497))&amp;K1497</f>
        <v>0</v>
      </c>
      <c r="B1497" s="34"/>
      <c r="C1497" s="41"/>
      <c r="E1497" s="33"/>
      <c r="F1497" s="39"/>
      <c r="G1497" s="40"/>
      <c r="H1497" s="38"/>
      <c r="I1497" s="38"/>
      <c r="J1497" s="38"/>
      <c r="K1497" s="49"/>
      <c r="L1497" s="38"/>
      <c r="M1497" s="38"/>
      <c r="N1497" s="38"/>
      <c r="P1497" s="40"/>
      <c r="Q1497" s="33"/>
      <c r="R1497" s="38"/>
      <c r="S1497" s="38"/>
    </row>
    <row r="1498" spans="1:19" x14ac:dyDescent="0.25">
      <c r="A1498" t="str">
        <f>(COUNTIF($K$2:K1498,K1498))&amp;K1498</f>
        <v>0</v>
      </c>
      <c r="B1498" s="34"/>
      <c r="C1498" s="13"/>
      <c r="D1498" s="14"/>
      <c r="E1498" s="16"/>
      <c r="F1498" s="17"/>
      <c r="G1498" s="24"/>
      <c r="H1498" s="15"/>
      <c r="I1498" s="15"/>
      <c r="J1498" s="15"/>
      <c r="K1498" s="18"/>
      <c r="L1498" s="15"/>
      <c r="M1498" s="15"/>
      <c r="N1498" s="15"/>
      <c r="O1498" s="24"/>
      <c r="P1498" s="17"/>
      <c r="Q1498" s="16"/>
      <c r="R1498" s="19"/>
      <c r="S1498" s="20"/>
    </row>
    <row r="1499" spans="1:19" x14ac:dyDescent="0.25">
      <c r="A1499" t="str">
        <f>(COUNTIF($K$2:K1499,K1499))&amp;K1499</f>
        <v>0</v>
      </c>
      <c r="B1499" s="34"/>
      <c r="C1499" s="13"/>
      <c r="D1499" s="14"/>
      <c r="E1499" s="16"/>
      <c r="F1499" s="17"/>
      <c r="G1499" s="24"/>
      <c r="H1499" s="15"/>
      <c r="I1499" s="15"/>
      <c r="J1499" s="15"/>
      <c r="K1499" s="18"/>
      <c r="L1499" s="15"/>
      <c r="M1499" s="15"/>
      <c r="N1499" s="15"/>
      <c r="O1499" s="24"/>
      <c r="P1499" s="17"/>
      <c r="Q1499" s="16"/>
      <c r="R1499" s="19"/>
      <c r="S1499" s="20"/>
    </row>
    <row r="1500" spans="1:19" x14ac:dyDescent="0.25">
      <c r="A1500" t="str">
        <f>(COUNTIF($K$2:K1500,K1500))&amp;K1500</f>
        <v>0</v>
      </c>
      <c r="B1500" s="34"/>
      <c r="C1500" s="13"/>
      <c r="D1500" s="14"/>
      <c r="E1500" s="16"/>
      <c r="F1500" s="17"/>
      <c r="G1500" s="24"/>
      <c r="H1500" s="15"/>
      <c r="I1500" s="15"/>
      <c r="J1500" s="15"/>
      <c r="K1500" s="18"/>
      <c r="L1500" s="15"/>
      <c r="M1500" s="15"/>
      <c r="N1500" s="15"/>
      <c r="O1500" s="24"/>
      <c r="P1500" s="17"/>
      <c r="Q1500" s="16"/>
      <c r="R1500" s="19"/>
      <c r="S1500" s="20"/>
    </row>
    <row r="1501" spans="1:19" x14ac:dyDescent="0.25">
      <c r="A1501" t="str">
        <f>(COUNTIF($K$2:K1501,K1501))&amp;K1501</f>
        <v>0</v>
      </c>
      <c r="B1501" s="34"/>
      <c r="C1501" s="13"/>
      <c r="D1501" s="14"/>
      <c r="E1501" s="16"/>
      <c r="F1501" s="17"/>
      <c r="G1501" s="24"/>
      <c r="H1501" s="15"/>
      <c r="I1501" s="15"/>
      <c r="J1501" s="15"/>
      <c r="K1501" s="18"/>
      <c r="L1501" s="15"/>
      <c r="M1501" s="15"/>
      <c r="N1501" s="15"/>
      <c r="O1501" s="24"/>
      <c r="P1501" s="17"/>
      <c r="Q1501" s="16"/>
      <c r="R1501" s="19"/>
      <c r="S1501" s="20"/>
    </row>
    <row r="1502" spans="1:19" x14ac:dyDescent="0.25">
      <c r="A1502" t="str">
        <f>(COUNTIF($K$2:K1502,K1502))&amp;K1502</f>
        <v>0</v>
      </c>
      <c r="B1502" s="34"/>
      <c r="C1502" s="13"/>
      <c r="D1502" s="14"/>
      <c r="E1502" s="16"/>
      <c r="F1502" s="17"/>
      <c r="G1502" s="24"/>
      <c r="H1502" s="15"/>
      <c r="I1502" s="15"/>
      <c r="J1502" s="15"/>
      <c r="K1502" s="18"/>
      <c r="L1502" s="15"/>
      <c r="M1502" s="15"/>
      <c r="N1502" s="15"/>
      <c r="O1502" s="24"/>
      <c r="P1502" s="17"/>
      <c r="Q1502" s="16"/>
      <c r="R1502" s="19"/>
      <c r="S1502" s="20"/>
    </row>
    <row r="1503" spans="1:19" x14ac:dyDescent="0.25">
      <c r="A1503" t="str">
        <f>(COUNTIF($K$2:K1503,K1503))&amp;K1503</f>
        <v>0</v>
      </c>
      <c r="B1503" s="34"/>
      <c r="C1503" s="13"/>
      <c r="D1503" s="14"/>
      <c r="E1503" s="16"/>
      <c r="F1503" s="17"/>
      <c r="G1503" s="24"/>
      <c r="H1503" s="15"/>
      <c r="I1503" s="15"/>
      <c r="J1503" s="15"/>
      <c r="K1503" s="18"/>
      <c r="L1503" s="15"/>
      <c r="M1503" s="15"/>
      <c r="N1503" s="15"/>
      <c r="O1503" s="24"/>
      <c r="P1503" s="17"/>
      <c r="Q1503" s="16"/>
      <c r="R1503" s="19"/>
      <c r="S1503" s="20"/>
    </row>
    <row r="1504" spans="1:19" x14ac:dyDescent="0.25">
      <c r="A1504" t="str">
        <f>(COUNTIF($K$2:K1504,K1504))&amp;K1504</f>
        <v>0</v>
      </c>
      <c r="B1504" s="34"/>
      <c r="C1504" s="13"/>
      <c r="D1504" s="14"/>
      <c r="E1504" s="16"/>
      <c r="F1504" s="17"/>
      <c r="G1504" s="24"/>
      <c r="H1504" s="15"/>
      <c r="I1504" s="15"/>
      <c r="J1504" s="15"/>
      <c r="K1504" s="18"/>
      <c r="L1504" s="15"/>
      <c r="M1504" s="15"/>
      <c r="N1504" s="15"/>
      <c r="O1504" s="24"/>
      <c r="P1504" s="17"/>
      <c r="Q1504" s="16"/>
      <c r="R1504" s="19"/>
      <c r="S1504" s="20"/>
    </row>
    <row r="1505" spans="1:19" x14ac:dyDescent="0.25">
      <c r="A1505" t="str">
        <f>(COUNTIF($K$2:K1505,K1505))&amp;K1505</f>
        <v>0</v>
      </c>
      <c r="B1505" s="34"/>
      <c r="C1505" s="13"/>
      <c r="D1505" s="14"/>
      <c r="E1505" s="16"/>
      <c r="F1505" s="17"/>
      <c r="G1505" s="24"/>
      <c r="H1505" s="15"/>
      <c r="I1505" s="15"/>
      <c r="J1505" s="15"/>
      <c r="K1505" s="18"/>
      <c r="L1505" s="15"/>
      <c r="M1505" s="15"/>
      <c r="N1505" s="15"/>
      <c r="O1505" s="24"/>
      <c r="P1505" s="17"/>
      <c r="Q1505" s="16"/>
      <c r="R1505" s="19"/>
      <c r="S1505" s="20"/>
    </row>
    <row r="1506" spans="1:19" ht="15.75" x14ac:dyDescent="0.25">
      <c r="A1506" t="str">
        <f>(COUNTIF($K$2:K1506,K1506))&amp;K1506</f>
        <v>0</v>
      </c>
      <c r="B1506" s="34"/>
      <c r="C1506" s="13"/>
      <c r="D1506" s="14"/>
      <c r="E1506" s="16"/>
      <c r="F1506" s="17"/>
      <c r="G1506" s="24"/>
      <c r="H1506" s="15"/>
      <c r="I1506" s="15"/>
      <c r="J1506" s="15"/>
      <c r="K1506" s="21"/>
      <c r="L1506" s="15"/>
      <c r="M1506" s="15"/>
      <c r="N1506" s="15"/>
      <c r="O1506" s="24"/>
      <c r="P1506" s="17"/>
      <c r="Q1506" s="16"/>
      <c r="R1506" s="19"/>
      <c r="S1506" s="20"/>
    </row>
    <row r="1507" spans="1:19" x14ac:dyDescent="0.25">
      <c r="A1507" t="str">
        <f>(COUNTIF($K$2:K1507,K1507))&amp;K1507</f>
        <v>0</v>
      </c>
      <c r="B1507" s="34"/>
      <c r="C1507" s="13"/>
      <c r="D1507" s="14"/>
      <c r="E1507" s="16"/>
      <c r="F1507" s="17"/>
      <c r="G1507" s="24"/>
      <c r="H1507" s="15"/>
      <c r="I1507" s="15"/>
      <c r="J1507" s="15"/>
      <c r="K1507" s="18"/>
      <c r="L1507" s="15"/>
      <c r="M1507" s="15"/>
      <c r="N1507" s="15"/>
      <c r="O1507" s="24"/>
      <c r="P1507" s="17"/>
      <c r="Q1507" s="16"/>
      <c r="R1507" s="19"/>
      <c r="S1507" s="20"/>
    </row>
    <row r="1508" spans="1:19" x14ac:dyDescent="0.25">
      <c r="A1508" t="str">
        <f>(COUNTIF($K$2:K1508,K1508))&amp;K1508</f>
        <v>0</v>
      </c>
      <c r="B1508" s="34"/>
      <c r="C1508" s="13"/>
      <c r="D1508" s="14"/>
      <c r="E1508" s="16"/>
      <c r="F1508" s="17"/>
      <c r="G1508" s="24"/>
      <c r="H1508" s="15"/>
      <c r="I1508" s="15"/>
      <c r="J1508" s="15"/>
      <c r="K1508" s="18"/>
      <c r="L1508" s="15"/>
      <c r="M1508" s="15"/>
      <c r="N1508" s="15"/>
      <c r="O1508" s="24"/>
      <c r="P1508" s="17"/>
      <c r="Q1508" s="16"/>
      <c r="R1508" s="19"/>
      <c r="S1508" s="20"/>
    </row>
    <row r="1509" spans="1:19" x14ac:dyDescent="0.25">
      <c r="A1509" t="str">
        <f>(COUNTIF($K$2:K1509,K1509))&amp;K1509</f>
        <v>0</v>
      </c>
      <c r="B1509" s="34"/>
      <c r="C1509" s="13"/>
      <c r="D1509" s="14"/>
      <c r="E1509" s="16"/>
      <c r="F1509" s="17"/>
      <c r="G1509" s="24"/>
      <c r="H1509" s="15"/>
      <c r="I1509" s="15"/>
      <c r="J1509" s="15"/>
      <c r="K1509" s="18"/>
      <c r="L1509" s="15"/>
      <c r="M1509" s="15"/>
      <c r="N1509" s="15"/>
      <c r="O1509" s="24"/>
      <c r="P1509" s="17"/>
      <c r="Q1509" s="16"/>
      <c r="R1509" s="19"/>
      <c r="S1509" s="20"/>
    </row>
    <row r="1510" spans="1:19" x14ac:dyDescent="0.25">
      <c r="A1510" t="str">
        <f>(COUNTIF($K$2:K1510,K1510))&amp;K1510</f>
        <v>0</v>
      </c>
      <c r="B1510" s="34"/>
      <c r="C1510" s="13"/>
      <c r="D1510" s="14"/>
      <c r="E1510" s="16"/>
      <c r="F1510" s="17"/>
      <c r="G1510" s="24"/>
      <c r="H1510" s="15"/>
      <c r="I1510" s="15"/>
      <c r="J1510" s="15"/>
      <c r="K1510" s="18"/>
      <c r="L1510" s="15"/>
      <c r="M1510" s="15"/>
      <c r="N1510" s="15"/>
      <c r="O1510" s="24"/>
      <c r="P1510" s="17"/>
      <c r="Q1510" s="16"/>
      <c r="R1510" s="19"/>
      <c r="S1510" s="20"/>
    </row>
    <row r="1511" spans="1:19" x14ac:dyDescent="0.25">
      <c r="A1511" t="str">
        <f>(COUNTIF($K$2:K1511,K1511))&amp;K1511</f>
        <v>0</v>
      </c>
      <c r="B1511" s="34"/>
      <c r="C1511" s="13"/>
      <c r="D1511" s="14"/>
      <c r="E1511" s="16"/>
      <c r="F1511" s="17"/>
      <c r="G1511" s="24"/>
      <c r="H1511" s="15"/>
      <c r="I1511" s="15"/>
      <c r="J1511" s="15"/>
      <c r="K1511" s="18"/>
      <c r="L1511" s="15"/>
      <c r="M1511" s="15"/>
      <c r="N1511" s="15"/>
      <c r="O1511" s="24"/>
      <c r="P1511" s="17"/>
      <c r="Q1511" s="16"/>
      <c r="R1511" s="19"/>
      <c r="S1511" s="20"/>
    </row>
    <row r="1512" spans="1:19" x14ac:dyDescent="0.25">
      <c r="A1512" t="str">
        <f>(COUNTIF($K$2:K1512,K1512))&amp;K1512</f>
        <v>0</v>
      </c>
      <c r="B1512" s="34"/>
      <c r="C1512" s="13"/>
      <c r="D1512" s="14"/>
      <c r="E1512" s="16"/>
      <c r="F1512" s="17"/>
      <c r="G1512" s="24"/>
      <c r="H1512" s="15"/>
      <c r="I1512" s="15"/>
      <c r="J1512" s="15"/>
      <c r="K1512" s="18"/>
      <c r="L1512" s="15"/>
      <c r="M1512" s="15"/>
      <c r="N1512" s="15"/>
      <c r="O1512" s="24"/>
      <c r="P1512" s="17"/>
      <c r="Q1512" s="16"/>
      <c r="R1512" s="19"/>
      <c r="S1512" s="20"/>
    </row>
    <row r="1513" spans="1:19" x14ac:dyDescent="0.25">
      <c r="A1513" t="str">
        <f>(COUNTIF($K$2:K1513,K1513))&amp;K1513</f>
        <v>0</v>
      </c>
      <c r="B1513" s="34"/>
      <c r="C1513" s="13"/>
      <c r="D1513" s="14"/>
      <c r="E1513" s="16"/>
      <c r="F1513" s="17"/>
      <c r="G1513" s="24"/>
      <c r="H1513" s="15"/>
      <c r="I1513" s="15"/>
      <c r="J1513" s="15"/>
      <c r="K1513" s="18"/>
      <c r="L1513" s="15"/>
      <c r="M1513" s="15"/>
      <c r="N1513" s="15"/>
      <c r="O1513" s="24"/>
      <c r="P1513" s="17"/>
      <c r="Q1513" s="16"/>
      <c r="R1513" s="19"/>
      <c r="S1513" s="20"/>
    </row>
    <row r="1514" spans="1:19" x14ac:dyDescent="0.25">
      <c r="A1514" t="str">
        <f>(COUNTIF($K$2:K1514,K1514))&amp;K1514</f>
        <v>0</v>
      </c>
      <c r="B1514" s="34"/>
      <c r="C1514" s="41"/>
      <c r="E1514" s="33"/>
      <c r="F1514" s="39"/>
      <c r="G1514" s="40"/>
      <c r="H1514" s="38"/>
      <c r="I1514" s="38"/>
      <c r="J1514" s="38"/>
      <c r="K1514" s="49"/>
      <c r="L1514" s="38"/>
      <c r="M1514" s="38"/>
      <c r="N1514" s="38"/>
      <c r="P1514" s="40"/>
      <c r="Q1514" s="33"/>
      <c r="R1514" s="38"/>
      <c r="S1514" s="38"/>
    </row>
    <row r="1515" spans="1:19" x14ac:dyDescent="0.25">
      <c r="A1515" t="str">
        <f>(COUNTIF($K$2:K1515,K1515))&amp;K1515</f>
        <v>0</v>
      </c>
      <c r="B1515" s="34"/>
      <c r="C1515" s="13"/>
      <c r="D1515" s="14"/>
      <c r="E1515" s="16"/>
      <c r="F1515" s="17"/>
      <c r="G1515" s="24"/>
      <c r="H1515" s="15"/>
      <c r="I1515" s="15"/>
      <c r="J1515" s="15"/>
      <c r="K1515" s="18"/>
      <c r="L1515" s="15"/>
      <c r="M1515" s="15"/>
      <c r="N1515" s="15"/>
      <c r="O1515" s="24"/>
      <c r="P1515" s="17"/>
      <c r="Q1515" s="16"/>
      <c r="R1515" s="19"/>
      <c r="S1515" s="20"/>
    </row>
    <row r="1516" spans="1:19" x14ac:dyDescent="0.25">
      <c r="A1516" t="str">
        <f>(COUNTIF($K$2:K1516,K1516))&amp;K1516</f>
        <v>0</v>
      </c>
      <c r="B1516" s="34"/>
      <c r="C1516" s="13"/>
      <c r="D1516" s="14"/>
      <c r="E1516" s="16"/>
      <c r="F1516" s="17"/>
      <c r="G1516" s="24"/>
      <c r="H1516" s="15"/>
      <c r="I1516" s="15"/>
      <c r="J1516" s="15"/>
      <c r="K1516" s="18"/>
      <c r="L1516" s="15"/>
      <c r="M1516" s="15"/>
      <c r="N1516" s="15"/>
      <c r="O1516" s="24"/>
      <c r="P1516" s="17"/>
      <c r="Q1516" s="16"/>
      <c r="R1516" s="19"/>
      <c r="S1516" s="20"/>
    </row>
    <row r="1517" spans="1:19" x14ac:dyDescent="0.25">
      <c r="A1517" t="str">
        <f>(COUNTIF($K$2:K1517,K1517))&amp;K1517</f>
        <v>0</v>
      </c>
      <c r="B1517" s="34"/>
      <c r="C1517" s="13"/>
      <c r="D1517" s="14"/>
      <c r="E1517" s="16"/>
      <c r="F1517" s="17"/>
      <c r="G1517" s="24"/>
      <c r="H1517" s="15"/>
      <c r="I1517" s="15"/>
      <c r="J1517" s="15"/>
      <c r="K1517" s="18"/>
      <c r="L1517" s="15"/>
      <c r="M1517" s="15"/>
      <c r="N1517" s="15"/>
      <c r="O1517" s="24"/>
      <c r="P1517" s="17"/>
      <c r="Q1517" s="16"/>
      <c r="R1517" s="19"/>
      <c r="S1517" s="20"/>
    </row>
    <row r="1518" spans="1:19" x14ac:dyDescent="0.25">
      <c r="A1518" t="str">
        <f>(COUNTIF($K$2:K1518,K1518))&amp;K1518</f>
        <v>0</v>
      </c>
      <c r="B1518" s="34"/>
      <c r="C1518" s="13"/>
      <c r="D1518" s="14"/>
      <c r="E1518" s="16"/>
      <c r="F1518" s="17"/>
      <c r="G1518" s="24"/>
      <c r="H1518" s="15"/>
      <c r="I1518" s="15"/>
      <c r="J1518" s="15"/>
      <c r="K1518" s="18"/>
      <c r="L1518" s="15"/>
      <c r="M1518" s="15"/>
      <c r="N1518" s="15"/>
      <c r="O1518" s="24"/>
      <c r="P1518" s="17"/>
      <c r="Q1518" s="16"/>
      <c r="R1518" s="19"/>
      <c r="S1518" s="20"/>
    </row>
    <row r="1519" spans="1:19" x14ac:dyDescent="0.25">
      <c r="A1519" t="str">
        <f>(COUNTIF($K$2:K1519,K1519))&amp;K1519</f>
        <v>0</v>
      </c>
      <c r="B1519" s="34"/>
      <c r="C1519" s="13"/>
      <c r="D1519" s="14"/>
      <c r="E1519" s="16"/>
      <c r="F1519" s="17"/>
      <c r="G1519" s="24"/>
      <c r="H1519" s="15"/>
      <c r="I1519" s="15"/>
      <c r="J1519" s="15"/>
      <c r="K1519" s="18"/>
      <c r="L1519" s="15"/>
      <c r="M1519" s="15"/>
      <c r="N1519" s="15"/>
      <c r="O1519" s="24"/>
      <c r="P1519" s="17"/>
      <c r="Q1519" s="16"/>
      <c r="R1519" s="19"/>
      <c r="S1519" s="20"/>
    </row>
    <row r="1520" spans="1:19" x14ac:dyDescent="0.25">
      <c r="A1520" t="str">
        <f>(COUNTIF($K$2:K1520,K1520))&amp;K1520</f>
        <v>0</v>
      </c>
      <c r="B1520" s="34"/>
      <c r="C1520" s="13"/>
      <c r="D1520" s="14"/>
      <c r="E1520" s="16"/>
      <c r="F1520" s="17"/>
      <c r="G1520" s="24"/>
      <c r="H1520" s="15"/>
      <c r="I1520" s="15"/>
      <c r="J1520" s="15"/>
      <c r="K1520" s="18"/>
      <c r="L1520" s="15"/>
      <c r="M1520" s="15"/>
      <c r="N1520" s="15"/>
      <c r="O1520" s="24"/>
      <c r="P1520" s="17"/>
      <c r="Q1520" s="16"/>
      <c r="R1520" s="19"/>
      <c r="S1520" s="20"/>
    </row>
    <row r="1521" spans="1:19" x14ac:dyDescent="0.25">
      <c r="A1521" t="str">
        <f>(COUNTIF($K$2:K1521,K1521))&amp;K1521</f>
        <v>0</v>
      </c>
      <c r="B1521" s="34"/>
      <c r="C1521" s="13"/>
      <c r="D1521" s="14"/>
      <c r="E1521" s="16"/>
      <c r="F1521" s="17"/>
      <c r="G1521" s="24"/>
      <c r="H1521" s="15"/>
      <c r="I1521" s="15"/>
      <c r="J1521" s="15"/>
      <c r="K1521" s="18"/>
      <c r="L1521" s="15"/>
      <c r="M1521" s="15"/>
      <c r="N1521" s="15"/>
      <c r="O1521" s="24"/>
      <c r="P1521" s="17"/>
      <c r="Q1521" s="16"/>
      <c r="R1521" s="19"/>
      <c r="S1521" s="20"/>
    </row>
    <row r="1522" spans="1:19" x14ac:dyDescent="0.25">
      <c r="A1522" t="str">
        <f>(COUNTIF($K$2:K1522,K1522))&amp;K1522</f>
        <v>0</v>
      </c>
      <c r="B1522" s="34"/>
      <c r="C1522" s="13"/>
      <c r="D1522" s="14"/>
      <c r="E1522" s="16"/>
      <c r="F1522" s="17"/>
      <c r="G1522" s="24"/>
      <c r="H1522" s="15"/>
      <c r="I1522" s="15"/>
      <c r="J1522" s="15"/>
      <c r="K1522" s="18"/>
      <c r="L1522" s="15"/>
      <c r="M1522" s="15"/>
      <c r="N1522" s="15"/>
      <c r="O1522" s="24"/>
      <c r="P1522" s="17"/>
      <c r="Q1522" s="16"/>
      <c r="R1522" s="19"/>
      <c r="S1522" s="20"/>
    </row>
    <row r="1523" spans="1:19" ht="15.75" x14ac:dyDescent="0.25">
      <c r="A1523" t="str">
        <f>(COUNTIF($K$2:K1523,K1523))&amp;K1523</f>
        <v>0</v>
      </c>
      <c r="B1523" s="34"/>
      <c r="C1523" s="13"/>
      <c r="D1523" s="14"/>
      <c r="E1523" s="16"/>
      <c r="F1523" s="17"/>
      <c r="G1523" s="24"/>
      <c r="H1523" s="15"/>
      <c r="I1523" s="15"/>
      <c r="J1523" s="15"/>
      <c r="K1523" s="21"/>
      <c r="L1523" s="15"/>
      <c r="M1523" s="15"/>
      <c r="N1523" s="15"/>
      <c r="O1523" s="24"/>
      <c r="P1523" s="17"/>
      <c r="Q1523" s="16"/>
      <c r="R1523" s="19"/>
      <c r="S1523" s="20"/>
    </row>
    <row r="1524" spans="1:19" x14ac:dyDescent="0.25">
      <c r="A1524" t="str">
        <f>(COUNTIF($K$2:K1524,K1524))&amp;K1524</f>
        <v>0</v>
      </c>
      <c r="B1524" s="34"/>
      <c r="C1524" s="13"/>
      <c r="D1524" s="14"/>
      <c r="E1524" s="16"/>
      <c r="F1524" s="17"/>
      <c r="G1524" s="24"/>
      <c r="H1524" s="15"/>
      <c r="I1524" s="15"/>
      <c r="J1524" s="15"/>
      <c r="K1524" s="18"/>
      <c r="L1524" s="15"/>
      <c r="M1524" s="15"/>
      <c r="N1524" s="15"/>
      <c r="O1524" s="24"/>
      <c r="P1524" s="17"/>
      <c r="Q1524" s="16"/>
      <c r="R1524" s="19"/>
      <c r="S1524" s="20"/>
    </row>
    <row r="1525" spans="1:19" x14ac:dyDescent="0.25">
      <c r="A1525" t="str">
        <f>(COUNTIF($K$2:K1525,K1525))&amp;K1525</f>
        <v>0</v>
      </c>
      <c r="B1525" s="34"/>
      <c r="C1525" s="13"/>
      <c r="D1525" s="14"/>
      <c r="E1525" s="16"/>
      <c r="F1525" s="17"/>
      <c r="G1525" s="24"/>
      <c r="H1525" s="15"/>
      <c r="I1525" s="15"/>
      <c r="J1525" s="15"/>
      <c r="K1525" s="18"/>
      <c r="L1525" s="15"/>
      <c r="M1525" s="15"/>
      <c r="N1525" s="15"/>
      <c r="O1525" s="24"/>
      <c r="P1525" s="17"/>
      <c r="Q1525" s="16"/>
      <c r="R1525" s="19"/>
      <c r="S1525" s="20"/>
    </row>
    <row r="1526" spans="1:19" x14ac:dyDescent="0.25">
      <c r="A1526" t="str">
        <f>(COUNTIF($K$2:K1526,K1526))&amp;K1526</f>
        <v>0</v>
      </c>
      <c r="B1526" s="34"/>
      <c r="C1526" s="13"/>
      <c r="D1526" s="14"/>
      <c r="E1526" s="16"/>
      <c r="F1526" s="17"/>
      <c r="G1526" s="24"/>
      <c r="H1526" s="15"/>
      <c r="I1526" s="15"/>
      <c r="J1526" s="15"/>
      <c r="K1526" s="18"/>
      <c r="L1526" s="15"/>
      <c r="M1526" s="15"/>
      <c r="N1526" s="15"/>
      <c r="O1526" s="24"/>
      <c r="P1526" s="17"/>
      <c r="Q1526" s="16"/>
      <c r="R1526" s="19"/>
      <c r="S1526" s="20"/>
    </row>
    <row r="1527" spans="1:19" x14ac:dyDescent="0.25">
      <c r="A1527" t="str">
        <f>(COUNTIF($K$2:K1527,K1527))&amp;K1527</f>
        <v>0</v>
      </c>
      <c r="B1527" s="34"/>
      <c r="C1527" s="13"/>
      <c r="D1527" s="14"/>
      <c r="E1527" s="16"/>
      <c r="F1527" s="17"/>
      <c r="G1527" s="24"/>
      <c r="H1527" s="15"/>
      <c r="I1527" s="15"/>
      <c r="J1527" s="15"/>
      <c r="K1527" s="18"/>
      <c r="L1527" s="15"/>
      <c r="M1527" s="15"/>
      <c r="N1527" s="15"/>
      <c r="O1527" s="24"/>
      <c r="P1527" s="17"/>
      <c r="Q1527" s="16"/>
      <c r="R1527" s="19"/>
      <c r="S1527" s="20"/>
    </row>
    <row r="1528" spans="1:19" x14ac:dyDescent="0.25">
      <c r="A1528" t="str">
        <f>(COUNTIF($K$2:K1528,K1528))&amp;K1528</f>
        <v>0</v>
      </c>
      <c r="B1528" s="34"/>
      <c r="C1528" s="13"/>
      <c r="D1528" s="14"/>
      <c r="E1528" s="16"/>
      <c r="F1528" s="17"/>
      <c r="G1528" s="24"/>
      <c r="H1528" s="15"/>
      <c r="I1528" s="15"/>
      <c r="J1528" s="15"/>
      <c r="K1528" s="18"/>
      <c r="L1528" s="15"/>
      <c r="M1528" s="15"/>
      <c r="N1528" s="15"/>
      <c r="O1528" s="24"/>
      <c r="P1528" s="17"/>
      <c r="Q1528" s="16"/>
      <c r="R1528" s="19"/>
      <c r="S1528" s="20"/>
    </row>
    <row r="1529" spans="1:19" x14ac:dyDescent="0.25">
      <c r="A1529" t="str">
        <f>(COUNTIF($K$2:K1529,K1529))&amp;K1529</f>
        <v>0</v>
      </c>
      <c r="B1529" s="34"/>
      <c r="C1529" s="13"/>
      <c r="D1529" s="14"/>
      <c r="E1529" s="16"/>
      <c r="F1529" s="17"/>
      <c r="G1529" s="24"/>
      <c r="H1529" s="15"/>
      <c r="I1529" s="15"/>
      <c r="J1529" s="15"/>
      <c r="K1529" s="18"/>
      <c r="L1529" s="15"/>
      <c r="M1529" s="15"/>
      <c r="N1529" s="15"/>
      <c r="O1529" s="24"/>
      <c r="P1529" s="17"/>
      <c r="Q1529" s="16"/>
      <c r="R1529" s="19"/>
      <c r="S1529" s="20"/>
    </row>
    <row r="1530" spans="1:19" x14ac:dyDescent="0.25">
      <c r="A1530" t="str">
        <f>(COUNTIF($K$2:K1530,K1530))&amp;K1530</f>
        <v>0</v>
      </c>
      <c r="B1530" s="34"/>
      <c r="C1530" s="13"/>
      <c r="D1530" s="14"/>
      <c r="E1530" s="16"/>
      <c r="F1530" s="17"/>
      <c r="G1530" s="24"/>
      <c r="H1530" s="15"/>
      <c r="I1530" s="15"/>
      <c r="J1530" s="15"/>
      <c r="K1530" s="18"/>
      <c r="L1530" s="15"/>
      <c r="M1530" s="15"/>
      <c r="N1530" s="15"/>
      <c r="O1530" s="24"/>
      <c r="P1530" s="17"/>
      <c r="Q1530" s="16"/>
      <c r="R1530" s="19"/>
      <c r="S1530" s="20"/>
    </row>
    <row r="1531" spans="1:19" x14ac:dyDescent="0.25">
      <c r="A1531" t="str">
        <f>(COUNTIF($K$2:K1531,K1531))&amp;K1531</f>
        <v>0</v>
      </c>
      <c r="B1531" s="34"/>
      <c r="C1531" s="41"/>
      <c r="E1531" s="33"/>
      <c r="F1531" s="39"/>
      <c r="G1531" s="40"/>
      <c r="H1531" s="38"/>
      <c r="I1531" s="38"/>
      <c r="J1531" s="38"/>
      <c r="K1531" s="46"/>
      <c r="L1531" s="38"/>
      <c r="M1531" s="38"/>
      <c r="N1531" s="38"/>
      <c r="P1531" s="40"/>
      <c r="Q1531" s="33"/>
      <c r="R1531" s="38"/>
      <c r="S1531" s="38"/>
    </row>
    <row r="1532" spans="1:19" x14ac:dyDescent="0.25">
      <c r="A1532" t="str">
        <f>(COUNTIF($K$2:K1532,K1532))&amp;K1532</f>
        <v>0</v>
      </c>
    </row>
    <row r="1533" spans="1:19" x14ac:dyDescent="0.25">
      <c r="A1533" t="str">
        <f>(COUNTIF($K$2:K1533,K1533))&amp;K1533</f>
        <v>0</v>
      </c>
    </row>
    <row r="1534" spans="1:19" x14ac:dyDescent="0.25">
      <c r="A1534" t="str">
        <f>(COUNTIF($K$2:K1534,K1534))&amp;K1534</f>
        <v>0</v>
      </c>
    </row>
    <row r="1535" spans="1:19" x14ac:dyDescent="0.25">
      <c r="A1535" t="str">
        <f>(COUNTIF($K$2:K1535,K1535))&amp;K1535</f>
        <v>0</v>
      </c>
    </row>
    <row r="1536" spans="1:19" x14ac:dyDescent="0.25">
      <c r="A1536" t="str">
        <f>(COUNTIF($K$2:K1536,K1536))&amp;K1536</f>
        <v>0</v>
      </c>
    </row>
    <row r="1537" spans="1:1" x14ac:dyDescent="0.25">
      <c r="A1537" t="str">
        <f>(COUNTIF($K$2:K1537,K1537))&amp;K1537</f>
        <v>0</v>
      </c>
    </row>
    <row r="1538" spans="1:1" x14ac:dyDescent="0.25">
      <c r="A1538" t="str">
        <f>(COUNTIF($K$2:K1538,K1538))&amp;K1538</f>
        <v>0</v>
      </c>
    </row>
    <row r="1539" spans="1:1" x14ac:dyDescent="0.25">
      <c r="A1539" t="str">
        <f>(COUNTIF($K$2:K1539,K1539))&amp;K1539</f>
        <v>0</v>
      </c>
    </row>
    <row r="1540" spans="1:1" x14ac:dyDescent="0.25">
      <c r="A1540" t="str">
        <f>(COUNTIF($K$2:K1540,K1540))&amp;K1540</f>
        <v>0</v>
      </c>
    </row>
    <row r="1541" spans="1:1" x14ac:dyDescent="0.25">
      <c r="A1541" t="str">
        <f>(COUNTIF($K$2:K1541,K1541))&amp;K1541</f>
        <v>0</v>
      </c>
    </row>
    <row r="1542" spans="1:1" x14ac:dyDescent="0.25">
      <c r="A1542" t="str">
        <f>(COUNTIF($K$2:K1542,K1542))&amp;K1542</f>
        <v>0</v>
      </c>
    </row>
    <row r="1543" spans="1:1" x14ac:dyDescent="0.25">
      <c r="A1543" t="str">
        <f>(COUNTIF($K$2:K1543,K1543))&amp;K1543</f>
        <v>0</v>
      </c>
    </row>
    <row r="1544" spans="1:1" x14ac:dyDescent="0.25">
      <c r="A1544" t="str">
        <f>(COUNTIF($K$2:K1544,K1544))&amp;K1544</f>
        <v>0</v>
      </c>
    </row>
    <row r="1545" spans="1:1" x14ac:dyDescent="0.25">
      <c r="A1545" t="str">
        <f>(COUNTIF($K$2:K1545,K1545))&amp;K1545</f>
        <v>0</v>
      </c>
    </row>
    <row r="1546" spans="1:1" x14ac:dyDescent="0.25">
      <c r="A1546" t="str">
        <f>(COUNTIF($K$2:K1546,K1546))&amp;K1546</f>
        <v>0</v>
      </c>
    </row>
    <row r="1547" spans="1:1" x14ac:dyDescent="0.25">
      <c r="A1547" t="str">
        <f>(COUNTIF($K$2:K1547,K1547))&amp;K1547</f>
        <v>0</v>
      </c>
    </row>
    <row r="1548" spans="1:1" x14ac:dyDescent="0.25">
      <c r="A1548" t="str">
        <f>(COUNTIF($K$2:K1548,K1548))&amp;K1548</f>
        <v>0</v>
      </c>
    </row>
    <row r="1549" spans="1:1" x14ac:dyDescent="0.25">
      <c r="A1549" t="str">
        <f>(COUNTIF($K$2:K1549,K1549))&amp;K1549</f>
        <v>0</v>
      </c>
    </row>
    <row r="1550" spans="1:1" x14ac:dyDescent="0.25">
      <c r="A1550" t="str">
        <f>(COUNTIF($K$2:K1550,K1550))&amp;K1550</f>
        <v>0</v>
      </c>
    </row>
    <row r="1551" spans="1:1" x14ac:dyDescent="0.25">
      <c r="A1551" t="str">
        <f>(COUNTIF($K$2:K1551,K1551))&amp;K1551</f>
        <v>0</v>
      </c>
    </row>
    <row r="1552" spans="1:1" x14ac:dyDescent="0.25">
      <c r="A1552" t="str">
        <f>(COUNTIF($K$2:K1552,K1552))&amp;K1552</f>
        <v>0</v>
      </c>
    </row>
    <row r="1553" spans="1:1" x14ac:dyDescent="0.25">
      <c r="A1553" t="str">
        <f>(COUNTIF($K$2:K1553,K1553))&amp;K1553</f>
        <v>0</v>
      </c>
    </row>
    <row r="1554" spans="1:1" x14ac:dyDescent="0.25">
      <c r="A1554" t="str">
        <f>(COUNTIF($K$2:K1554,K1554))&amp;K1554</f>
        <v>0</v>
      </c>
    </row>
    <row r="1555" spans="1:1" x14ac:dyDescent="0.25">
      <c r="A1555" t="str">
        <f>(COUNTIF($K$2:K1555,K1555))&amp;K1555</f>
        <v>0</v>
      </c>
    </row>
    <row r="1556" spans="1:1" x14ac:dyDescent="0.25">
      <c r="A1556" t="str">
        <f>(COUNTIF($K$2:K1556,K1556))&amp;K1556</f>
        <v>0</v>
      </c>
    </row>
    <row r="1557" spans="1:1" x14ac:dyDescent="0.25">
      <c r="A1557" t="str">
        <f>(COUNTIF($K$2:K1557,K1557))&amp;K1557</f>
        <v>0</v>
      </c>
    </row>
    <row r="1558" spans="1:1" x14ac:dyDescent="0.25">
      <c r="A1558" t="str">
        <f>(COUNTIF($K$2:K1558,K1558))&amp;K1558</f>
        <v>0</v>
      </c>
    </row>
    <row r="1559" spans="1:1" x14ac:dyDescent="0.25">
      <c r="A1559" t="str">
        <f>(COUNTIF($K$2:K1559,K1559))&amp;K1559</f>
        <v>0</v>
      </c>
    </row>
    <row r="1560" spans="1:1" x14ac:dyDescent="0.25">
      <c r="A1560" t="str">
        <f>(COUNTIF($K$2:K1560,K1560))&amp;K1560</f>
        <v>0</v>
      </c>
    </row>
    <row r="1561" spans="1:1" x14ac:dyDescent="0.25">
      <c r="A1561" t="str">
        <f>(COUNTIF($K$2:K1561,K1561))&amp;K1561</f>
        <v>0</v>
      </c>
    </row>
    <row r="1562" spans="1:1" x14ac:dyDescent="0.25">
      <c r="A1562" t="str">
        <f>(COUNTIF($K$2:K1562,K1562))&amp;K1562</f>
        <v>0</v>
      </c>
    </row>
    <row r="1563" spans="1:1" x14ac:dyDescent="0.25">
      <c r="A1563" t="str">
        <f>(COUNTIF($K$2:K1563,K1563))&amp;K1563</f>
        <v>0</v>
      </c>
    </row>
    <row r="1564" spans="1:1" x14ac:dyDescent="0.25">
      <c r="A1564" t="str">
        <f>(COUNTIF($K$2:K1564,K1564))&amp;K1564</f>
        <v>0</v>
      </c>
    </row>
    <row r="1565" spans="1:1" x14ac:dyDescent="0.25">
      <c r="A1565" t="str">
        <f>(COUNTIF($K$2:K1565,K1565))&amp;K1565</f>
        <v>0</v>
      </c>
    </row>
    <row r="1566" spans="1:1" x14ac:dyDescent="0.25">
      <c r="A1566" t="str">
        <f>(COUNTIF($K$2:K1566,K1566))&amp;K1566</f>
        <v>0</v>
      </c>
    </row>
    <row r="1567" spans="1:1" x14ac:dyDescent="0.25">
      <c r="A1567" t="str">
        <f>(COUNTIF($K$2:K1567,K1567))&amp;K1567</f>
        <v>0</v>
      </c>
    </row>
    <row r="1568" spans="1:1" x14ac:dyDescent="0.25">
      <c r="A1568" t="str">
        <f>(COUNTIF($K$2:K1568,K1568))&amp;K1568</f>
        <v>0</v>
      </c>
    </row>
    <row r="1569" spans="1:1" x14ac:dyDescent="0.25">
      <c r="A1569" t="str">
        <f>(COUNTIF($K$2:K1569,K1569))&amp;K1569</f>
        <v>0</v>
      </c>
    </row>
    <row r="1570" spans="1:1" x14ac:dyDescent="0.25">
      <c r="A1570" t="str">
        <f>(COUNTIF($K$2:K1570,K1570))&amp;K1570</f>
        <v>0</v>
      </c>
    </row>
    <row r="1571" spans="1:1" x14ac:dyDescent="0.25">
      <c r="A1571" t="str">
        <f>(COUNTIF($K$2:K1571,K1571))&amp;K1571</f>
        <v>0</v>
      </c>
    </row>
    <row r="1572" spans="1:1" x14ac:dyDescent="0.25">
      <c r="A1572" t="str">
        <f>(COUNTIF($K$2:K1572,K1572))&amp;K1572</f>
        <v>0</v>
      </c>
    </row>
    <row r="1573" spans="1:1" x14ac:dyDescent="0.25">
      <c r="A1573" t="str">
        <f>(COUNTIF($K$2:K1573,K1573))&amp;K1573</f>
        <v>0</v>
      </c>
    </row>
    <row r="1574" spans="1:1" x14ac:dyDescent="0.25">
      <c r="A1574" t="str">
        <f>(COUNTIF($K$2:K1574,K1574))&amp;K1574</f>
        <v>0</v>
      </c>
    </row>
    <row r="1575" spans="1:1" x14ac:dyDescent="0.25">
      <c r="A1575" t="str">
        <f>(COUNTIF($K$2:K1575,K1575))&amp;K1575</f>
        <v>0</v>
      </c>
    </row>
    <row r="1576" spans="1:1" x14ac:dyDescent="0.25">
      <c r="A1576" t="str">
        <f>(COUNTIF($K$2:K1576,K1576))&amp;K1576</f>
        <v>0</v>
      </c>
    </row>
    <row r="1577" spans="1:1" x14ac:dyDescent="0.25">
      <c r="A1577" t="str">
        <f>(COUNTIF($K$2:K1577,K1577))&amp;K1577</f>
        <v>0</v>
      </c>
    </row>
    <row r="1578" spans="1:1" x14ac:dyDescent="0.25">
      <c r="A1578" t="str">
        <f>(COUNTIF($K$2:K1578,K1578))&amp;K1578</f>
        <v>0</v>
      </c>
    </row>
    <row r="1579" spans="1:1" x14ac:dyDescent="0.25">
      <c r="A1579" t="str">
        <f>(COUNTIF($K$2:K1579,K1579))&amp;K1579</f>
        <v>0</v>
      </c>
    </row>
    <row r="1580" spans="1:1" x14ac:dyDescent="0.25">
      <c r="A1580" t="str">
        <f>(COUNTIF($K$2:K1580,K1580))&amp;K1580</f>
        <v>0</v>
      </c>
    </row>
    <row r="1581" spans="1:1" x14ac:dyDescent="0.25">
      <c r="A1581" t="str">
        <f>(COUNTIF($K$2:K1581,K1581))&amp;K1581</f>
        <v>0</v>
      </c>
    </row>
    <row r="1582" spans="1:1" x14ac:dyDescent="0.25">
      <c r="A1582" t="str">
        <f>(COUNTIF($K$2:K1582,K1582))&amp;K1582</f>
        <v>0</v>
      </c>
    </row>
    <row r="1583" spans="1:1" x14ac:dyDescent="0.25">
      <c r="A1583" t="str">
        <f>(COUNTIF($K$2:K1583,K1583))&amp;K1583</f>
        <v>0</v>
      </c>
    </row>
    <row r="1584" spans="1:1" x14ac:dyDescent="0.25">
      <c r="A1584" t="str">
        <f>(COUNTIF($K$2:K1584,K1584))&amp;K1584</f>
        <v>0</v>
      </c>
    </row>
    <row r="1585" spans="1:1" x14ac:dyDescent="0.25">
      <c r="A1585" t="str">
        <f>(COUNTIF($K$2:K1585,K1585))&amp;K1585</f>
        <v>0</v>
      </c>
    </row>
    <row r="1586" spans="1:1" x14ac:dyDescent="0.25">
      <c r="A1586" t="str">
        <f>(COUNTIF($K$2:K1586,K1586))&amp;K1586</f>
        <v>0</v>
      </c>
    </row>
    <row r="1587" spans="1:1" x14ac:dyDescent="0.25">
      <c r="A1587" t="str">
        <f>(COUNTIF($K$2:K1587,K1587))&amp;K1587</f>
        <v>0</v>
      </c>
    </row>
    <row r="1588" spans="1:1" x14ac:dyDescent="0.25">
      <c r="A1588" t="str">
        <f>(COUNTIF($K$2:K1588,K1588))&amp;K1588</f>
        <v>0</v>
      </c>
    </row>
    <row r="1589" spans="1:1" x14ac:dyDescent="0.25">
      <c r="A1589" t="str">
        <f>(COUNTIF($K$2:K1589,K1589))&amp;K1589</f>
        <v>0</v>
      </c>
    </row>
    <row r="1590" spans="1:1" x14ac:dyDescent="0.25">
      <c r="A1590" t="str">
        <f>(COUNTIF($K$2:K1590,K1590))&amp;K1590</f>
        <v>0</v>
      </c>
    </row>
    <row r="1591" spans="1:1" x14ac:dyDescent="0.25">
      <c r="A1591" t="str">
        <f>(COUNTIF($K$2:K1591,K1591))&amp;K1591</f>
        <v>0</v>
      </c>
    </row>
    <row r="1592" spans="1:1" x14ac:dyDescent="0.25">
      <c r="A1592" t="str">
        <f>(COUNTIF($K$2:K1592,K1592))&amp;K1592</f>
        <v>0</v>
      </c>
    </row>
    <row r="1593" spans="1:1" x14ac:dyDescent="0.25">
      <c r="A1593" t="str">
        <f>(COUNTIF($K$2:K1593,K1593))&amp;K1593</f>
        <v>0</v>
      </c>
    </row>
    <row r="1594" spans="1:1" x14ac:dyDescent="0.25">
      <c r="A1594" t="str">
        <f>(COUNTIF($K$2:K1594,K1594))&amp;K1594</f>
        <v>0</v>
      </c>
    </row>
    <row r="1595" spans="1:1" x14ac:dyDescent="0.25">
      <c r="A1595" t="str">
        <f>(COUNTIF($K$2:K1595,K1595))&amp;K1595</f>
        <v>0</v>
      </c>
    </row>
    <row r="1596" spans="1:1" x14ac:dyDescent="0.25">
      <c r="A1596" t="str">
        <f>(COUNTIF($K$2:K1596,K1596))&amp;K1596</f>
        <v>0</v>
      </c>
    </row>
    <row r="1597" spans="1:1" x14ac:dyDescent="0.25">
      <c r="A1597" t="str">
        <f>(COUNTIF($K$2:K1597,K1597))&amp;K1597</f>
        <v>0</v>
      </c>
    </row>
    <row r="1598" spans="1:1" x14ac:dyDescent="0.25">
      <c r="A1598" t="str">
        <f>(COUNTIF($K$2:K1598,K1598))&amp;K1598</f>
        <v>0</v>
      </c>
    </row>
    <row r="1599" spans="1:1" x14ac:dyDescent="0.25">
      <c r="A1599" t="str">
        <f>(COUNTIF($K$2:K1599,K1599))&amp;K1599</f>
        <v>0</v>
      </c>
    </row>
    <row r="1600" spans="1:1" x14ac:dyDescent="0.25">
      <c r="A1600" t="str">
        <f>(COUNTIF($K$2:K1600,K1600))&amp;K1600</f>
        <v>0</v>
      </c>
    </row>
    <row r="1601" spans="1:1" x14ac:dyDescent="0.25">
      <c r="A1601" t="str">
        <f>(COUNTIF($K$2:K1601,K1601))&amp;K1601</f>
        <v>0</v>
      </c>
    </row>
    <row r="1602" spans="1:1" x14ac:dyDescent="0.25">
      <c r="A1602" t="str">
        <f>(COUNTIF($K$2:K1602,K1602))&amp;K1602</f>
        <v>0</v>
      </c>
    </row>
    <row r="1603" spans="1:1" x14ac:dyDescent="0.25">
      <c r="A1603" t="str">
        <f>(COUNTIF($K$2:K1603,K1603))&amp;K1603</f>
        <v>0</v>
      </c>
    </row>
    <row r="1604" spans="1:1" x14ac:dyDescent="0.25">
      <c r="A1604" t="str">
        <f>(COUNTIF($K$2:K1604,K1604))&amp;K1604</f>
        <v>0</v>
      </c>
    </row>
    <row r="1605" spans="1:1" x14ac:dyDescent="0.25">
      <c r="A1605" t="str">
        <f>(COUNTIF($K$2:K1605,K1605))&amp;K1605</f>
        <v>0</v>
      </c>
    </row>
    <row r="1606" spans="1:1" x14ac:dyDescent="0.25">
      <c r="A1606" t="str">
        <f>(COUNTIF($K$2:K1606,K1606))&amp;K1606</f>
        <v>0</v>
      </c>
    </row>
    <row r="1607" spans="1:1" x14ac:dyDescent="0.25">
      <c r="A1607" t="str">
        <f>(COUNTIF($K$2:K1607,K1607))&amp;K1607</f>
        <v>0</v>
      </c>
    </row>
    <row r="1608" spans="1:1" x14ac:dyDescent="0.25">
      <c r="A1608" t="str">
        <f>(COUNTIF($K$2:K1608,K1608))&amp;K1608</f>
        <v>0</v>
      </c>
    </row>
    <row r="1609" spans="1:1" x14ac:dyDescent="0.25">
      <c r="A1609" t="str">
        <f>(COUNTIF($K$2:K1609,K1609))&amp;K1609</f>
        <v>0</v>
      </c>
    </row>
    <row r="1610" spans="1:1" x14ac:dyDescent="0.25">
      <c r="A1610" t="str">
        <f>(COUNTIF($K$2:K1610,K1610))&amp;K1610</f>
        <v>0</v>
      </c>
    </row>
    <row r="1611" spans="1:1" x14ac:dyDescent="0.25">
      <c r="A1611" t="str">
        <f>(COUNTIF($K$2:K1611,K1611))&amp;K1611</f>
        <v>0</v>
      </c>
    </row>
    <row r="1612" spans="1:1" x14ac:dyDescent="0.25">
      <c r="A1612" t="str">
        <f>(COUNTIF($K$2:K1612,K1612))&amp;K1612</f>
        <v>0</v>
      </c>
    </row>
    <row r="1613" spans="1:1" x14ac:dyDescent="0.25">
      <c r="A1613" t="str">
        <f>(COUNTIF($K$2:K1613,K1613))&amp;K1613</f>
        <v>0</v>
      </c>
    </row>
    <row r="1614" spans="1:1" x14ac:dyDescent="0.25">
      <c r="A1614" t="str">
        <f>(COUNTIF($K$2:K1614,K1614))&amp;K1614</f>
        <v>0</v>
      </c>
    </row>
    <row r="1615" spans="1:1" x14ac:dyDescent="0.25">
      <c r="A1615" t="str">
        <f>(COUNTIF($K$2:K1615,K1615))&amp;K1615</f>
        <v>0</v>
      </c>
    </row>
    <row r="1616" spans="1:1" x14ac:dyDescent="0.25">
      <c r="A1616" t="str">
        <f>(COUNTIF($K$2:K1616,K1616))&amp;K1616</f>
        <v>0</v>
      </c>
    </row>
    <row r="1617" spans="1:1" x14ac:dyDescent="0.25">
      <c r="A1617" t="str">
        <f>(COUNTIF($K$2:K1617,K1617))&amp;K1617</f>
        <v>0</v>
      </c>
    </row>
    <row r="1618" spans="1:1" x14ac:dyDescent="0.25">
      <c r="A1618" t="str">
        <f>(COUNTIF($K$2:K1618,K1618))&amp;K1618</f>
        <v>0</v>
      </c>
    </row>
    <row r="1619" spans="1:1" x14ac:dyDescent="0.25">
      <c r="A1619" t="str">
        <f>(COUNTIF($K$2:K1619,K1619))&amp;K1619</f>
        <v>0</v>
      </c>
    </row>
    <row r="1620" spans="1:1" x14ac:dyDescent="0.25">
      <c r="A1620" t="str">
        <f>(COUNTIF($K$2:K1620,K1620))&amp;K1620</f>
        <v>0</v>
      </c>
    </row>
    <row r="1621" spans="1:1" x14ac:dyDescent="0.25">
      <c r="A1621" t="str">
        <f>(COUNTIF($K$2:K1621,K1621))&amp;K1621</f>
        <v>0</v>
      </c>
    </row>
    <row r="1622" spans="1:1" x14ac:dyDescent="0.25">
      <c r="A1622" t="str">
        <f>(COUNTIF($K$2:K1622,K1622))&amp;K1622</f>
        <v>0</v>
      </c>
    </row>
    <row r="1623" spans="1:1" x14ac:dyDescent="0.25">
      <c r="A1623" t="str">
        <f>(COUNTIF($K$2:K1623,K1623))&amp;K1623</f>
        <v>0</v>
      </c>
    </row>
    <row r="1624" spans="1:1" x14ac:dyDescent="0.25">
      <c r="A1624" t="str">
        <f>(COUNTIF($K$2:K1624,K1624))&amp;K1624</f>
        <v>0</v>
      </c>
    </row>
    <row r="1625" spans="1:1" x14ac:dyDescent="0.25">
      <c r="A1625" t="str">
        <f>(COUNTIF($K$2:K1625,K1625))&amp;K1625</f>
        <v>0</v>
      </c>
    </row>
    <row r="1626" spans="1:1" x14ac:dyDescent="0.25">
      <c r="A1626" t="str">
        <f>(COUNTIF($K$2:K1626,K1626))&amp;K1626</f>
        <v>0</v>
      </c>
    </row>
    <row r="1627" spans="1:1" x14ac:dyDescent="0.25">
      <c r="A1627" t="str">
        <f>(COUNTIF($K$2:K1627,K1627))&amp;K1627</f>
        <v>0</v>
      </c>
    </row>
    <row r="1628" spans="1:1" x14ac:dyDescent="0.25">
      <c r="A1628" t="str">
        <f>(COUNTIF($K$2:K1628,K1628))&amp;K1628</f>
        <v>0</v>
      </c>
    </row>
    <row r="1629" spans="1:1" x14ac:dyDescent="0.25">
      <c r="A1629" t="str">
        <f>(COUNTIF($K$2:K1629,K1629))&amp;K1629</f>
        <v>0</v>
      </c>
    </row>
    <row r="1630" spans="1:1" x14ac:dyDescent="0.25">
      <c r="A1630" t="str">
        <f>(COUNTIF($K$2:K1630,K1630))&amp;K1630</f>
        <v>0</v>
      </c>
    </row>
    <row r="1631" spans="1:1" x14ac:dyDescent="0.25">
      <c r="A1631" t="str">
        <f>(COUNTIF($K$2:K1631,K1631))&amp;K1631</f>
        <v>0</v>
      </c>
    </row>
    <row r="1632" spans="1:1" x14ac:dyDescent="0.25">
      <c r="A1632" t="str">
        <f>(COUNTIF($K$2:K1632,K1632))&amp;K1632</f>
        <v>0</v>
      </c>
    </row>
    <row r="1633" spans="1:1" x14ac:dyDescent="0.25">
      <c r="A1633" t="str">
        <f>(COUNTIF($K$2:K1633,K1633))&amp;K1633</f>
        <v>0</v>
      </c>
    </row>
    <row r="1634" spans="1:1" x14ac:dyDescent="0.25">
      <c r="A1634" t="str">
        <f>(COUNTIF($K$2:K1634,K1634))&amp;K1634</f>
        <v>0</v>
      </c>
    </row>
    <row r="1635" spans="1:1" x14ac:dyDescent="0.25">
      <c r="A1635" t="str">
        <f>(COUNTIF($K$2:K1635,K1635))&amp;K1635</f>
        <v>0</v>
      </c>
    </row>
    <row r="1636" spans="1:1" x14ac:dyDescent="0.25">
      <c r="A1636" t="str">
        <f>(COUNTIF($K$2:K1636,K1636))&amp;K1636</f>
        <v>0</v>
      </c>
    </row>
    <row r="1637" spans="1:1" x14ac:dyDescent="0.25">
      <c r="A1637" t="str">
        <f>(COUNTIF($K$2:K1637,K1637))&amp;K1637</f>
        <v>0</v>
      </c>
    </row>
    <row r="1638" spans="1:1" x14ac:dyDescent="0.25">
      <c r="A1638" t="str">
        <f>(COUNTIF($K$2:K1638,K1638))&amp;K1638</f>
        <v>0</v>
      </c>
    </row>
    <row r="1639" spans="1:1" x14ac:dyDescent="0.25">
      <c r="A1639" t="str">
        <f>(COUNTIF($K$2:K1639,K1639))&amp;K1639</f>
        <v>0</v>
      </c>
    </row>
    <row r="1640" spans="1:1" x14ac:dyDescent="0.25">
      <c r="A1640" t="str">
        <f>(COUNTIF($K$2:K1640,K1640))&amp;K1640</f>
        <v>0</v>
      </c>
    </row>
    <row r="1641" spans="1:1" x14ac:dyDescent="0.25">
      <c r="A1641" t="str">
        <f>(COUNTIF($K$2:K1641,K1641))&amp;K1641</f>
        <v>0</v>
      </c>
    </row>
    <row r="1642" spans="1:1" x14ac:dyDescent="0.25">
      <c r="A1642" t="str">
        <f>(COUNTIF($K$2:K1642,K1642))&amp;K1642</f>
        <v>0</v>
      </c>
    </row>
    <row r="1643" spans="1:1" x14ac:dyDescent="0.25">
      <c r="A1643" t="str">
        <f>(COUNTIF($K$2:K1643,K1643))&amp;K1643</f>
        <v>0</v>
      </c>
    </row>
    <row r="1644" spans="1:1" x14ac:dyDescent="0.25">
      <c r="A1644" t="str">
        <f>(COUNTIF($K$2:K1644,K1644))&amp;K1644</f>
        <v>0</v>
      </c>
    </row>
    <row r="1645" spans="1:1" x14ac:dyDescent="0.25">
      <c r="A1645" t="str">
        <f>(COUNTIF($K$2:K1645,K1645))&amp;K1645</f>
        <v>0</v>
      </c>
    </row>
    <row r="1646" spans="1:1" x14ac:dyDescent="0.25">
      <c r="A1646" t="str">
        <f>(COUNTIF($K$2:K1646,K1646))&amp;K1646</f>
        <v>0</v>
      </c>
    </row>
    <row r="1647" spans="1:1" x14ac:dyDescent="0.25">
      <c r="A1647" t="str">
        <f>(COUNTIF($K$2:K1647,K1647))&amp;K1647</f>
        <v>0</v>
      </c>
    </row>
    <row r="1648" spans="1:1" x14ac:dyDescent="0.25">
      <c r="A1648" t="str">
        <f>(COUNTIF($K$2:K1648,K1648))&amp;K1648</f>
        <v>0</v>
      </c>
    </row>
    <row r="1649" spans="1:1" x14ac:dyDescent="0.25">
      <c r="A1649" t="str">
        <f>(COUNTIF($K$2:K1649,K1649))&amp;K1649</f>
        <v>0</v>
      </c>
    </row>
    <row r="1650" spans="1:1" x14ac:dyDescent="0.25">
      <c r="A1650" t="str">
        <f>(COUNTIF($K$2:K1650,K1650))&amp;K1650</f>
        <v>0</v>
      </c>
    </row>
    <row r="1651" spans="1:1" x14ac:dyDescent="0.25">
      <c r="A1651" t="str">
        <f>(COUNTIF($K$2:K1651,K1651))&amp;K1651</f>
        <v>0</v>
      </c>
    </row>
    <row r="1652" spans="1:1" x14ac:dyDescent="0.25">
      <c r="A1652" t="str">
        <f>(COUNTIF($K$2:K1652,K1652))&amp;K1652</f>
        <v>0</v>
      </c>
    </row>
    <row r="1653" spans="1:1" x14ac:dyDescent="0.25">
      <c r="A1653" t="str">
        <f>(COUNTIF($K$2:K1653,K1653))&amp;K1653</f>
        <v>0</v>
      </c>
    </row>
    <row r="1654" spans="1:1" x14ac:dyDescent="0.25">
      <c r="A1654" t="str">
        <f>(COUNTIF($K$2:K1654,K1654))&amp;K1654</f>
        <v>0</v>
      </c>
    </row>
    <row r="1655" spans="1:1" x14ac:dyDescent="0.25">
      <c r="A1655" t="str">
        <f>(COUNTIF($K$2:K1655,K1655))&amp;K1655</f>
        <v>0</v>
      </c>
    </row>
    <row r="1656" spans="1:1" x14ac:dyDescent="0.25">
      <c r="A1656" t="str">
        <f>(COUNTIF($K$2:K1656,K1656))&amp;K1656</f>
        <v>0</v>
      </c>
    </row>
    <row r="1657" spans="1:1" x14ac:dyDescent="0.25">
      <c r="A1657" t="str">
        <f>(COUNTIF($K$2:K1657,K1657))&amp;K1657</f>
        <v>0</v>
      </c>
    </row>
    <row r="1658" spans="1:1" x14ac:dyDescent="0.25">
      <c r="A1658" t="str">
        <f>(COUNTIF($K$2:K1658,K1658))&amp;K1658</f>
        <v>0</v>
      </c>
    </row>
    <row r="1659" spans="1:1" x14ac:dyDescent="0.25">
      <c r="A1659" t="str">
        <f>(COUNTIF($K$2:K1659,K1659))&amp;K1659</f>
        <v>0</v>
      </c>
    </row>
    <row r="1660" spans="1:1" x14ac:dyDescent="0.25">
      <c r="A1660" t="str">
        <f>(COUNTIF($K$2:K1660,K1660))&amp;K1660</f>
        <v>0</v>
      </c>
    </row>
    <row r="1661" spans="1:1" x14ac:dyDescent="0.25">
      <c r="A1661" t="str">
        <f>(COUNTIF($K$2:K1661,K1661))&amp;K1661</f>
        <v>0</v>
      </c>
    </row>
    <row r="1662" spans="1:1" x14ac:dyDescent="0.25">
      <c r="A1662" t="str">
        <f>(COUNTIF($K$2:K1662,K1662))&amp;K1662</f>
        <v>0</v>
      </c>
    </row>
    <row r="1663" spans="1:1" x14ac:dyDescent="0.25">
      <c r="A1663" t="str">
        <f>(COUNTIF($K$2:K1663,K1663))&amp;K1663</f>
        <v>0</v>
      </c>
    </row>
    <row r="1664" spans="1:1" x14ac:dyDescent="0.25">
      <c r="A1664" t="str">
        <f>(COUNTIF($K$2:K1664,K1664))&amp;K1664</f>
        <v>0</v>
      </c>
    </row>
    <row r="1665" spans="1:1" x14ac:dyDescent="0.25">
      <c r="A1665" t="str">
        <f>(COUNTIF($K$2:K1665,K1665))&amp;K1665</f>
        <v>0</v>
      </c>
    </row>
    <row r="1666" spans="1:1" x14ac:dyDescent="0.25">
      <c r="A1666" t="str">
        <f>(COUNTIF($K$2:K1666,K1666))&amp;K1666</f>
        <v>0</v>
      </c>
    </row>
    <row r="1667" spans="1:1" x14ac:dyDescent="0.25">
      <c r="A1667" t="str">
        <f>(COUNTIF($K$2:K1667,K1667))&amp;K1667</f>
        <v>0</v>
      </c>
    </row>
    <row r="1668" spans="1:1" x14ac:dyDescent="0.25">
      <c r="A1668" t="str">
        <f>(COUNTIF($K$2:K1668,K1668))&amp;K1668</f>
        <v>0</v>
      </c>
    </row>
    <row r="1669" spans="1:1" x14ac:dyDescent="0.25">
      <c r="A1669" t="str">
        <f>(COUNTIF($K$2:K1669,K1669))&amp;K1669</f>
        <v>0</v>
      </c>
    </row>
    <row r="1670" spans="1:1" x14ac:dyDescent="0.25">
      <c r="A1670" t="str">
        <f>(COUNTIF($K$2:K1670,K1670))&amp;K1670</f>
        <v>0</v>
      </c>
    </row>
    <row r="1671" spans="1:1" x14ac:dyDescent="0.25">
      <c r="A1671" t="str">
        <f>(COUNTIF($K$2:K1671,K1671))&amp;K1671</f>
        <v>0</v>
      </c>
    </row>
    <row r="1672" spans="1:1" x14ac:dyDescent="0.25">
      <c r="A1672" t="str">
        <f>(COUNTIF($K$2:K1672,K1672))&amp;K1672</f>
        <v>0</v>
      </c>
    </row>
    <row r="1673" spans="1:1" x14ac:dyDescent="0.25">
      <c r="A1673" t="str">
        <f>(COUNTIF($K$2:K1673,K1673))&amp;K1673</f>
        <v>0</v>
      </c>
    </row>
    <row r="1674" spans="1:1" x14ac:dyDescent="0.25">
      <c r="A1674" t="str">
        <f>(COUNTIF($K$2:K1674,K1674))&amp;K1674</f>
        <v>0</v>
      </c>
    </row>
    <row r="1675" spans="1:1" x14ac:dyDescent="0.25">
      <c r="A1675" t="str">
        <f>(COUNTIF($K$2:K1675,K1675))&amp;K1675</f>
        <v>0</v>
      </c>
    </row>
    <row r="1676" spans="1:1" x14ac:dyDescent="0.25">
      <c r="A1676" t="str">
        <f>(COUNTIF($K$2:K1676,K1676))&amp;K1676</f>
        <v>0</v>
      </c>
    </row>
    <row r="1677" spans="1:1" x14ac:dyDescent="0.25">
      <c r="A1677" t="str">
        <f>(COUNTIF($K$2:K1677,K1677))&amp;K1677</f>
        <v>0</v>
      </c>
    </row>
    <row r="1678" spans="1:1" x14ac:dyDescent="0.25">
      <c r="A1678" t="str">
        <f>(COUNTIF($K$2:K1678,K1678))&amp;K1678</f>
        <v>0</v>
      </c>
    </row>
    <row r="1679" spans="1:1" x14ac:dyDescent="0.25">
      <c r="A1679" t="str">
        <f>(COUNTIF($K$2:K1679,K1679))&amp;K1679</f>
        <v>0</v>
      </c>
    </row>
    <row r="1680" spans="1:1" x14ac:dyDescent="0.25">
      <c r="A1680" t="str">
        <f>(COUNTIF($K$2:K1680,K1680))&amp;K1680</f>
        <v>0</v>
      </c>
    </row>
    <row r="1681" spans="1:1" x14ac:dyDescent="0.25">
      <c r="A1681" t="str">
        <f>(COUNTIF($K$2:K1681,K1681))&amp;K1681</f>
        <v>0</v>
      </c>
    </row>
    <row r="1682" spans="1:1" x14ac:dyDescent="0.25">
      <c r="A1682" t="str">
        <f>(COUNTIF($K$2:K1682,K1682))&amp;K1682</f>
        <v>0</v>
      </c>
    </row>
    <row r="1683" spans="1:1" x14ac:dyDescent="0.25">
      <c r="A1683" t="str">
        <f>(COUNTIF($K$2:K1683,K1683))&amp;K1683</f>
        <v>0</v>
      </c>
    </row>
    <row r="1684" spans="1:1" x14ac:dyDescent="0.25">
      <c r="A1684" t="str">
        <f>(COUNTIF($K$2:K1684,K1684))&amp;K1684</f>
        <v>0</v>
      </c>
    </row>
    <row r="1685" spans="1:1" x14ac:dyDescent="0.25">
      <c r="A1685" t="str">
        <f>(COUNTIF($K$2:K1685,K1685))&amp;K1685</f>
        <v>0</v>
      </c>
    </row>
    <row r="1686" spans="1:1" x14ac:dyDescent="0.25">
      <c r="A1686" t="str">
        <f>(COUNTIF($K$2:K1686,K1686))&amp;K1686</f>
        <v>0</v>
      </c>
    </row>
    <row r="1687" spans="1:1" x14ac:dyDescent="0.25">
      <c r="A1687" t="str">
        <f>(COUNTIF($K$2:K1687,K1687))&amp;K1687</f>
        <v>0</v>
      </c>
    </row>
    <row r="1688" spans="1:1" x14ac:dyDescent="0.25">
      <c r="A1688" t="str">
        <f>(COUNTIF($K$2:K1688,K1688))&amp;K1688</f>
        <v>0</v>
      </c>
    </row>
    <row r="1689" spans="1:1" x14ac:dyDescent="0.25">
      <c r="A1689" t="str">
        <f>(COUNTIF($K$2:K1689,K1689))&amp;K1689</f>
        <v>0</v>
      </c>
    </row>
    <row r="1690" spans="1:1" x14ac:dyDescent="0.25">
      <c r="A1690" t="str">
        <f>(COUNTIF($K$2:K1690,K1690))&amp;K1690</f>
        <v>0</v>
      </c>
    </row>
    <row r="1691" spans="1:1" x14ac:dyDescent="0.25">
      <c r="A1691" t="str">
        <f>(COUNTIF($K$2:K1691,K1691))&amp;K1691</f>
        <v>0</v>
      </c>
    </row>
    <row r="1692" spans="1:1" x14ac:dyDescent="0.25">
      <c r="A1692" t="str">
        <f>(COUNTIF($K$2:K1692,K1692))&amp;K1692</f>
        <v>0</v>
      </c>
    </row>
    <row r="1693" spans="1:1" x14ac:dyDescent="0.25">
      <c r="A1693" t="str">
        <f>(COUNTIF($K$2:K1693,K1693))&amp;K1693</f>
        <v>0</v>
      </c>
    </row>
    <row r="1694" spans="1:1" x14ac:dyDescent="0.25">
      <c r="A1694" t="str">
        <f>(COUNTIF($K$2:K1694,K1694))&amp;K1694</f>
        <v>0</v>
      </c>
    </row>
    <row r="1695" spans="1:1" x14ac:dyDescent="0.25">
      <c r="A1695" t="str">
        <f>(COUNTIF($K$2:K1695,K1695))&amp;K1695</f>
        <v>0</v>
      </c>
    </row>
    <row r="1696" spans="1:1" x14ac:dyDescent="0.25">
      <c r="A1696" t="str">
        <f>(COUNTIF($K$2:K1696,K1696))&amp;K1696</f>
        <v>0</v>
      </c>
    </row>
    <row r="1697" spans="1:1" x14ac:dyDescent="0.25">
      <c r="A1697" t="str">
        <f>(COUNTIF($K$2:K1697,K1697))&amp;K1697</f>
        <v>0</v>
      </c>
    </row>
    <row r="1698" spans="1:1" x14ac:dyDescent="0.25">
      <c r="A1698" t="str">
        <f>(COUNTIF($K$2:K1698,K1698))&amp;K1698</f>
        <v>0</v>
      </c>
    </row>
    <row r="1699" spans="1:1" x14ac:dyDescent="0.25">
      <c r="A1699" t="str">
        <f>(COUNTIF($K$2:K1699,K1699))&amp;K1699</f>
        <v>0</v>
      </c>
    </row>
    <row r="1700" spans="1:1" x14ac:dyDescent="0.25">
      <c r="A1700" t="str">
        <f>(COUNTIF($K$2:K1700,K1700))&amp;K1700</f>
        <v>0</v>
      </c>
    </row>
    <row r="1701" spans="1:1" x14ac:dyDescent="0.25">
      <c r="A1701" t="str">
        <f>(COUNTIF($K$2:K1701,K1701))&amp;K1701</f>
        <v>0</v>
      </c>
    </row>
    <row r="1702" spans="1:1" x14ac:dyDescent="0.25">
      <c r="A1702" t="str">
        <f>(COUNTIF($K$2:K1702,K1702))&amp;K1702</f>
        <v>0</v>
      </c>
    </row>
    <row r="1703" spans="1:1" x14ac:dyDescent="0.25">
      <c r="A1703" t="str">
        <f>(COUNTIF($K$2:K1703,K1703))&amp;K1703</f>
        <v>0</v>
      </c>
    </row>
    <row r="1704" spans="1:1" x14ac:dyDescent="0.25">
      <c r="A1704" t="str">
        <f>(COUNTIF($K$2:K1704,K1704))&amp;K1704</f>
        <v>0</v>
      </c>
    </row>
    <row r="1705" spans="1:1" x14ac:dyDescent="0.25">
      <c r="A1705" t="str">
        <f>(COUNTIF($K$2:K1705,K1705))&amp;K1705</f>
        <v>0</v>
      </c>
    </row>
    <row r="1706" spans="1:1" x14ac:dyDescent="0.25">
      <c r="A1706" t="str">
        <f>(COUNTIF($K$2:K1706,K1706))&amp;K1706</f>
        <v>0</v>
      </c>
    </row>
    <row r="1707" spans="1:1" x14ac:dyDescent="0.25">
      <c r="A1707" t="str">
        <f>(COUNTIF($K$2:K1707,K1707))&amp;K1707</f>
        <v>0</v>
      </c>
    </row>
    <row r="1708" spans="1:1" x14ac:dyDescent="0.25">
      <c r="A1708" t="str">
        <f>(COUNTIF($K$2:K1708,K1708))&amp;K1708</f>
        <v>0</v>
      </c>
    </row>
    <row r="1709" spans="1:1" x14ac:dyDescent="0.25">
      <c r="A1709" t="str">
        <f>(COUNTIF($K$2:K1709,K1709))&amp;K1709</f>
        <v>0</v>
      </c>
    </row>
    <row r="1710" spans="1:1" x14ac:dyDescent="0.25">
      <c r="A1710" t="str">
        <f>(COUNTIF($K$2:K1710,K1710))&amp;K1710</f>
        <v>0</v>
      </c>
    </row>
    <row r="1711" spans="1:1" x14ac:dyDescent="0.25">
      <c r="A1711" t="str">
        <f>(COUNTIF($K$2:K1711,K1711))&amp;K1711</f>
        <v>0</v>
      </c>
    </row>
    <row r="1712" spans="1:1" x14ac:dyDescent="0.25">
      <c r="A1712" t="str">
        <f>(COUNTIF($K$2:K1712,K1712))&amp;K1712</f>
        <v>0</v>
      </c>
    </row>
    <row r="1713" spans="1:1" x14ac:dyDescent="0.25">
      <c r="A1713" t="str">
        <f>(COUNTIF($K$2:K1713,K1713))&amp;K1713</f>
        <v>0</v>
      </c>
    </row>
    <row r="1714" spans="1:1" x14ac:dyDescent="0.25">
      <c r="A1714" t="str">
        <f>(COUNTIF($K$2:K1714,K1714))&amp;K1714</f>
        <v>0</v>
      </c>
    </row>
    <row r="1715" spans="1:1" x14ac:dyDescent="0.25">
      <c r="A1715" t="str">
        <f>(COUNTIF($K$2:K1715,K1715))&amp;K1715</f>
        <v>0</v>
      </c>
    </row>
    <row r="1716" spans="1:1" x14ac:dyDescent="0.25">
      <c r="A1716" t="str">
        <f>(COUNTIF($K$2:K1716,K1716))&amp;K1716</f>
        <v>0</v>
      </c>
    </row>
    <row r="1717" spans="1:1" x14ac:dyDescent="0.25">
      <c r="A1717" t="str">
        <f>(COUNTIF($K$2:K1717,K1717))&amp;K1717</f>
        <v>0</v>
      </c>
    </row>
    <row r="1718" spans="1:1" x14ac:dyDescent="0.25">
      <c r="A1718" t="str">
        <f>(COUNTIF($K$2:K1718,K1718))&amp;K1718</f>
        <v>0</v>
      </c>
    </row>
    <row r="1719" spans="1:1" x14ac:dyDescent="0.25">
      <c r="A1719" t="str">
        <f>(COUNTIF($K$2:K1719,K1719))&amp;K1719</f>
        <v>0</v>
      </c>
    </row>
    <row r="1720" spans="1:1" x14ac:dyDescent="0.25">
      <c r="A1720" t="str">
        <f>(COUNTIF($K$2:K1720,K1720))&amp;K1720</f>
        <v>0</v>
      </c>
    </row>
    <row r="1721" spans="1:1" x14ac:dyDescent="0.25">
      <c r="A1721" t="str">
        <f>(COUNTIF($K$2:K1721,K1721))&amp;K1721</f>
        <v>0</v>
      </c>
    </row>
    <row r="1722" spans="1:1" x14ac:dyDescent="0.25">
      <c r="A1722" t="str">
        <f>(COUNTIF($K$2:K1722,K1722))&amp;K1722</f>
        <v>0</v>
      </c>
    </row>
    <row r="1723" spans="1:1" x14ac:dyDescent="0.25">
      <c r="A1723" t="str">
        <f>(COUNTIF($K$2:K1723,K1723))&amp;K1723</f>
        <v>0</v>
      </c>
    </row>
    <row r="1724" spans="1:1" x14ac:dyDescent="0.25">
      <c r="A1724" t="str">
        <f>(COUNTIF($K$2:K1724,K1724))&amp;K1724</f>
        <v>0</v>
      </c>
    </row>
    <row r="1725" spans="1:1" x14ac:dyDescent="0.25">
      <c r="A1725" t="str">
        <f>(COUNTIF($K$2:K1725,K1725))&amp;K1725</f>
        <v>0</v>
      </c>
    </row>
    <row r="1726" spans="1:1" x14ac:dyDescent="0.25">
      <c r="A1726" t="str">
        <f>(COUNTIF($K$2:K1726,K1726))&amp;K1726</f>
        <v>0</v>
      </c>
    </row>
    <row r="1727" spans="1:1" x14ac:dyDescent="0.25">
      <c r="A1727" t="str">
        <f>(COUNTIF($K$2:K1727,K1727))&amp;K1727</f>
        <v>0</v>
      </c>
    </row>
    <row r="1728" spans="1:1" x14ac:dyDescent="0.25">
      <c r="A1728" t="str">
        <f>(COUNTIF($K$2:K1728,K1728))&amp;K1728</f>
        <v>0</v>
      </c>
    </row>
    <row r="1729" spans="1:1" x14ac:dyDescent="0.25">
      <c r="A1729" t="str">
        <f>(COUNTIF($K$2:K1729,K1729))&amp;K1729</f>
        <v>0</v>
      </c>
    </row>
    <row r="1730" spans="1:1" x14ac:dyDescent="0.25">
      <c r="A1730" t="str">
        <f>(COUNTIF($K$2:K1730,K1730))&amp;K1730</f>
        <v>0</v>
      </c>
    </row>
    <row r="1731" spans="1:1" x14ac:dyDescent="0.25">
      <c r="A1731" t="str">
        <f>(COUNTIF($K$2:K1731,K1731))&amp;K1731</f>
        <v>0</v>
      </c>
    </row>
    <row r="1732" spans="1:1" x14ac:dyDescent="0.25">
      <c r="A1732" t="str">
        <f>(COUNTIF($K$2:K1732,K1732))&amp;K1732</f>
        <v>0</v>
      </c>
    </row>
    <row r="1733" spans="1:1" x14ac:dyDescent="0.25">
      <c r="A1733" t="str">
        <f>(COUNTIF($K$2:K1733,K1733))&amp;K1733</f>
        <v>0</v>
      </c>
    </row>
    <row r="1734" spans="1:1" x14ac:dyDescent="0.25">
      <c r="A1734" t="str">
        <f>(COUNTIF($K$2:K1734,K1734))&amp;K1734</f>
        <v>0</v>
      </c>
    </row>
    <row r="1735" spans="1:1" x14ac:dyDescent="0.25">
      <c r="A1735" t="str">
        <f>(COUNTIF($K$2:K1735,K1735))&amp;K1735</f>
        <v>0</v>
      </c>
    </row>
    <row r="1736" spans="1:1" x14ac:dyDescent="0.25">
      <c r="A1736" t="str">
        <f>(COUNTIF($K$2:K1736,K1736))&amp;K1736</f>
        <v>0</v>
      </c>
    </row>
    <row r="1737" spans="1:1" x14ac:dyDescent="0.25">
      <c r="A1737" t="str">
        <f>(COUNTIF($K$2:K1737,K1737))&amp;K1737</f>
        <v>0</v>
      </c>
    </row>
    <row r="1738" spans="1:1" x14ac:dyDescent="0.25">
      <c r="A1738" t="str">
        <f>(COUNTIF($K$2:K1738,K1738))&amp;K1738</f>
        <v>0</v>
      </c>
    </row>
    <row r="1739" spans="1:1" x14ac:dyDescent="0.25">
      <c r="A1739" t="str">
        <f>(COUNTIF($K$2:K1739,K1739))&amp;K1739</f>
        <v>0</v>
      </c>
    </row>
    <row r="1740" spans="1:1" x14ac:dyDescent="0.25">
      <c r="A1740" t="str">
        <f>(COUNTIF($K$2:K1740,K1740))&amp;K1740</f>
        <v>0</v>
      </c>
    </row>
    <row r="1741" spans="1:1" x14ac:dyDescent="0.25">
      <c r="A1741" t="str">
        <f>(COUNTIF($K$2:K1741,K1741))&amp;K1741</f>
        <v>0</v>
      </c>
    </row>
    <row r="1742" spans="1:1" x14ac:dyDescent="0.25">
      <c r="A1742" t="str">
        <f>(COUNTIF($K$2:K1742,K1742))&amp;K1742</f>
        <v>0</v>
      </c>
    </row>
    <row r="1743" spans="1:1" x14ac:dyDescent="0.25">
      <c r="A1743" t="str">
        <f>(COUNTIF($K$2:K1743,K1743))&amp;K1743</f>
        <v>0</v>
      </c>
    </row>
    <row r="1744" spans="1:1" x14ac:dyDescent="0.25">
      <c r="A1744" t="str">
        <f>(COUNTIF($K$2:K1744,K1744))&amp;K1744</f>
        <v>0</v>
      </c>
    </row>
    <row r="1745" spans="1:1" x14ac:dyDescent="0.25">
      <c r="A1745" t="str">
        <f>(COUNTIF($K$2:K1745,K1745))&amp;K1745</f>
        <v>0</v>
      </c>
    </row>
    <row r="1746" spans="1:1" x14ac:dyDescent="0.25">
      <c r="A1746" t="str">
        <f>(COUNTIF($K$2:K1746,K1746))&amp;K1746</f>
        <v>0</v>
      </c>
    </row>
    <row r="1747" spans="1:1" x14ac:dyDescent="0.25">
      <c r="A1747" t="str">
        <f>(COUNTIF($K$2:K1747,K1747))&amp;K1747</f>
        <v>0</v>
      </c>
    </row>
    <row r="1748" spans="1:1" x14ac:dyDescent="0.25">
      <c r="A1748" t="str">
        <f>(COUNTIF($K$2:K1748,K1748))&amp;K1748</f>
        <v>0</v>
      </c>
    </row>
    <row r="1749" spans="1:1" x14ac:dyDescent="0.25">
      <c r="A1749" t="str">
        <f>(COUNTIF($K$2:K1749,K1749))&amp;K1749</f>
        <v>0</v>
      </c>
    </row>
    <row r="1750" spans="1:1" x14ac:dyDescent="0.25">
      <c r="A1750" t="str">
        <f>(COUNTIF($K$2:K1750,K1750))&amp;K1750</f>
        <v>0</v>
      </c>
    </row>
    <row r="1751" spans="1:1" x14ac:dyDescent="0.25">
      <c r="A1751" t="str">
        <f>(COUNTIF($K$2:K1751,K1751))&amp;K1751</f>
        <v>0</v>
      </c>
    </row>
    <row r="1752" spans="1:1" x14ac:dyDescent="0.25">
      <c r="A1752" t="str">
        <f>(COUNTIF($K$2:K1752,K1752))&amp;K1752</f>
        <v>0</v>
      </c>
    </row>
    <row r="1753" spans="1:1" x14ac:dyDescent="0.25">
      <c r="A1753" t="str">
        <f>(COUNTIF($K$2:K1753,K1753))&amp;K1753</f>
        <v>0</v>
      </c>
    </row>
    <row r="1754" spans="1:1" x14ac:dyDescent="0.25">
      <c r="A1754" t="str">
        <f>(COUNTIF($K$2:K1754,K1754))&amp;K1754</f>
        <v>0</v>
      </c>
    </row>
    <row r="1755" spans="1:1" x14ac:dyDescent="0.25">
      <c r="A1755" t="str">
        <f>(COUNTIF($K$2:K1755,K1755))&amp;K1755</f>
        <v>0</v>
      </c>
    </row>
    <row r="1756" spans="1:1" x14ac:dyDescent="0.25">
      <c r="A1756" t="str">
        <f>(COUNTIF($K$2:K1756,K1756))&amp;K1756</f>
        <v>0</v>
      </c>
    </row>
    <row r="1757" spans="1:1" x14ac:dyDescent="0.25">
      <c r="A1757" t="str">
        <f>(COUNTIF($K$2:K1757,K1757))&amp;K1757</f>
        <v>0</v>
      </c>
    </row>
    <row r="1758" spans="1:1" x14ac:dyDescent="0.25">
      <c r="A1758" t="str">
        <f>(COUNTIF($K$2:K1758,K1758))&amp;K1758</f>
        <v>0</v>
      </c>
    </row>
    <row r="1759" spans="1:1" x14ac:dyDescent="0.25">
      <c r="A1759" t="str">
        <f>(COUNTIF($K$2:K1759,K1759))&amp;K1759</f>
        <v>0</v>
      </c>
    </row>
    <row r="1760" spans="1:1" x14ac:dyDescent="0.25">
      <c r="A1760" t="str">
        <f>(COUNTIF($K$2:K1760,K1760))&amp;K1760</f>
        <v>0</v>
      </c>
    </row>
    <row r="1761" spans="1:1" x14ac:dyDescent="0.25">
      <c r="A1761" t="str">
        <f>(COUNTIF($K$2:K1761,K1761))&amp;K1761</f>
        <v>0</v>
      </c>
    </row>
    <row r="1762" spans="1:1" x14ac:dyDescent="0.25">
      <c r="A1762" t="str">
        <f>(COUNTIF($K$2:K1762,K1762))&amp;K1762</f>
        <v>0</v>
      </c>
    </row>
    <row r="1763" spans="1:1" x14ac:dyDescent="0.25">
      <c r="A1763" t="str">
        <f>(COUNTIF($K$2:K1763,K1763))&amp;K1763</f>
        <v>0</v>
      </c>
    </row>
    <row r="1764" spans="1:1" x14ac:dyDescent="0.25">
      <c r="A1764" t="str">
        <f>(COUNTIF($K$2:K1764,K1764))&amp;K1764</f>
        <v>0</v>
      </c>
    </row>
    <row r="1765" spans="1:1" x14ac:dyDescent="0.25">
      <c r="A1765" t="str">
        <f>(COUNTIF($K$2:K1765,K1765))&amp;K1765</f>
        <v>0</v>
      </c>
    </row>
    <row r="1766" spans="1:1" x14ac:dyDescent="0.25">
      <c r="A1766" t="str">
        <f>(COUNTIF($K$2:K1766,K1766))&amp;K1766</f>
        <v>0</v>
      </c>
    </row>
    <row r="1767" spans="1:1" x14ac:dyDescent="0.25">
      <c r="A1767" t="str">
        <f>(COUNTIF($K$2:K1767,K1767))&amp;K1767</f>
        <v>0</v>
      </c>
    </row>
    <row r="1768" spans="1:1" x14ac:dyDescent="0.25">
      <c r="A1768" t="str">
        <f>(COUNTIF($K$2:K1768,K1768))&amp;K1768</f>
        <v>0</v>
      </c>
    </row>
    <row r="1769" spans="1:1" x14ac:dyDescent="0.25">
      <c r="A1769" t="str">
        <f>(COUNTIF($K$2:K1769,K1769))&amp;K1769</f>
        <v>0</v>
      </c>
    </row>
    <row r="1770" spans="1:1" x14ac:dyDescent="0.25">
      <c r="A1770" t="str">
        <f>(COUNTIF($K$2:K1770,K1770))&amp;K1770</f>
        <v>0</v>
      </c>
    </row>
    <row r="1771" spans="1:1" x14ac:dyDescent="0.25">
      <c r="A1771" t="str">
        <f>(COUNTIF($K$2:K1771,K1771))&amp;K1771</f>
        <v>0</v>
      </c>
    </row>
    <row r="1772" spans="1:1" x14ac:dyDescent="0.25">
      <c r="A1772" t="str">
        <f>(COUNTIF($K$2:K1772,K1772))&amp;K1772</f>
        <v>0</v>
      </c>
    </row>
    <row r="1773" spans="1:1" x14ac:dyDescent="0.25">
      <c r="A1773" t="str">
        <f>(COUNTIF($K$2:K1773,K1773))&amp;K1773</f>
        <v>0</v>
      </c>
    </row>
    <row r="1774" spans="1:1" x14ac:dyDescent="0.25">
      <c r="A1774" t="str">
        <f>(COUNTIF($K$2:K1774,K1774))&amp;K1774</f>
        <v>0</v>
      </c>
    </row>
    <row r="1775" spans="1:1" x14ac:dyDescent="0.25">
      <c r="A1775" t="str">
        <f>(COUNTIF($K$2:K1775,K1775))&amp;K1775</f>
        <v>0</v>
      </c>
    </row>
    <row r="1776" spans="1:1" x14ac:dyDescent="0.25">
      <c r="A1776" t="str">
        <f>(COUNTIF($K$2:K1776,K1776))&amp;K1776</f>
        <v>0</v>
      </c>
    </row>
    <row r="1777" spans="1:1" x14ac:dyDescent="0.25">
      <c r="A1777" t="str">
        <f>(COUNTIF($K$2:K1777,K1777))&amp;K1777</f>
        <v>0</v>
      </c>
    </row>
    <row r="1778" spans="1:1" x14ac:dyDescent="0.25">
      <c r="A1778" t="str">
        <f>(COUNTIF($K$2:K1778,K1778))&amp;K1778</f>
        <v>0</v>
      </c>
    </row>
    <row r="1779" spans="1:1" x14ac:dyDescent="0.25">
      <c r="A1779" t="str">
        <f>(COUNTIF($K$2:K1779,K1779))&amp;K1779</f>
        <v>0</v>
      </c>
    </row>
    <row r="1780" spans="1:1" x14ac:dyDescent="0.25">
      <c r="A1780" t="str">
        <f>(COUNTIF($K$2:K1780,K1780))&amp;K1780</f>
        <v>0</v>
      </c>
    </row>
    <row r="1781" spans="1:1" x14ac:dyDescent="0.25">
      <c r="A1781" t="str">
        <f>(COUNTIF($K$2:K1781,K1781))&amp;K1781</f>
        <v>0</v>
      </c>
    </row>
    <row r="1782" spans="1:1" x14ac:dyDescent="0.25">
      <c r="A1782" t="str">
        <f>(COUNTIF($K$2:K1782,K1782))&amp;K1782</f>
        <v>0</v>
      </c>
    </row>
    <row r="1783" spans="1:1" x14ac:dyDescent="0.25">
      <c r="A1783" t="str">
        <f>(COUNTIF($K$2:K1783,K1783))&amp;K1783</f>
        <v>0</v>
      </c>
    </row>
    <row r="1784" spans="1:1" x14ac:dyDescent="0.25">
      <c r="A1784" t="str">
        <f>(COUNTIF($K$2:K1784,K1784))&amp;K1784</f>
        <v>0</v>
      </c>
    </row>
    <row r="1785" spans="1:1" x14ac:dyDescent="0.25">
      <c r="A1785" t="str">
        <f>(COUNTIF($K$2:K1785,K1785))&amp;K1785</f>
        <v>0</v>
      </c>
    </row>
    <row r="1786" spans="1:1" x14ac:dyDescent="0.25">
      <c r="A1786" t="str">
        <f>(COUNTIF($K$2:K1786,K1786))&amp;K1786</f>
        <v>0</v>
      </c>
    </row>
    <row r="1787" spans="1:1" x14ac:dyDescent="0.25">
      <c r="A1787" t="str">
        <f>(COUNTIF($K$2:K1787,K1787))&amp;K1787</f>
        <v>0</v>
      </c>
    </row>
    <row r="1788" spans="1:1" x14ac:dyDescent="0.25">
      <c r="A1788" t="str">
        <f>(COUNTIF($K$2:K1788,K1788))&amp;K1788</f>
        <v>0</v>
      </c>
    </row>
    <row r="1789" spans="1:1" x14ac:dyDescent="0.25">
      <c r="A1789" t="str">
        <f>(COUNTIF($K$2:K1789,K1789))&amp;K1789</f>
        <v>0</v>
      </c>
    </row>
    <row r="1790" spans="1:1" x14ac:dyDescent="0.25">
      <c r="A1790" t="str">
        <f>(COUNTIF($K$2:K1790,K1790))&amp;K1790</f>
        <v>0</v>
      </c>
    </row>
    <row r="1791" spans="1:1" x14ac:dyDescent="0.25">
      <c r="A1791" t="str">
        <f>(COUNTIF($K$2:K1791,K1791))&amp;K1791</f>
        <v>0</v>
      </c>
    </row>
    <row r="1792" spans="1:1" x14ac:dyDescent="0.25">
      <c r="A1792" t="str">
        <f>(COUNTIF($K$2:K1792,K1792))&amp;K1792</f>
        <v>0</v>
      </c>
    </row>
    <row r="1793" spans="1:1" x14ac:dyDescent="0.25">
      <c r="A1793" t="str">
        <f>(COUNTIF($K$2:K1793,K1793))&amp;K1793</f>
        <v>0</v>
      </c>
    </row>
    <row r="1794" spans="1:1" x14ac:dyDescent="0.25">
      <c r="A1794" t="str">
        <f>(COUNTIF($K$2:K1794,K1794))&amp;K1794</f>
        <v>0</v>
      </c>
    </row>
    <row r="1795" spans="1:1" x14ac:dyDescent="0.25">
      <c r="A1795" t="str">
        <f>(COUNTIF($K$2:K1795,K1795))&amp;K1795</f>
        <v>0</v>
      </c>
    </row>
    <row r="1796" spans="1:1" x14ac:dyDescent="0.25">
      <c r="A1796" t="str">
        <f>(COUNTIF($K$2:K1796,K1796))&amp;K1796</f>
        <v>0</v>
      </c>
    </row>
    <row r="1797" spans="1:1" x14ac:dyDescent="0.25">
      <c r="A1797" t="str">
        <f>(COUNTIF($K$2:K1797,K1797))&amp;K1797</f>
        <v>0</v>
      </c>
    </row>
    <row r="1798" spans="1:1" x14ac:dyDescent="0.25">
      <c r="A1798" t="str">
        <f>(COUNTIF($K$2:K1798,K1798))&amp;K1798</f>
        <v>0</v>
      </c>
    </row>
    <row r="1799" spans="1:1" x14ac:dyDescent="0.25">
      <c r="A1799" t="str">
        <f>(COUNTIF($K$2:K1799,K1799))&amp;K1799</f>
        <v>0</v>
      </c>
    </row>
    <row r="1800" spans="1:1" x14ac:dyDescent="0.25">
      <c r="A1800" t="str">
        <f>(COUNTIF($K$2:K1800,K1800))&amp;K1800</f>
        <v>0</v>
      </c>
    </row>
    <row r="1801" spans="1:1" x14ac:dyDescent="0.25">
      <c r="A1801" t="str">
        <f>(COUNTIF($K$2:K1801,K1801))&amp;K1801</f>
        <v>0</v>
      </c>
    </row>
    <row r="1802" spans="1:1" x14ac:dyDescent="0.25">
      <c r="A1802" t="str">
        <f>(COUNTIF($K$2:K1802,K1802))&amp;K1802</f>
        <v>0</v>
      </c>
    </row>
    <row r="1803" spans="1:1" x14ac:dyDescent="0.25">
      <c r="A1803" t="str">
        <f>(COUNTIF($K$2:K1803,K1803))&amp;K1803</f>
        <v>0</v>
      </c>
    </row>
    <row r="1804" spans="1:1" x14ac:dyDescent="0.25">
      <c r="A1804" t="str">
        <f>(COUNTIF($K$2:K1804,K1804))&amp;K1804</f>
        <v>0</v>
      </c>
    </row>
    <row r="1805" spans="1:1" x14ac:dyDescent="0.25">
      <c r="A1805" t="str">
        <f>(COUNTIF($K$2:K1805,K1805))&amp;K1805</f>
        <v>0</v>
      </c>
    </row>
    <row r="1806" spans="1:1" x14ac:dyDescent="0.25">
      <c r="A1806" t="str">
        <f>(COUNTIF($K$2:K1806,K1806))&amp;K1806</f>
        <v>0</v>
      </c>
    </row>
    <row r="1807" spans="1:1" x14ac:dyDescent="0.25">
      <c r="A1807" t="str">
        <f>(COUNTIF($K$2:K1807,K1807))&amp;K1807</f>
        <v>0</v>
      </c>
    </row>
    <row r="1808" spans="1:1" x14ac:dyDescent="0.25">
      <c r="A1808" t="str">
        <f>(COUNTIF($K$2:K1808,K1808))&amp;K1808</f>
        <v>0</v>
      </c>
    </row>
    <row r="1809" spans="1:1" x14ac:dyDescent="0.25">
      <c r="A1809" t="str">
        <f>(COUNTIF($K$2:K1809,K1809))&amp;K1809</f>
        <v>0</v>
      </c>
    </row>
    <row r="1810" spans="1:1" x14ac:dyDescent="0.25">
      <c r="A1810" t="str">
        <f>(COUNTIF($K$2:K1810,K1810))&amp;K1810</f>
        <v>0</v>
      </c>
    </row>
    <row r="1811" spans="1:1" x14ac:dyDescent="0.25">
      <c r="A1811" t="str">
        <f>(COUNTIF($K$2:K1811,K1811))&amp;K1811</f>
        <v>0</v>
      </c>
    </row>
    <row r="1812" spans="1:1" x14ac:dyDescent="0.25">
      <c r="A1812" t="str">
        <f>(COUNTIF($K$2:K1812,K1812))&amp;K1812</f>
        <v>0</v>
      </c>
    </row>
    <row r="1813" spans="1:1" x14ac:dyDescent="0.25">
      <c r="A1813" t="str">
        <f>(COUNTIF($K$2:K1813,K1813))&amp;K1813</f>
        <v>0</v>
      </c>
    </row>
    <row r="1814" spans="1:1" x14ac:dyDescent="0.25">
      <c r="A1814" t="str">
        <f>(COUNTIF($K$2:K1814,K1814))&amp;K1814</f>
        <v>0</v>
      </c>
    </row>
    <row r="1815" spans="1:1" x14ac:dyDescent="0.25">
      <c r="A1815" t="str">
        <f>(COUNTIF($K$2:K1815,K1815))&amp;K1815</f>
        <v>0</v>
      </c>
    </row>
    <row r="1816" spans="1:1" x14ac:dyDescent="0.25">
      <c r="A1816" t="str">
        <f>(COUNTIF($K$2:K1816,K1816))&amp;K1816</f>
        <v>0</v>
      </c>
    </row>
    <row r="1817" spans="1:1" x14ac:dyDescent="0.25">
      <c r="A1817" t="str">
        <f>(COUNTIF($K$2:K1817,K1817))&amp;K1817</f>
        <v>0</v>
      </c>
    </row>
    <row r="1818" spans="1:1" x14ac:dyDescent="0.25">
      <c r="A1818" t="str">
        <f>(COUNTIF($K$2:K1818,K1818))&amp;K1818</f>
        <v>0</v>
      </c>
    </row>
    <row r="1819" spans="1:1" x14ac:dyDescent="0.25">
      <c r="A1819" t="str">
        <f>(COUNTIF($K$2:K1819,K1819))&amp;K1819</f>
        <v>0</v>
      </c>
    </row>
    <row r="1820" spans="1:1" x14ac:dyDescent="0.25">
      <c r="A1820" t="str">
        <f>(COUNTIF($K$2:K1820,K1820))&amp;K1820</f>
        <v>0</v>
      </c>
    </row>
    <row r="1821" spans="1:1" x14ac:dyDescent="0.25">
      <c r="A1821" t="str">
        <f>(COUNTIF($K$2:K1821,K1821))&amp;K1821</f>
        <v>0</v>
      </c>
    </row>
    <row r="1822" spans="1:1" x14ac:dyDescent="0.25">
      <c r="A1822" t="str">
        <f>(COUNTIF($K$2:K1822,K1822))&amp;K1822</f>
        <v>0</v>
      </c>
    </row>
    <row r="1823" spans="1:1" x14ac:dyDescent="0.25">
      <c r="A1823" t="str">
        <f>(COUNTIF($K$2:K1823,K1823))&amp;K1823</f>
        <v>0</v>
      </c>
    </row>
    <row r="1824" spans="1:1" x14ac:dyDescent="0.25">
      <c r="A1824" t="str">
        <f>(COUNTIF($K$2:K1824,K1824))&amp;K1824</f>
        <v>0</v>
      </c>
    </row>
    <row r="1825" spans="1:1" x14ac:dyDescent="0.25">
      <c r="A1825" t="str">
        <f>(COUNTIF($K$2:K1825,K1825))&amp;K1825</f>
        <v>0</v>
      </c>
    </row>
    <row r="1826" spans="1:1" x14ac:dyDescent="0.25">
      <c r="A1826" t="str">
        <f>(COUNTIF($K$2:K1826,K1826))&amp;K1826</f>
        <v>0</v>
      </c>
    </row>
    <row r="1827" spans="1:1" x14ac:dyDescent="0.25">
      <c r="A1827" t="str">
        <f>(COUNTIF($K$2:K1827,K1827))&amp;K1827</f>
        <v>0</v>
      </c>
    </row>
    <row r="1828" spans="1:1" x14ac:dyDescent="0.25">
      <c r="A1828" t="str">
        <f>(COUNTIF($K$2:K1828,K1828))&amp;K1828</f>
        <v>0</v>
      </c>
    </row>
    <row r="1829" spans="1:1" x14ac:dyDescent="0.25">
      <c r="A1829" t="str">
        <f>(COUNTIF($K$2:K1829,K1829))&amp;K1829</f>
        <v>0</v>
      </c>
    </row>
    <row r="1830" spans="1:1" x14ac:dyDescent="0.25">
      <c r="A1830" t="str">
        <f>(COUNTIF($K$2:K1830,K1830))&amp;K1830</f>
        <v>0</v>
      </c>
    </row>
    <row r="1831" spans="1:1" x14ac:dyDescent="0.25">
      <c r="A1831" t="str">
        <f>(COUNTIF($K$2:K1831,K1831))&amp;K1831</f>
        <v>0</v>
      </c>
    </row>
    <row r="1832" spans="1:1" x14ac:dyDescent="0.25">
      <c r="A1832" t="str">
        <f>(COUNTIF($K$2:K1832,K1832))&amp;K1832</f>
        <v>0</v>
      </c>
    </row>
    <row r="1833" spans="1:1" x14ac:dyDescent="0.25">
      <c r="A1833" t="str">
        <f>(COUNTIF($K$2:K1833,K1833))&amp;K1833</f>
        <v>0</v>
      </c>
    </row>
    <row r="1834" spans="1:1" x14ac:dyDescent="0.25">
      <c r="A1834" t="str">
        <f>(COUNTIF($K$2:K1834,K1834))&amp;K1834</f>
        <v>0</v>
      </c>
    </row>
    <row r="1835" spans="1:1" x14ac:dyDescent="0.25">
      <c r="A1835" t="str">
        <f>(COUNTIF($K$2:K1835,K1835))&amp;K1835</f>
        <v>0</v>
      </c>
    </row>
    <row r="1836" spans="1:1" x14ac:dyDescent="0.25">
      <c r="A1836" t="str">
        <f>(COUNTIF($K$2:K1836,K1836))&amp;K1836</f>
        <v>0</v>
      </c>
    </row>
    <row r="1837" spans="1:1" x14ac:dyDescent="0.25">
      <c r="A1837" t="str">
        <f>(COUNTIF($K$2:K1837,K1837))&amp;K1837</f>
        <v>0</v>
      </c>
    </row>
    <row r="1838" spans="1:1" x14ac:dyDescent="0.25">
      <c r="A1838" t="str">
        <f>(COUNTIF($K$2:K1838,K1838))&amp;K1838</f>
        <v>0</v>
      </c>
    </row>
    <row r="1839" spans="1:1" x14ac:dyDescent="0.25">
      <c r="A1839" t="str">
        <f>(COUNTIF($K$2:K1839,K1839))&amp;K1839</f>
        <v>0</v>
      </c>
    </row>
    <row r="1840" spans="1:1" x14ac:dyDescent="0.25">
      <c r="A1840" t="str">
        <f>(COUNTIF($K$2:K1840,K1840))&amp;K1840</f>
        <v>0</v>
      </c>
    </row>
    <row r="1841" spans="1:1" x14ac:dyDescent="0.25">
      <c r="A1841" t="str">
        <f>(COUNTIF($K$2:K1841,K1841))&amp;K1841</f>
        <v>0</v>
      </c>
    </row>
    <row r="1842" spans="1:1" x14ac:dyDescent="0.25">
      <c r="A1842" t="str">
        <f>(COUNTIF($K$2:K1842,K1842))&amp;K1842</f>
        <v>0</v>
      </c>
    </row>
    <row r="1843" spans="1:1" x14ac:dyDescent="0.25">
      <c r="A1843" t="str">
        <f>(COUNTIF($K$2:K1843,K1843))&amp;K1843</f>
        <v>0</v>
      </c>
    </row>
    <row r="1844" spans="1:1" x14ac:dyDescent="0.25">
      <c r="A1844" t="str">
        <f>(COUNTIF($K$2:K1844,K1844))&amp;K1844</f>
        <v>0</v>
      </c>
    </row>
    <row r="1845" spans="1:1" x14ac:dyDescent="0.25">
      <c r="A1845" t="str">
        <f>(COUNTIF($K$2:K1845,K1845))&amp;K1845</f>
        <v>0</v>
      </c>
    </row>
    <row r="1846" spans="1:1" x14ac:dyDescent="0.25">
      <c r="A1846" t="str">
        <f>(COUNTIF($K$2:K1846,K1846))&amp;K1846</f>
        <v>0</v>
      </c>
    </row>
    <row r="1847" spans="1:1" x14ac:dyDescent="0.25">
      <c r="A1847" t="str">
        <f>(COUNTIF($K$2:K1847,K1847))&amp;K1847</f>
        <v>0</v>
      </c>
    </row>
    <row r="1848" spans="1:1" x14ac:dyDescent="0.25">
      <c r="A1848" t="str">
        <f>(COUNTIF($K$2:K1848,K1848))&amp;K1848</f>
        <v>0</v>
      </c>
    </row>
    <row r="1849" spans="1:1" x14ac:dyDescent="0.25">
      <c r="A1849" t="str">
        <f>(COUNTIF($K$2:K1849,K1849))&amp;K1849</f>
        <v>0</v>
      </c>
    </row>
    <row r="1850" spans="1:1" x14ac:dyDescent="0.25">
      <c r="A1850" t="str">
        <f>(COUNTIF($K$2:K1850,K1850))&amp;K1850</f>
        <v>0</v>
      </c>
    </row>
    <row r="1851" spans="1:1" x14ac:dyDescent="0.25">
      <c r="A1851" t="str">
        <f>(COUNTIF($K$2:K1851,K1851))&amp;K1851</f>
        <v>0</v>
      </c>
    </row>
    <row r="1852" spans="1:1" x14ac:dyDescent="0.25">
      <c r="A1852" t="str">
        <f>(COUNTIF($K$2:K1852,K1852))&amp;K1852</f>
        <v>0</v>
      </c>
    </row>
    <row r="1853" spans="1:1" x14ac:dyDescent="0.25">
      <c r="A1853" t="str">
        <f>(COUNTIF($K$2:K1853,K1853))&amp;K1853</f>
        <v>0</v>
      </c>
    </row>
    <row r="1854" spans="1:1" x14ac:dyDescent="0.25">
      <c r="A1854" t="str">
        <f>(COUNTIF($K$2:K1854,K1854))&amp;K1854</f>
        <v>0</v>
      </c>
    </row>
    <row r="1855" spans="1:1" x14ac:dyDescent="0.25">
      <c r="A1855" t="str">
        <f>(COUNTIF($K$2:K1855,K1855))&amp;K1855</f>
        <v>0</v>
      </c>
    </row>
    <row r="1856" spans="1:1" x14ac:dyDescent="0.25">
      <c r="A1856" t="str">
        <f>(COUNTIF($K$2:K1856,K1856))&amp;K1856</f>
        <v>0</v>
      </c>
    </row>
    <row r="1857" spans="1:1" x14ac:dyDescent="0.25">
      <c r="A1857" t="str">
        <f>(COUNTIF($K$2:K1857,K1857))&amp;K1857</f>
        <v>0</v>
      </c>
    </row>
    <row r="1858" spans="1:1" x14ac:dyDescent="0.25">
      <c r="A1858" t="str">
        <f>(COUNTIF($K$2:K1858,K1858))&amp;K1858</f>
        <v>0</v>
      </c>
    </row>
    <row r="1859" spans="1:1" x14ac:dyDescent="0.25">
      <c r="A1859" t="str">
        <f>(COUNTIF($K$2:K1859,K1859))&amp;K1859</f>
        <v>0</v>
      </c>
    </row>
    <row r="1860" spans="1:1" x14ac:dyDescent="0.25">
      <c r="A1860" t="str">
        <f>(COUNTIF($K$2:K1860,K1860))&amp;K1860</f>
        <v>0</v>
      </c>
    </row>
    <row r="1861" spans="1:1" x14ac:dyDescent="0.25">
      <c r="A1861" t="str">
        <f>(COUNTIF($K$2:K1861,K1861))&amp;K1861</f>
        <v>0</v>
      </c>
    </row>
    <row r="1862" spans="1:1" x14ac:dyDescent="0.25">
      <c r="A1862" t="str">
        <f>(COUNTIF($K$2:K1862,K1862))&amp;K1862</f>
        <v>0</v>
      </c>
    </row>
    <row r="1863" spans="1:1" x14ac:dyDescent="0.25">
      <c r="A1863" t="str">
        <f>(COUNTIF($K$2:K1863,K1863))&amp;K1863</f>
        <v>0</v>
      </c>
    </row>
    <row r="1864" spans="1:1" x14ac:dyDescent="0.25">
      <c r="A1864" t="str">
        <f>(COUNTIF($K$2:K1864,K1864))&amp;K1864</f>
        <v>0</v>
      </c>
    </row>
    <row r="1865" spans="1:1" x14ac:dyDescent="0.25">
      <c r="A1865" t="str">
        <f>(COUNTIF($K$2:K1865,K1865))&amp;K1865</f>
        <v>0</v>
      </c>
    </row>
    <row r="1866" spans="1:1" x14ac:dyDescent="0.25">
      <c r="A1866" t="str">
        <f>(COUNTIF($K$2:K1866,K1866))&amp;K1866</f>
        <v>0</v>
      </c>
    </row>
    <row r="1867" spans="1:1" x14ac:dyDescent="0.25">
      <c r="A1867" t="str">
        <f>(COUNTIF($K$2:K1867,K1867))&amp;K1867</f>
        <v>0</v>
      </c>
    </row>
    <row r="1868" spans="1:1" x14ac:dyDescent="0.25">
      <c r="A1868" t="str">
        <f>(COUNTIF($K$2:K1868,K1868))&amp;K1868</f>
        <v>0</v>
      </c>
    </row>
    <row r="1869" spans="1:1" x14ac:dyDescent="0.25">
      <c r="A1869" t="str">
        <f>(COUNTIF($K$2:K1869,K1869))&amp;K1869</f>
        <v>0</v>
      </c>
    </row>
    <row r="1870" spans="1:1" x14ac:dyDescent="0.25">
      <c r="A1870" t="str">
        <f>(COUNTIF($K$2:K1870,K1870))&amp;K1870</f>
        <v>0</v>
      </c>
    </row>
    <row r="1871" spans="1:1" x14ac:dyDescent="0.25">
      <c r="A1871" t="str">
        <f>(COUNTIF($K$2:K1871,K1871))&amp;K1871</f>
        <v>0</v>
      </c>
    </row>
    <row r="1872" spans="1:1" x14ac:dyDescent="0.25">
      <c r="A1872" t="str">
        <f>(COUNTIF($K$2:K1872,K1872))&amp;K1872</f>
        <v>0</v>
      </c>
    </row>
    <row r="1873" spans="1:1" x14ac:dyDescent="0.25">
      <c r="A1873" t="str">
        <f>(COUNTIF($K$2:K1873,K1873))&amp;K1873</f>
        <v>0</v>
      </c>
    </row>
    <row r="1874" spans="1:1" x14ac:dyDescent="0.25">
      <c r="A1874" t="str">
        <f>(COUNTIF($K$2:K1874,K1874))&amp;K1874</f>
        <v>0</v>
      </c>
    </row>
    <row r="1875" spans="1:1" x14ac:dyDescent="0.25">
      <c r="A1875" t="str">
        <f>(COUNTIF($K$2:K1875,K1875))&amp;K1875</f>
        <v>0</v>
      </c>
    </row>
    <row r="1876" spans="1:1" x14ac:dyDescent="0.25">
      <c r="A1876" t="str">
        <f>(COUNTIF($K$2:K1876,K1876))&amp;K1876</f>
        <v>0</v>
      </c>
    </row>
    <row r="1877" spans="1:1" x14ac:dyDescent="0.25">
      <c r="A1877" t="str">
        <f>(COUNTIF($K$2:K1877,K1877))&amp;K1877</f>
        <v>0</v>
      </c>
    </row>
    <row r="1878" spans="1:1" x14ac:dyDescent="0.25">
      <c r="A1878" t="str">
        <f>(COUNTIF($K$2:K1878,K1878))&amp;K1878</f>
        <v>0</v>
      </c>
    </row>
    <row r="1879" spans="1:1" x14ac:dyDescent="0.25">
      <c r="A1879" t="str">
        <f>(COUNTIF($K$2:K1879,K1879))&amp;K1879</f>
        <v>0</v>
      </c>
    </row>
    <row r="1880" spans="1:1" x14ac:dyDescent="0.25">
      <c r="A1880" t="str">
        <f>(COUNTIF($K$2:K1880,K1880))&amp;K1880</f>
        <v>0</v>
      </c>
    </row>
    <row r="1881" spans="1:1" x14ac:dyDescent="0.25">
      <c r="A1881" t="str">
        <f>(COUNTIF($K$2:K1881,K1881))&amp;K1881</f>
        <v>0</v>
      </c>
    </row>
    <row r="1882" spans="1:1" x14ac:dyDescent="0.25">
      <c r="A1882" t="str">
        <f>(COUNTIF($K$2:K1882,K1882))&amp;K1882</f>
        <v>0</v>
      </c>
    </row>
    <row r="1883" spans="1:1" x14ac:dyDescent="0.25">
      <c r="A1883" t="str">
        <f>(COUNTIF($K$2:K1883,K1883))&amp;K1883</f>
        <v>0</v>
      </c>
    </row>
    <row r="1884" spans="1:1" x14ac:dyDescent="0.25">
      <c r="A1884" t="str">
        <f>(COUNTIF($K$2:K1884,K1884))&amp;K1884</f>
        <v>0</v>
      </c>
    </row>
    <row r="1885" spans="1:1" x14ac:dyDescent="0.25">
      <c r="A1885" t="str">
        <f>(COUNTIF($K$2:K1885,K1885))&amp;K1885</f>
        <v>0</v>
      </c>
    </row>
    <row r="1886" spans="1:1" x14ac:dyDescent="0.25">
      <c r="A1886" t="str">
        <f>(COUNTIF($K$2:K1886,K1886))&amp;K1886</f>
        <v>0</v>
      </c>
    </row>
    <row r="1887" spans="1:1" x14ac:dyDescent="0.25">
      <c r="A1887" t="str">
        <f>(COUNTIF($K$2:K1887,K1887))&amp;K1887</f>
        <v>0</v>
      </c>
    </row>
    <row r="1888" spans="1:1" x14ac:dyDescent="0.25">
      <c r="A1888" t="str">
        <f>(COUNTIF($K$2:K1888,K1888))&amp;K1888</f>
        <v>0</v>
      </c>
    </row>
    <row r="1889" spans="1:1" x14ac:dyDescent="0.25">
      <c r="A1889" t="str">
        <f>(COUNTIF($K$2:K1889,K1889))&amp;K1889</f>
        <v>0</v>
      </c>
    </row>
    <row r="1890" spans="1:1" x14ac:dyDescent="0.25">
      <c r="A1890" t="str">
        <f>(COUNTIF($K$2:K1890,K1890))&amp;K1890</f>
        <v>0</v>
      </c>
    </row>
    <row r="1891" spans="1:1" x14ac:dyDescent="0.25">
      <c r="A1891" t="str">
        <f>(COUNTIF($K$2:K1891,K1891))&amp;K1891</f>
        <v>0</v>
      </c>
    </row>
    <row r="1892" spans="1:1" x14ac:dyDescent="0.25">
      <c r="A1892" t="str">
        <f>(COUNTIF($K$2:K1892,K1892))&amp;K1892</f>
        <v>0</v>
      </c>
    </row>
    <row r="1893" spans="1:1" x14ac:dyDescent="0.25">
      <c r="A1893" t="str">
        <f>(COUNTIF($K$2:K1893,K1893))&amp;K1893</f>
        <v>0</v>
      </c>
    </row>
    <row r="1894" spans="1:1" x14ac:dyDescent="0.25">
      <c r="A1894" t="str">
        <f>(COUNTIF($K$2:K1894,K1894))&amp;K1894</f>
        <v>0</v>
      </c>
    </row>
    <row r="1895" spans="1:1" x14ac:dyDescent="0.25">
      <c r="A1895" t="str">
        <f>(COUNTIF($K$2:K1895,K1895))&amp;K1895</f>
        <v>0</v>
      </c>
    </row>
    <row r="1896" spans="1:1" x14ac:dyDescent="0.25">
      <c r="A1896" t="str">
        <f>(COUNTIF($K$2:K1896,K1896))&amp;K1896</f>
        <v>0</v>
      </c>
    </row>
    <row r="1897" spans="1:1" x14ac:dyDescent="0.25">
      <c r="A1897" t="str">
        <f>(COUNTIF($K$2:K1897,K1897))&amp;K1897</f>
        <v>0</v>
      </c>
    </row>
    <row r="1898" spans="1:1" x14ac:dyDescent="0.25">
      <c r="A1898" t="str">
        <f>(COUNTIF($K$2:K1898,K1898))&amp;K1898</f>
        <v>0</v>
      </c>
    </row>
    <row r="1899" spans="1:1" x14ac:dyDescent="0.25">
      <c r="A1899" t="str">
        <f>(COUNTIF($K$2:K1899,K1899))&amp;K1899</f>
        <v>0</v>
      </c>
    </row>
    <row r="1900" spans="1:1" x14ac:dyDescent="0.25">
      <c r="A1900" t="str">
        <f>(COUNTIF($K$2:K1900,K1900))&amp;K1900</f>
        <v>0</v>
      </c>
    </row>
    <row r="1901" spans="1:1" x14ac:dyDescent="0.25">
      <c r="A1901" t="str">
        <f>(COUNTIF($K$2:K1901,K1901))&amp;K1901</f>
        <v>0</v>
      </c>
    </row>
    <row r="1902" spans="1:1" x14ac:dyDescent="0.25">
      <c r="A1902" t="str">
        <f>(COUNTIF($K$2:K1902,K1902))&amp;K1902</f>
        <v>0</v>
      </c>
    </row>
    <row r="1903" spans="1:1" x14ac:dyDescent="0.25">
      <c r="A1903" t="str">
        <f>(COUNTIF($K$2:K1903,K1903))&amp;K1903</f>
        <v>0</v>
      </c>
    </row>
    <row r="1904" spans="1:1" x14ac:dyDescent="0.25">
      <c r="A1904" t="str">
        <f>(COUNTIF($K$2:K1904,K1904))&amp;K1904</f>
        <v>0</v>
      </c>
    </row>
    <row r="1905" spans="1:1" x14ac:dyDescent="0.25">
      <c r="A1905" t="str">
        <f>(COUNTIF($K$2:K1905,K1905))&amp;K1905</f>
        <v>0</v>
      </c>
    </row>
    <row r="1906" spans="1:1" x14ac:dyDescent="0.25">
      <c r="A1906" t="str">
        <f>(COUNTIF($K$2:K1906,K1906))&amp;K1906</f>
        <v>0</v>
      </c>
    </row>
    <row r="1907" spans="1:1" x14ac:dyDescent="0.25">
      <c r="A1907" t="str">
        <f>(COUNTIF($K$2:K1907,K1907))&amp;K1907</f>
        <v>0</v>
      </c>
    </row>
    <row r="1908" spans="1:1" x14ac:dyDescent="0.25">
      <c r="A1908" t="str">
        <f>(COUNTIF($K$2:K1908,K1908))&amp;K1908</f>
        <v>0</v>
      </c>
    </row>
    <row r="1909" spans="1:1" x14ac:dyDescent="0.25">
      <c r="A1909" t="str">
        <f>(COUNTIF($K$2:K1909,K1909))&amp;K1909</f>
        <v>0</v>
      </c>
    </row>
    <row r="1910" spans="1:1" x14ac:dyDescent="0.25">
      <c r="A1910" t="str">
        <f>(COUNTIF($K$2:K1910,K1910))&amp;K1910</f>
        <v>0</v>
      </c>
    </row>
    <row r="1911" spans="1:1" x14ac:dyDescent="0.25">
      <c r="A1911" t="str">
        <f>(COUNTIF($K$2:K1911,K1911))&amp;K1911</f>
        <v>0</v>
      </c>
    </row>
    <row r="1912" spans="1:1" x14ac:dyDescent="0.25">
      <c r="A1912" t="str">
        <f>(COUNTIF($K$2:K1912,K1912))&amp;K1912</f>
        <v>0</v>
      </c>
    </row>
    <row r="1913" spans="1:1" x14ac:dyDescent="0.25">
      <c r="A1913" t="str">
        <f>(COUNTIF($K$2:K1913,K1913))&amp;K1913</f>
        <v>0</v>
      </c>
    </row>
    <row r="1914" spans="1:1" x14ac:dyDescent="0.25">
      <c r="A1914" t="str">
        <f>(COUNTIF($K$2:K1914,K1914))&amp;K1914</f>
        <v>0</v>
      </c>
    </row>
    <row r="1915" spans="1:1" x14ac:dyDescent="0.25">
      <c r="A1915" t="str">
        <f>(COUNTIF($K$2:K1915,K1915))&amp;K1915</f>
        <v>0</v>
      </c>
    </row>
    <row r="1916" spans="1:1" x14ac:dyDescent="0.25">
      <c r="A1916" t="str">
        <f>(COUNTIF($K$2:K1916,K1916))&amp;K1916</f>
        <v>0</v>
      </c>
    </row>
    <row r="1917" spans="1:1" x14ac:dyDescent="0.25">
      <c r="A1917" t="str">
        <f>(COUNTIF($K$2:K1917,K1917))&amp;K1917</f>
        <v>0</v>
      </c>
    </row>
    <row r="1918" spans="1:1" x14ac:dyDescent="0.25">
      <c r="A1918" t="str">
        <f>(COUNTIF($K$2:K1918,K1918))&amp;K1918</f>
        <v>0</v>
      </c>
    </row>
    <row r="1919" spans="1:1" x14ac:dyDescent="0.25">
      <c r="A1919" t="str">
        <f>(COUNTIF($K$2:K1919,K1919))&amp;K1919</f>
        <v>0</v>
      </c>
    </row>
    <row r="1920" spans="1:1" x14ac:dyDescent="0.25">
      <c r="A1920" t="str">
        <f>(COUNTIF($K$2:K1920,K1920))&amp;K1920</f>
        <v>0</v>
      </c>
    </row>
    <row r="1921" spans="1:1" x14ac:dyDescent="0.25">
      <c r="A1921" t="str">
        <f>(COUNTIF($K$2:K1921,K1921))&amp;K1921</f>
        <v>0</v>
      </c>
    </row>
    <row r="1922" spans="1:1" x14ac:dyDescent="0.25">
      <c r="A1922" t="str">
        <f>(COUNTIF($K$2:K1922,K1922))&amp;K1922</f>
        <v>0</v>
      </c>
    </row>
    <row r="1923" spans="1:1" x14ac:dyDescent="0.25">
      <c r="A1923" t="str">
        <f>(COUNTIF($K$2:K1923,K1923))&amp;K1923</f>
        <v>0</v>
      </c>
    </row>
    <row r="1924" spans="1:1" x14ac:dyDescent="0.25">
      <c r="A1924" t="str">
        <f>(COUNTIF($K$2:K1924,K1924))&amp;K1924</f>
        <v>0</v>
      </c>
    </row>
    <row r="1925" spans="1:1" x14ac:dyDescent="0.25">
      <c r="A1925" t="str">
        <f>(COUNTIF($K$2:K1925,K1925))&amp;K1925</f>
        <v>0</v>
      </c>
    </row>
    <row r="1926" spans="1:1" x14ac:dyDescent="0.25">
      <c r="A1926" t="str">
        <f>(COUNTIF($K$2:K1926,K1926))&amp;K1926</f>
        <v>0</v>
      </c>
    </row>
    <row r="1927" spans="1:1" x14ac:dyDescent="0.25">
      <c r="A1927" t="str">
        <f>(COUNTIF($K$2:K1927,K1927))&amp;K1927</f>
        <v>0</v>
      </c>
    </row>
    <row r="1928" spans="1:1" x14ac:dyDescent="0.25">
      <c r="A1928" t="str">
        <f>(COUNTIF($K$2:K1928,K1928))&amp;K1928</f>
        <v>0</v>
      </c>
    </row>
    <row r="1929" spans="1:1" x14ac:dyDescent="0.25">
      <c r="A1929" t="str">
        <f>(COUNTIF($K$2:K1929,K1929))&amp;K1929</f>
        <v>0</v>
      </c>
    </row>
    <row r="1930" spans="1:1" x14ac:dyDescent="0.25">
      <c r="A1930" t="str">
        <f>(COUNTIF($K$2:K1930,K1930))&amp;K1930</f>
        <v>0</v>
      </c>
    </row>
    <row r="1931" spans="1:1" x14ac:dyDescent="0.25">
      <c r="A1931" t="str">
        <f>(COUNTIF($K$2:K1931,K1931))&amp;K1931</f>
        <v>0</v>
      </c>
    </row>
    <row r="1932" spans="1:1" x14ac:dyDescent="0.25">
      <c r="A1932" t="str">
        <f>(COUNTIF($K$2:K1932,K1932))&amp;K1932</f>
        <v>0</v>
      </c>
    </row>
    <row r="1933" spans="1:1" x14ac:dyDescent="0.25">
      <c r="A1933" t="str">
        <f>(COUNTIF($K$2:K1933,K1933))&amp;K1933</f>
        <v>0</v>
      </c>
    </row>
    <row r="1934" spans="1:1" x14ac:dyDescent="0.25">
      <c r="A1934" t="str">
        <f>(COUNTIF($K$2:K1934,K1934))&amp;K1934</f>
        <v>0</v>
      </c>
    </row>
    <row r="1935" spans="1:1" x14ac:dyDescent="0.25">
      <c r="A1935" t="str">
        <f>(COUNTIF($K$2:K1935,K1935))&amp;K1935</f>
        <v>0</v>
      </c>
    </row>
    <row r="1936" spans="1:1" x14ac:dyDescent="0.25">
      <c r="A1936" t="str">
        <f>(COUNTIF($K$2:K1936,K1936))&amp;K1936</f>
        <v>0</v>
      </c>
    </row>
    <row r="1937" spans="1:1" x14ac:dyDescent="0.25">
      <c r="A1937" t="str">
        <f>(COUNTIF($K$2:K1937,K1937))&amp;K1937</f>
        <v>0</v>
      </c>
    </row>
    <row r="1938" spans="1:1" x14ac:dyDescent="0.25">
      <c r="A1938" t="str">
        <f>(COUNTIF($K$2:K1938,K1938))&amp;K1938</f>
        <v>0</v>
      </c>
    </row>
    <row r="1939" spans="1:1" x14ac:dyDescent="0.25">
      <c r="A1939" t="str">
        <f>(COUNTIF($K$2:K1939,K1939))&amp;K1939</f>
        <v>0</v>
      </c>
    </row>
    <row r="1940" spans="1:1" x14ac:dyDescent="0.25">
      <c r="A1940" t="str">
        <f>(COUNTIF($K$2:K1940,K1940))&amp;K1940</f>
        <v>0</v>
      </c>
    </row>
    <row r="1941" spans="1:1" x14ac:dyDescent="0.25">
      <c r="A1941" t="str">
        <f>(COUNTIF($K$2:K1941,K1941))&amp;K1941</f>
        <v>0</v>
      </c>
    </row>
    <row r="1942" spans="1:1" x14ac:dyDescent="0.25">
      <c r="A1942" t="str">
        <f>(COUNTIF($K$2:K1942,K1942))&amp;K1942</f>
        <v>0</v>
      </c>
    </row>
    <row r="1943" spans="1:1" x14ac:dyDescent="0.25">
      <c r="A1943" t="str">
        <f>(COUNTIF($K$2:K1943,K1943))&amp;K1943</f>
        <v>0</v>
      </c>
    </row>
    <row r="1944" spans="1:1" x14ac:dyDescent="0.25">
      <c r="A1944" t="str">
        <f>(COUNTIF($K$2:K1944,K1944))&amp;K1944</f>
        <v>0</v>
      </c>
    </row>
    <row r="1945" spans="1:1" x14ac:dyDescent="0.25">
      <c r="A1945" t="str">
        <f>(COUNTIF($K$2:K1945,K1945))&amp;K1945</f>
        <v>0</v>
      </c>
    </row>
    <row r="1946" spans="1:1" x14ac:dyDescent="0.25">
      <c r="A1946" t="str">
        <f>(COUNTIF($K$2:K1946,K1946))&amp;K1946</f>
        <v>0</v>
      </c>
    </row>
    <row r="1947" spans="1:1" x14ac:dyDescent="0.25">
      <c r="A1947" t="str">
        <f>(COUNTIF($K$2:K1947,K1947))&amp;K1947</f>
        <v>0</v>
      </c>
    </row>
    <row r="1948" spans="1:1" x14ac:dyDescent="0.25">
      <c r="A1948" t="str">
        <f>(COUNTIF($K$2:K1948,K1948))&amp;K1948</f>
        <v>0</v>
      </c>
    </row>
    <row r="1949" spans="1:1" x14ac:dyDescent="0.25">
      <c r="A1949" t="str">
        <f>(COUNTIF($K$2:K1949,K1949))&amp;K1949</f>
        <v>0</v>
      </c>
    </row>
    <row r="1950" spans="1:1" x14ac:dyDescent="0.25">
      <c r="A1950" t="str">
        <f>(COUNTIF($K$2:K1950,K1950))&amp;K1950</f>
        <v>0</v>
      </c>
    </row>
    <row r="1951" spans="1:1" x14ac:dyDescent="0.25">
      <c r="A1951" t="str">
        <f>(COUNTIF($K$2:K1951,K1951))&amp;K1951</f>
        <v>0</v>
      </c>
    </row>
    <row r="1952" spans="1:1" x14ac:dyDescent="0.25">
      <c r="A1952" t="str">
        <f>(COUNTIF($K$2:K1952,K1952))&amp;K1952</f>
        <v>0</v>
      </c>
    </row>
    <row r="1953" spans="1:1" x14ac:dyDescent="0.25">
      <c r="A1953" t="str">
        <f>(COUNTIF($K$2:K1953,K1953))&amp;K1953</f>
        <v>0</v>
      </c>
    </row>
    <row r="1954" spans="1:1" x14ac:dyDescent="0.25">
      <c r="A1954" t="str">
        <f>(COUNTIF($K$2:K1954,K1954))&amp;K1954</f>
        <v>0</v>
      </c>
    </row>
    <row r="1955" spans="1:1" x14ac:dyDescent="0.25">
      <c r="A1955" t="str">
        <f>(COUNTIF($K$2:K1955,K1955))&amp;K1955</f>
        <v>0</v>
      </c>
    </row>
    <row r="1956" spans="1:1" x14ac:dyDescent="0.25">
      <c r="A1956" t="str">
        <f>(COUNTIF($K$2:K1956,K1956))&amp;K1956</f>
        <v>0</v>
      </c>
    </row>
    <row r="1957" spans="1:1" x14ac:dyDescent="0.25">
      <c r="A1957" t="str">
        <f>(COUNTIF($K$2:K1957,K1957))&amp;K1957</f>
        <v>0</v>
      </c>
    </row>
    <row r="1958" spans="1:1" x14ac:dyDescent="0.25">
      <c r="A1958" t="str">
        <f>(COUNTIF($K$2:K1958,K1958))&amp;K1958</f>
        <v>0</v>
      </c>
    </row>
    <row r="1959" spans="1:1" x14ac:dyDescent="0.25">
      <c r="A1959" t="str">
        <f>(COUNTIF($K$2:K1959,K1959))&amp;K1959</f>
        <v>0</v>
      </c>
    </row>
    <row r="1960" spans="1:1" x14ac:dyDescent="0.25">
      <c r="A1960" t="str">
        <f>(COUNTIF($K$2:K1960,K1960))&amp;K1960</f>
        <v>0</v>
      </c>
    </row>
    <row r="1961" spans="1:1" x14ac:dyDescent="0.25">
      <c r="A1961" t="str">
        <f>(COUNTIF($K$2:K1961,K1961))&amp;K1961</f>
        <v>0</v>
      </c>
    </row>
    <row r="1962" spans="1:1" x14ac:dyDescent="0.25">
      <c r="A1962" t="str">
        <f>(COUNTIF($K$2:K1962,K1962))&amp;K1962</f>
        <v>0</v>
      </c>
    </row>
    <row r="1963" spans="1:1" x14ac:dyDescent="0.25">
      <c r="A1963" t="str">
        <f>(COUNTIF($K$2:K1963,K1963))&amp;K1963</f>
        <v>0</v>
      </c>
    </row>
    <row r="1964" spans="1:1" x14ac:dyDescent="0.25">
      <c r="A1964" t="str">
        <f>(COUNTIF($K$2:K1964,K1964))&amp;K1964</f>
        <v>0</v>
      </c>
    </row>
    <row r="1965" spans="1:1" x14ac:dyDescent="0.25">
      <c r="A1965" t="str">
        <f>(COUNTIF($K$2:K1965,K1965))&amp;K1965</f>
        <v>0</v>
      </c>
    </row>
    <row r="1966" spans="1:1" x14ac:dyDescent="0.25">
      <c r="A1966" t="str">
        <f>(COUNTIF($K$2:K1966,K1966))&amp;K1966</f>
        <v>0</v>
      </c>
    </row>
    <row r="1967" spans="1:1" x14ac:dyDescent="0.25">
      <c r="A1967" t="str">
        <f>(COUNTIF($K$2:K1967,K1967))&amp;K1967</f>
        <v>0</v>
      </c>
    </row>
    <row r="1968" spans="1:1" x14ac:dyDescent="0.25">
      <c r="A1968" t="str">
        <f>(COUNTIF($K$2:K1968,K1968))&amp;K1968</f>
        <v>0</v>
      </c>
    </row>
    <row r="1969" spans="1:1" x14ac:dyDescent="0.25">
      <c r="A1969" t="str">
        <f>(COUNTIF($K$2:K1969,K1969))&amp;K1969</f>
        <v>0</v>
      </c>
    </row>
    <row r="1970" spans="1:1" x14ac:dyDescent="0.25">
      <c r="A1970" t="str">
        <f>(COUNTIF($K$2:K1970,K1970))&amp;K1970</f>
        <v>0</v>
      </c>
    </row>
    <row r="1971" spans="1:1" x14ac:dyDescent="0.25">
      <c r="A1971" t="str">
        <f>(COUNTIF($K$2:K1971,K1971))&amp;K1971</f>
        <v>0</v>
      </c>
    </row>
    <row r="1972" spans="1:1" x14ac:dyDescent="0.25">
      <c r="A1972" t="str">
        <f>(COUNTIF($K$2:K1972,K1972))&amp;K1972</f>
        <v>0</v>
      </c>
    </row>
    <row r="1973" spans="1:1" x14ac:dyDescent="0.25">
      <c r="A1973" t="str">
        <f>(COUNTIF($K$2:K1973,K1973))&amp;K1973</f>
        <v>0</v>
      </c>
    </row>
    <row r="1974" spans="1:1" x14ac:dyDescent="0.25">
      <c r="A1974" t="str">
        <f>(COUNTIF($K$2:K1974,K1974))&amp;K1974</f>
        <v>0</v>
      </c>
    </row>
    <row r="1975" spans="1:1" x14ac:dyDescent="0.25">
      <c r="A1975" t="str">
        <f>(COUNTIF($K$2:K1975,K1975))&amp;K1975</f>
        <v>0</v>
      </c>
    </row>
    <row r="1976" spans="1:1" x14ac:dyDescent="0.25">
      <c r="A1976" t="str">
        <f>(COUNTIF($K$2:K1976,K1976))&amp;K1976</f>
        <v>0</v>
      </c>
    </row>
    <row r="1977" spans="1:1" x14ac:dyDescent="0.25">
      <c r="A1977" t="str">
        <f>(COUNTIF($K$2:K1977,K1977))&amp;K1977</f>
        <v>0</v>
      </c>
    </row>
    <row r="1978" spans="1:1" x14ac:dyDescent="0.25">
      <c r="A1978" t="str">
        <f>(COUNTIF($K$2:K1978,K1978))&amp;K1978</f>
        <v>0</v>
      </c>
    </row>
    <row r="1979" spans="1:1" x14ac:dyDescent="0.25">
      <c r="A1979" t="str">
        <f>(COUNTIF($K$2:K1979,K1979))&amp;K1979</f>
        <v>0</v>
      </c>
    </row>
    <row r="1980" spans="1:1" x14ac:dyDescent="0.25">
      <c r="A1980" t="str">
        <f>(COUNTIF($K$2:K1980,K1980))&amp;K1980</f>
        <v>0</v>
      </c>
    </row>
    <row r="1981" spans="1:1" x14ac:dyDescent="0.25">
      <c r="A1981" t="str">
        <f>(COUNTIF($K$2:K1981,K1981))&amp;K1981</f>
        <v>0</v>
      </c>
    </row>
    <row r="1982" spans="1:1" x14ac:dyDescent="0.25">
      <c r="A1982" t="str">
        <f>(COUNTIF($K$2:K1982,K1982))&amp;K1982</f>
        <v>0</v>
      </c>
    </row>
    <row r="1983" spans="1:1" x14ac:dyDescent="0.25">
      <c r="A1983" t="str">
        <f>(COUNTIF($K$2:K1983,K1983))&amp;K1983</f>
        <v>0</v>
      </c>
    </row>
    <row r="1984" spans="1:1" x14ac:dyDescent="0.25">
      <c r="A1984" t="str">
        <f>(COUNTIF($K$2:K1984,K1984))&amp;K1984</f>
        <v>0</v>
      </c>
    </row>
    <row r="1985" spans="1:1" x14ac:dyDescent="0.25">
      <c r="A1985" t="str">
        <f>(COUNTIF($K$2:K1985,K1985))&amp;K1985</f>
        <v>0</v>
      </c>
    </row>
    <row r="1986" spans="1:1" x14ac:dyDescent="0.25">
      <c r="A1986" t="str">
        <f>(COUNTIF($K$2:K1986,K1986))&amp;K1986</f>
        <v>0</v>
      </c>
    </row>
    <row r="1987" spans="1:1" x14ac:dyDescent="0.25">
      <c r="A1987" t="str">
        <f>(COUNTIF($K$2:K1987,K1987))&amp;K1987</f>
        <v>0</v>
      </c>
    </row>
    <row r="1988" spans="1:1" x14ac:dyDescent="0.25">
      <c r="A1988" t="str">
        <f>(COUNTIF($K$2:K1988,K1988))&amp;K1988</f>
        <v>0</v>
      </c>
    </row>
    <row r="1989" spans="1:1" x14ac:dyDescent="0.25">
      <c r="A1989" t="str">
        <f>(COUNTIF($K$2:K1989,K1989))&amp;K1989</f>
        <v>0</v>
      </c>
    </row>
    <row r="1990" spans="1:1" x14ac:dyDescent="0.25">
      <c r="A1990" t="str">
        <f>(COUNTIF($K$2:K1990,K1990))&amp;K1990</f>
        <v>0</v>
      </c>
    </row>
    <row r="1991" spans="1:1" x14ac:dyDescent="0.25">
      <c r="A1991" t="str">
        <f>(COUNTIF($K$2:K1991,K1991))&amp;K1991</f>
        <v>0</v>
      </c>
    </row>
    <row r="1992" spans="1:1" x14ac:dyDescent="0.25">
      <c r="A1992" t="str">
        <f>(COUNTIF($K$2:K1992,K1992))&amp;K1992</f>
        <v>0</v>
      </c>
    </row>
    <row r="1993" spans="1:1" x14ac:dyDescent="0.25">
      <c r="A1993" t="str">
        <f>(COUNTIF($K$2:K1993,K1993))&amp;K1993</f>
        <v>0</v>
      </c>
    </row>
    <row r="1994" spans="1:1" x14ac:dyDescent="0.25">
      <c r="A1994" t="str">
        <f>(COUNTIF($K$2:K1994,K1994))&amp;K1994</f>
        <v>0</v>
      </c>
    </row>
    <row r="1995" spans="1:1" x14ac:dyDescent="0.25">
      <c r="A1995" t="str">
        <f>(COUNTIF($K$2:K1995,K1995))&amp;K1995</f>
        <v>0</v>
      </c>
    </row>
    <row r="1996" spans="1:1" x14ac:dyDescent="0.25">
      <c r="A1996" t="str">
        <f>(COUNTIF($K$2:K1996,K1996))&amp;K1996</f>
        <v>0</v>
      </c>
    </row>
    <row r="1997" spans="1:1" x14ac:dyDescent="0.25">
      <c r="A1997" t="str">
        <f>(COUNTIF($K$2:K1997,K1997))&amp;K1997</f>
        <v>0</v>
      </c>
    </row>
    <row r="1998" spans="1:1" x14ac:dyDescent="0.25">
      <c r="A1998" t="str">
        <f>(COUNTIF($K$2:K1998,K1998))&amp;K1998</f>
        <v>0</v>
      </c>
    </row>
    <row r="1999" spans="1:1" x14ac:dyDescent="0.25">
      <c r="A1999" t="str">
        <f>(COUNTIF($K$2:K1999,K1999))&amp;K1999</f>
        <v>0</v>
      </c>
    </row>
    <row r="2000" spans="1:1" x14ac:dyDescent="0.25">
      <c r="A2000" t="str">
        <f>(COUNTIF($K$2:K2000,K2000))&amp;K2000</f>
        <v>0</v>
      </c>
    </row>
    <row r="2001" spans="1:1" x14ac:dyDescent="0.25">
      <c r="A2001" t="str">
        <f>(COUNTIF($K$2:K2001,K2001))&amp;K2001</f>
        <v>0</v>
      </c>
    </row>
    <row r="2002" spans="1:1" x14ac:dyDescent="0.25">
      <c r="A2002" t="str">
        <f>(COUNTIF($K$2:K2002,K2002))&amp;K2002</f>
        <v>0</v>
      </c>
    </row>
    <row r="2003" spans="1:1" x14ac:dyDescent="0.25">
      <c r="A2003" t="str">
        <f>(COUNTIF($K$2:K2003,K2003))&amp;K2003</f>
        <v>0</v>
      </c>
    </row>
    <row r="2004" spans="1:1" x14ac:dyDescent="0.25">
      <c r="A2004" t="str">
        <f>(COUNTIF($K$2:K2004,K2004))&amp;K2004</f>
        <v>0</v>
      </c>
    </row>
    <row r="2005" spans="1:1" x14ac:dyDescent="0.25">
      <c r="A2005" t="str">
        <f>(COUNTIF($K$2:K2005,K2005))&amp;K2005</f>
        <v>0</v>
      </c>
    </row>
    <row r="2006" spans="1:1" x14ac:dyDescent="0.25">
      <c r="A2006" t="str">
        <f>(COUNTIF($K$2:K2006,K2006))&amp;K2006</f>
        <v>0</v>
      </c>
    </row>
    <row r="2007" spans="1:1" x14ac:dyDescent="0.25">
      <c r="A2007" t="str">
        <f>(COUNTIF($K$2:K2007,K2007))&amp;K2007</f>
        <v>0</v>
      </c>
    </row>
    <row r="2008" spans="1:1" x14ac:dyDescent="0.25">
      <c r="A2008" t="str">
        <f>(COUNTIF($K$2:K2008,K2008))&amp;K2008</f>
        <v>0</v>
      </c>
    </row>
    <row r="2009" spans="1:1" x14ac:dyDescent="0.25">
      <c r="A2009" t="str">
        <f>(COUNTIF($K$2:K2009,K2009))&amp;K2009</f>
        <v>0</v>
      </c>
    </row>
    <row r="2010" spans="1:1" x14ac:dyDescent="0.25">
      <c r="A2010" t="str">
        <f>(COUNTIF($K$2:K2010,K2010))&amp;K2010</f>
        <v>0</v>
      </c>
    </row>
    <row r="2011" spans="1:1" x14ac:dyDescent="0.25">
      <c r="A2011" t="str">
        <f>(COUNTIF($K$2:K2011,K2011))&amp;K2011</f>
        <v>0</v>
      </c>
    </row>
    <row r="2012" spans="1:1" x14ac:dyDescent="0.25">
      <c r="A2012" t="str">
        <f>(COUNTIF($K$2:K2012,K2012))&amp;K2012</f>
        <v>0</v>
      </c>
    </row>
    <row r="2013" spans="1:1" x14ac:dyDescent="0.25">
      <c r="A2013" t="str">
        <f>(COUNTIF($K$2:K2013,K2013))&amp;K2013</f>
        <v>0</v>
      </c>
    </row>
    <row r="2014" spans="1:1" x14ac:dyDescent="0.25">
      <c r="A2014" t="str">
        <f>(COUNTIF($K$2:K2014,K2014))&amp;K2014</f>
        <v>0</v>
      </c>
    </row>
    <row r="2015" spans="1:1" x14ac:dyDescent="0.25">
      <c r="A2015" t="str">
        <f>(COUNTIF($K$2:K2015,K2015))&amp;K2015</f>
        <v>0</v>
      </c>
    </row>
    <row r="2016" spans="1:1" x14ac:dyDescent="0.25">
      <c r="A2016" t="str">
        <f>(COUNTIF($K$2:K2016,K2016))&amp;K2016</f>
        <v>0</v>
      </c>
    </row>
    <row r="2017" spans="1:1" x14ac:dyDescent="0.25">
      <c r="A2017" t="str">
        <f>(COUNTIF($K$2:K2017,K2017))&amp;K2017</f>
        <v>0</v>
      </c>
    </row>
    <row r="2018" spans="1:1" x14ac:dyDescent="0.25">
      <c r="A2018" t="str">
        <f>(COUNTIF($K$2:K2018,K2018))&amp;K2018</f>
        <v>0</v>
      </c>
    </row>
    <row r="2019" spans="1:1" x14ac:dyDescent="0.25">
      <c r="A2019" t="str">
        <f>(COUNTIF($K$2:K2019,K2019))&amp;K2019</f>
        <v>0</v>
      </c>
    </row>
    <row r="2020" spans="1:1" x14ac:dyDescent="0.25">
      <c r="A2020" t="str">
        <f>(COUNTIF($K$2:K2020,K2020))&amp;K2020</f>
        <v>0</v>
      </c>
    </row>
    <row r="2021" spans="1:1" x14ac:dyDescent="0.25">
      <c r="A2021" t="str">
        <f>(COUNTIF($K$2:K2021,K2021))&amp;K2021</f>
        <v>0</v>
      </c>
    </row>
    <row r="2022" spans="1:1" x14ac:dyDescent="0.25">
      <c r="A2022" t="str">
        <f>(COUNTIF($K$2:K2022,K2022))&amp;K2022</f>
        <v>0</v>
      </c>
    </row>
    <row r="2023" spans="1:1" x14ac:dyDescent="0.25">
      <c r="A2023" t="str">
        <f>(COUNTIF($K$2:K2023,K2023))&amp;K2023</f>
        <v>0</v>
      </c>
    </row>
    <row r="2024" spans="1:1" x14ac:dyDescent="0.25">
      <c r="A2024" t="str">
        <f>(COUNTIF($K$2:K2024,K2024))&amp;K2024</f>
        <v>0</v>
      </c>
    </row>
    <row r="2025" spans="1:1" x14ac:dyDescent="0.25">
      <c r="A2025" t="str">
        <f>(COUNTIF($K$2:K2025,K2025))&amp;K2025</f>
        <v>0</v>
      </c>
    </row>
    <row r="2026" spans="1:1" x14ac:dyDescent="0.25">
      <c r="A2026" t="str">
        <f>(COUNTIF($K$2:K2026,K2026))&amp;K2026</f>
        <v>0</v>
      </c>
    </row>
    <row r="2027" spans="1:1" x14ac:dyDescent="0.25">
      <c r="A2027" t="str">
        <f>(COUNTIF($K$2:K2027,K2027))&amp;K2027</f>
        <v>0</v>
      </c>
    </row>
    <row r="2028" spans="1:1" x14ac:dyDescent="0.25">
      <c r="A2028" t="str">
        <f>(COUNTIF($K$2:K2028,K2028))&amp;K2028</f>
        <v>0</v>
      </c>
    </row>
    <row r="2029" spans="1:1" x14ac:dyDescent="0.25">
      <c r="A2029" t="str">
        <f>(COUNTIF($K$2:K2029,K2029))&amp;K2029</f>
        <v>0</v>
      </c>
    </row>
    <row r="2030" spans="1:1" x14ac:dyDescent="0.25">
      <c r="A2030" t="str">
        <f>(COUNTIF($K$2:K2030,K2030))&amp;K2030</f>
        <v>0</v>
      </c>
    </row>
    <row r="2031" spans="1:1" x14ac:dyDescent="0.25">
      <c r="A2031" t="str">
        <f>(COUNTIF($K$2:K2031,K2031))&amp;K2031</f>
        <v>0</v>
      </c>
    </row>
    <row r="2032" spans="1:1" x14ac:dyDescent="0.25">
      <c r="A2032" t="str">
        <f>(COUNTIF($K$2:K2032,K2032))&amp;K2032</f>
        <v>0</v>
      </c>
    </row>
    <row r="2033" spans="1:1" x14ac:dyDescent="0.25">
      <c r="A2033" t="str">
        <f>(COUNTIF($K$2:K2033,K2033))&amp;K2033</f>
        <v>0</v>
      </c>
    </row>
    <row r="2034" spans="1:1" x14ac:dyDescent="0.25">
      <c r="A2034" t="str">
        <f>(COUNTIF($K$2:K2034,K2034))&amp;K2034</f>
        <v>0</v>
      </c>
    </row>
    <row r="2035" spans="1:1" x14ac:dyDescent="0.25">
      <c r="A2035" t="str">
        <f>(COUNTIF($K$2:K2035,K2035))&amp;K2035</f>
        <v>0</v>
      </c>
    </row>
    <row r="2036" spans="1:1" x14ac:dyDescent="0.25">
      <c r="A2036" t="str">
        <f>(COUNTIF($K$2:K2036,K2036))&amp;K2036</f>
        <v>0</v>
      </c>
    </row>
    <row r="2037" spans="1:1" x14ac:dyDescent="0.25">
      <c r="A2037" t="str">
        <f>(COUNTIF($K$2:K2037,K2037))&amp;K2037</f>
        <v>0</v>
      </c>
    </row>
    <row r="2038" spans="1:1" x14ac:dyDescent="0.25">
      <c r="A2038" t="str">
        <f>(COUNTIF($K$2:K2038,K2038))&amp;K2038</f>
        <v>0</v>
      </c>
    </row>
    <row r="2039" spans="1:1" x14ac:dyDescent="0.25">
      <c r="A2039" t="str">
        <f>(COUNTIF($K$2:K2039,K2039))&amp;K2039</f>
        <v>0</v>
      </c>
    </row>
    <row r="2040" spans="1:1" x14ac:dyDescent="0.25">
      <c r="A2040" t="str">
        <f>(COUNTIF($K$2:K2040,K2040))&amp;K2040</f>
        <v>0</v>
      </c>
    </row>
    <row r="2041" spans="1:1" x14ac:dyDescent="0.25">
      <c r="A2041" t="str">
        <f>(COUNTIF($K$2:K2041,K2041))&amp;K2041</f>
        <v>0</v>
      </c>
    </row>
    <row r="2042" spans="1:1" x14ac:dyDescent="0.25">
      <c r="A2042" t="str">
        <f>(COUNTIF($K$2:K2042,K2042))&amp;K2042</f>
        <v>0</v>
      </c>
    </row>
    <row r="2043" spans="1:1" x14ac:dyDescent="0.25">
      <c r="A2043" t="str">
        <f>(COUNTIF($K$2:K2043,K2043))&amp;K2043</f>
        <v>0</v>
      </c>
    </row>
    <row r="2044" spans="1:1" x14ac:dyDescent="0.25">
      <c r="A2044" t="str">
        <f>(COUNTIF($K$2:K2044,K2044))&amp;K2044</f>
        <v>0</v>
      </c>
    </row>
    <row r="2045" spans="1:1" x14ac:dyDescent="0.25">
      <c r="A2045" t="str">
        <f>(COUNTIF($K$2:K2045,K2045))&amp;K2045</f>
        <v>0</v>
      </c>
    </row>
    <row r="2046" spans="1:1" x14ac:dyDescent="0.25">
      <c r="A2046" t="str">
        <f>(COUNTIF($K$2:K2046,K2046))&amp;K2046</f>
        <v>0</v>
      </c>
    </row>
    <row r="2047" spans="1:1" x14ac:dyDescent="0.25">
      <c r="A2047" t="str">
        <f>(COUNTIF($K$2:K2047,K2047))&amp;K2047</f>
        <v>0</v>
      </c>
    </row>
    <row r="2048" spans="1:1" x14ac:dyDescent="0.25">
      <c r="A2048" t="str">
        <f>(COUNTIF($K$2:K2048,K2048))&amp;K2048</f>
        <v>0</v>
      </c>
    </row>
    <row r="2049" spans="1:1" x14ac:dyDescent="0.25">
      <c r="A2049" t="str">
        <f>(COUNTIF($K$2:K2049,K2049))&amp;K2049</f>
        <v>0</v>
      </c>
    </row>
    <row r="2050" spans="1:1" x14ac:dyDescent="0.25">
      <c r="A2050" t="str">
        <f>(COUNTIF($K$2:K2050,K2050))&amp;K2050</f>
        <v>0</v>
      </c>
    </row>
    <row r="2051" spans="1:1" x14ac:dyDescent="0.25">
      <c r="A2051" t="str">
        <f>(COUNTIF($K$2:K2051,K2051))&amp;K2051</f>
        <v>0</v>
      </c>
    </row>
    <row r="2052" spans="1:1" x14ac:dyDescent="0.25">
      <c r="A2052" t="str">
        <f>(COUNTIF($K$2:K2052,K2052))&amp;K2052</f>
        <v>0</v>
      </c>
    </row>
    <row r="2053" spans="1:1" x14ac:dyDescent="0.25">
      <c r="A2053" t="str">
        <f>(COUNTIF($K$2:K2053,K2053))&amp;K2053</f>
        <v>0</v>
      </c>
    </row>
    <row r="2054" spans="1:1" x14ac:dyDescent="0.25">
      <c r="A2054" t="str">
        <f>(COUNTIF($K$2:K2054,K2054))&amp;K2054</f>
        <v>0</v>
      </c>
    </row>
    <row r="2055" spans="1:1" x14ac:dyDescent="0.25">
      <c r="A2055" t="str">
        <f>(COUNTIF($K$2:K2055,K2055))&amp;K2055</f>
        <v>0</v>
      </c>
    </row>
    <row r="2056" spans="1:1" x14ac:dyDescent="0.25">
      <c r="A2056" t="str">
        <f>(COUNTIF($K$2:K2056,K2056))&amp;K2056</f>
        <v>0</v>
      </c>
    </row>
    <row r="2057" spans="1:1" x14ac:dyDescent="0.25">
      <c r="A2057" t="str">
        <f>(COUNTIF($K$2:K2057,K2057))&amp;K2057</f>
        <v>0</v>
      </c>
    </row>
    <row r="2058" spans="1:1" x14ac:dyDescent="0.25">
      <c r="A2058" t="str">
        <f>(COUNTIF($K$2:K2058,K2058))&amp;K2058</f>
        <v>0</v>
      </c>
    </row>
    <row r="2059" spans="1:1" x14ac:dyDescent="0.25">
      <c r="A2059" t="str">
        <f>(COUNTIF($K$2:K2059,K2059))&amp;K2059</f>
        <v>0</v>
      </c>
    </row>
    <row r="2060" spans="1:1" x14ac:dyDescent="0.25">
      <c r="A2060" t="str">
        <f>(COUNTIF($K$2:K2060,K2060))&amp;K2060</f>
        <v>0</v>
      </c>
    </row>
    <row r="2061" spans="1:1" x14ac:dyDescent="0.25">
      <c r="A2061" t="str">
        <f>(COUNTIF($K$2:K2061,K2061))&amp;K2061</f>
        <v>0</v>
      </c>
    </row>
    <row r="2062" spans="1:1" x14ac:dyDescent="0.25">
      <c r="A2062" t="str">
        <f>(COUNTIF($K$2:K2062,K2062))&amp;K2062</f>
        <v>0</v>
      </c>
    </row>
    <row r="2063" spans="1:1" x14ac:dyDescent="0.25">
      <c r="A2063" t="str">
        <f>(COUNTIF($K$2:K2063,K2063))&amp;K2063</f>
        <v>0</v>
      </c>
    </row>
    <row r="2064" spans="1:1" x14ac:dyDescent="0.25">
      <c r="A2064" t="str">
        <f>(COUNTIF($K$2:K2064,K2064))&amp;K2064</f>
        <v>0</v>
      </c>
    </row>
    <row r="2065" spans="1:1" x14ac:dyDescent="0.25">
      <c r="A2065" t="str">
        <f>(COUNTIF($K$2:K2065,K2065))&amp;K2065</f>
        <v>0</v>
      </c>
    </row>
    <row r="2066" spans="1:1" x14ac:dyDescent="0.25">
      <c r="A2066" t="str">
        <f>(COUNTIF($K$2:K2066,K2066))&amp;K2066</f>
        <v>0</v>
      </c>
    </row>
    <row r="2067" spans="1:1" x14ac:dyDescent="0.25">
      <c r="A2067" t="str">
        <f>(COUNTIF($K$2:K2067,K2067))&amp;K2067</f>
        <v>0</v>
      </c>
    </row>
    <row r="2068" spans="1:1" x14ac:dyDescent="0.25">
      <c r="A2068" t="str">
        <f>(COUNTIF($K$2:K2068,K2068))&amp;K2068</f>
        <v>0</v>
      </c>
    </row>
    <row r="2069" spans="1:1" x14ac:dyDescent="0.25">
      <c r="A2069" t="str">
        <f>(COUNTIF($K$2:K2069,K2069))&amp;K2069</f>
        <v>0</v>
      </c>
    </row>
    <row r="2070" spans="1:1" x14ac:dyDescent="0.25">
      <c r="A2070" t="str">
        <f>(COUNTIF($K$2:K2070,K2070))&amp;K2070</f>
        <v>0</v>
      </c>
    </row>
    <row r="2071" spans="1:1" x14ac:dyDescent="0.25">
      <c r="A2071" t="str">
        <f>(COUNTIF($K$2:K2071,K2071))&amp;K2071</f>
        <v>0</v>
      </c>
    </row>
    <row r="2072" spans="1:1" x14ac:dyDescent="0.25">
      <c r="A2072" t="str">
        <f>(COUNTIF($K$2:K2072,K2072))&amp;K2072</f>
        <v>0</v>
      </c>
    </row>
    <row r="2073" spans="1:1" x14ac:dyDescent="0.25">
      <c r="A2073" t="str">
        <f>(COUNTIF($K$2:K2073,K2073))&amp;K2073</f>
        <v>0</v>
      </c>
    </row>
    <row r="2074" spans="1:1" x14ac:dyDescent="0.25">
      <c r="A2074" t="str">
        <f>(COUNTIF($K$2:K2074,K2074))&amp;K2074</f>
        <v>0</v>
      </c>
    </row>
    <row r="2075" spans="1:1" x14ac:dyDescent="0.25">
      <c r="A2075" t="str">
        <f>(COUNTIF($K$2:K2075,K2075))&amp;K2075</f>
        <v>0</v>
      </c>
    </row>
    <row r="2076" spans="1:1" x14ac:dyDescent="0.25">
      <c r="A2076" t="str">
        <f>(COUNTIF($K$2:K2076,K2076))&amp;K2076</f>
        <v>0</v>
      </c>
    </row>
    <row r="2077" spans="1:1" x14ac:dyDescent="0.25">
      <c r="A2077" t="str">
        <f>(COUNTIF($K$2:K2077,K2077))&amp;K2077</f>
        <v>0</v>
      </c>
    </row>
    <row r="2078" spans="1:1" x14ac:dyDescent="0.25">
      <c r="A2078" t="str">
        <f>(COUNTIF($K$2:K2078,K2078))&amp;K2078</f>
        <v>0</v>
      </c>
    </row>
    <row r="2079" spans="1:1" x14ac:dyDescent="0.25">
      <c r="A2079" t="str">
        <f>(COUNTIF($K$2:K2079,K2079))&amp;K2079</f>
        <v>0</v>
      </c>
    </row>
    <row r="2080" spans="1:1" x14ac:dyDescent="0.25">
      <c r="A2080" t="str">
        <f>(COUNTIF($K$2:K2080,K2080))&amp;K2080</f>
        <v>0</v>
      </c>
    </row>
    <row r="2081" spans="1:1" x14ac:dyDescent="0.25">
      <c r="A2081" t="str">
        <f>(COUNTIF($K$2:K2081,K2081))&amp;K2081</f>
        <v>0</v>
      </c>
    </row>
    <row r="2082" spans="1:1" x14ac:dyDescent="0.25">
      <c r="A2082" t="str">
        <f>(COUNTIF($K$2:K2082,K2082))&amp;K2082</f>
        <v>0</v>
      </c>
    </row>
    <row r="2083" spans="1:1" x14ac:dyDescent="0.25">
      <c r="A2083" t="str">
        <f>(COUNTIF($K$2:K2083,K2083))&amp;K2083</f>
        <v>0</v>
      </c>
    </row>
    <row r="2084" spans="1:1" x14ac:dyDescent="0.25">
      <c r="A2084" t="str">
        <f>(COUNTIF($K$2:K2084,K2084))&amp;K2084</f>
        <v>0</v>
      </c>
    </row>
    <row r="2085" spans="1:1" x14ac:dyDescent="0.25">
      <c r="A2085" t="str">
        <f>(COUNTIF($K$2:K2085,K2085))&amp;K2085</f>
        <v>0</v>
      </c>
    </row>
    <row r="2086" spans="1:1" x14ac:dyDescent="0.25">
      <c r="A2086" t="str">
        <f>(COUNTIF($K$2:K2086,K2086))&amp;K2086</f>
        <v>0</v>
      </c>
    </row>
    <row r="2087" spans="1:1" x14ac:dyDescent="0.25">
      <c r="A2087" t="str">
        <f>(COUNTIF($K$2:K2087,K2087))&amp;K2087</f>
        <v>0</v>
      </c>
    </row>
    <row r="2088" spans="1:1" x14ac:dyDescent="0.25">
      <c r="A2088" t="str">
        <f>(COUNTIF($K$2:K2088,K2088))&amp;K2088</f>
        <v>0</v>
      </c>
    </row>
    <row r="2089" spans="1:1" x14ac:dyDescent="0.25">
      <c r="A2089" t="str">
        <f>(COUNTIF($K$2:K2089,K2089))&amp;K2089</f>
        <v>0</v>
      </c>
    </row>
    <row r="2090" spans="1:1" x14ac:dyDescent="0.25">
      <c r="A2090" t="str">
        <f>(COUNTIF($K$2:K2090,K2090))&amp;K2090</f>
        <v>0</v>
      </c>
    </row>
    <row r="2091" spans="1:1" x14ac:dyDescent="0.25">
      <c r="A2091" t="str">
        <f>(COUNTIF($K$2:K2091,K2091))&amp;K2091</f>
        <v>0</v>
      </c>
    </row>
    <row r="2092" spans="1:1" x14ac:dyDescent="0.25">
      <c r="A2092" t="str">
        <f>(COUNTIF($K$2:K2092,K2092))&amp;K2092</f>
        <v>0</v>
      </c>
    </row>
    <row r="2093" spans="1:1" x14ac:dyDescent="0.25">
      <c r="A2093" t="str">
        <f>(COUNTIF($K$2:K2093,K2093))&amp;K2093</f>
        <v>0</v>
      </c>
    </row>
    <row r="2094" spans="1:1" x14ac:dyDescent="0.25">
      <c r="A2094" t="str">
        <f>(COUNTIF($K$2:K2094,K2094))&amp;K2094</f>
        <v>0</v>
      </c>
    </row>
    <row r="2095" spans="1:1" x14ac:dyDescent="0.25">
      <c r="A2095" t="str">
        <f>(COUNTIF($K$2:K2095,K2095))&amp;K2095</f>
        <v>0</v>
      </c>
    </row>
    <row r="2096" spans="1:1" x14ac:dyDescent="0.25">
      <c r="A2096" t="str">
        <f>(COUNTIF($K$2:K2096,K2096))&amp;K2096</f>
        <v>0</v>
      </c>
    </row>
    <row r="2097" spans="1:1" x14ac:dyDescent="0.25">
      <c r="A2097" t="str">
        <f>(COUNTIF($K$2:K2097,K2097))&amp;K2097</f>
        <v>0</v>
      </c>
    </row>
    <row r="2098" spans="1:1" x14ac:dyDescent="0.25">
      <c r="A2098" t="str">
        <f>(COUNTIF($K$2:K2098,K2098))&amp;K2098</f>
        <v>0</v>
      </c>
    </row>
    <row r="2099" spans="1:1" x14ac:dyDescent="0.25">
      <c r="A2099" t="str">
        <f>(COUNTIF($K$2:K2099,K2099))&amp;K2099</f>
        <v>0</v>
      </c>
    </row>
    <row r="2100" spans="1:1" x14ac:dyDescent="0.25">
      <c r="A2100" t="str">
        <f>(COUNTIF($K$2:K2100,K2100))&amp;K2100</f>
        <v>0</v>
      </c>
    </row>
    <row r="2101" spans="1:1" x14ac:dyDescent="0.25">
      <c r="A2101" t="str">
        <f>(COUNTIF($K$2:K2101,K2101))&amp;K2101</f>
        <v>0</v>
      </c>
    </row>
    <row r="2102" spans="1:1" x14ac:dyDescent="0.25">
      <c r="A2102" t="str">
        <f>(COUNTIF($K$2:K2102,K2102))&amp;K2102</f>
        <v>0</v>
      </c>
    </row>
    <row r="2103" spans="1:1" x14ac:dyDescent="0.25">
      <c r="A2103" t="str">
        <f>(COUNTIF($K$2:K2103,K2103))&amp;K2103</f>
        <v>0</v>
      </c>
    </row>
    <row r="2104" spans="1:1" x14ac:dyDescent="0.25">
      <c r="A2104" t="str">
        <f>(COUNTIF($K$2:K2104,K2104))&amp;K2104</f>
        <v>0</v>
      </c>
    </row>
    <row r="2105" spans="1:1" x14ac:dyDescent="0.25">
      <c r="A2105" t="str">
        <f>(COUNTIF($K$2:K2105,K2105))&amp;K2105</f>
        <v>0</v>
      </c>
    </row>
    <row r="2106" spans="1:1" x14ac:dyDescent="0.25">
      <c r="A2106" t="str">
        <f>(COUNTIF($K$2:K2106,K2106))&amp;K2106</f>
        <v>0</v>
      </c>
    </row>
    <row r="2107" spans="1:1" x14ac:dyDescent="0.25">
      <c r="A2107" t="str">
        <f>(COUNTIF($K$2:K2107,K2107))&amp;K2107</f>
        <v>0</v>
      </c>
    </row>
    <row r="2108" spans="1:1" x14ac:dyDescent="0.25">
      <c r="A2108" t="str">
        <f>(COUNTIF($K$2:K2108,K2108))&amp;K2108</f>
        <v>0</v>
      </c>
    </row>
    <row r="2109" spans="1:1" x14ac:dyDescent="0.25">
      <c r="A2109" t="str">
        <f>(COUNTIF($K$2:K2109,K2109))&amp;K2109</f>
        <v>0</v>
      </c>
    </row>
    <row r="2110" spans="1:1" x14ac:dyDescent="0.25">
      <c r="A2110" t="str">
        <f>(COUNTIF($K$2:K2110,K2110))&amp;K2110</f>
        <v>0</v>
      </c>
    </row>
    <row r="2111" spans="1:1" x14ac:dyDescent="0.25">
      <c r="A2111" t="str">
        <f>(COUNTIF($K$2:K2111,K2111))&amp;K2111</f>
        <v>0</v>
      </c>
    </row>
    <row r="2112" spans="1:1" x14ac:dyDescent="0.25">
      <c r="A2112" t="str">
        <f>(COUNTIF($K$2:K2112,K2112))&amp;K2112</f>
        <v>0</v>
      </c>
    </row>
    <row r="2113" spans="1:1" x14ac:dyDescent="0.25">
      <c r="A2113" t="str">
        <f>(COUNTIF($K$2:K2113,K2113))&amp;K2113</f>
        <v>0</v>
      </c>
    </row>
    <row r="2114" spans="1:1" x14ac:dyDescent="0.25">
      <c r="A2114" t="str">
        <f>(COUNTIF($K$2:K2114,K2114))&amp;K2114</f>
        <v>0</v>
      </c>
    </row>
    <row r="2115" spans="1:1" x14ac:dyDescent="0.25">
      <c r="A2115" t="str">
        <f>(COUNTIF($K$2:K2115,K2115))&amp;K2115</f>
        <v>0</v>
      </c>
    </row>
    <row r="2116" spans="1:1" x14ac:dyDescent="0.25">
      <c r="A2116" t="str">
        <f>(COUNTIF($K$2:K2116,K2116))&amp;K2116</f>
        <v>0</v>
      </c>
    </row>
    <row r="2117" spans="1:1" x14ac:dyDescent="0.25">
      <c r="A2117" t="str">
        <f>(COUNTIF($K$2:K2117,K2117))&amp;K2117</f>
        <v>0</v>
      </c>
    </row>
    <row r="2118" spans="1:1" x14ac:dyDescent="0.25">
      <c r="A2118" t="str">
        <f>(COUNTIF($K$2:K2118,K2118))&amp;K2118</f>
        <v>0</v>
      </c>
    </row>
    <row r="2119" spans="1:1" x14ac:dyDescent="0.25">
      <c r="A2119" t="str">
        <f>(COUNTIF($K$2:K2119,K2119))&amp;K2119</f>
        <v>0</v>
      </c>
    </row>
    <row r="2120" spans="1:1" x14ac:dyDescent="0.25">
      <c r="A2120" t="str">
        <f>(COUNTIF($K$2:K2120,K2120))&amp;K2120</f>
        <v>0</v>
      </c>
    </row>
    <row r="2121" spans="1:1" x14ac:dyDescent="0.25">
      <c r="A2121" t="str">
        <f>(COUNTIF($K$2:K2121,K2121))&amp;K2121</f>
        <v>0</v>
      </c>
    </row>
    <row r="2122" spans="1:1" x14ac:dyDescent="0.25">
      <c r="A2122" t="str">
        <f>(COUNTIF($K$2:K2122,K2122))&amp;K2122</f>
        <v>0</v>
      </c>
    </row>
    <row r="2123" spans="1:1" x14ac:dyDescent="0.25">
      <c r="A2123" t="str">
        <f>(COUNTIF($K$2:K2123,K2123))&amp;K2123</f>
        <v>0</v>
      </c>
    </row>
    <row r="2124" spans="1:1" x14ac:dyDescent="0.25">
      <c r="A2124" t="str">
        <f>(COUNTIF($K$2:K2124,K2124))&amp;K2124</f>
        <v>0</v>
      </c>
    </row>
    <row r="2125" spans="1:1" x14ac:dyDescent="0.25">
      <c r="A2125" t="str">
        <f>(COUNTIF($K$2:K2125,K2125))&amp;K2125</f>
        <v>0</v>
      </c>
    </row>
    <row r="2126" spans="1:1" x14ac:dyDescent="0.25">
      <c r="A2126" t="str">
        <f>(COUNTIF($K$2:K2126,K2126))&amp;K2126</f>
        <v>0</v>
      </c>
    </row>
    <row r="2127" spans="1:1" x14ac:dyDescent="0.25">
      <c r="A2127" t="str">
        <f>(COUNTIF($K$2:K2127,K2127))&amp;K2127</f>
        <v>0</v>
      </c>
    </row>
    <row r="2128" spans="1:1" x14ac:dyDescent="0.25">
      <c r="A2128" t="str">
        <f>(COUNTIF($K$2:K2128,K2128))&amp;K2128</f>
        <v>0</v>
      </c>
    </row>
    <row r="2129" spans="1:1" x14ac:dyDescent="0.25">
      <c r="A2129" t="str">
        <f>(COUNTIF($K$2:K2129,K2129))&amp;K2129</f>
        <v>0</v>
      </c>
    </row>
    <row r="2130" spans="1:1" x14ac:dyDescent="0.25">
      <c r="A2130" t="str">
        <f>(COUNTIF($K$2:K2130,K2130))&amp;K2130</f>
        <v>0</v>
      </c>
    </row>
    <row r="2131" spans="1:1" x14ac:dyDescent="0.25">
      <c r="A2131" t="str">
        <f>(COUNTIF($K$2:K2131,K2131))&amp;K2131</f>
        <v>0</v>
      </c>
    </row>
    <row r="2132" spans="1:1" x14ac:dyDescent="0.25">
      <c r="A2132" t="str">
        <f>(COUNTIF($K$2:K2132,K2132))&amp;K2132</f>
        <v>0</v>
      </c>
    </row>
    <row r="2133" spans="1:1" x14ac:dyDescent="0.25">
      <c r="A2133" t="str">
        <f>(COUNTIF($K$2:K2133,K2133))&amp;K2133</f>
        <v>0</v>
      </c>
    </row>
    <row r="2134" spans="1:1" x14ac:dyDescent="0.25">
      <c r="A2134" t="str">
        <f>(COUNTIF($K$2:K2134,K2134))&amp;K2134</f>
        <v>0</v>
      </c>
    </row>
    <row r="2135" spans="1:1" x14ac:dyDescent="0.25">
      <c r="A2135" t="str">
        <f>(COUNTIF($K$2:K2135,K2135))&amp;K2135</f>
        <v>0</v>
      </c>
    </row>
    <row r="2136" spans="1:1" x14ac:dyDescent="0.25">
      <c r="A2136" t="str">
        <f>(COUNTIF($K$2:K2136,K2136))&amp;K2136</f>
        <v>0</v>
      </c>
    </row>
    <row r="2137" spans="1:1" x14ac:dyDescent="0.25">
      <c r="A2137" t="str">
        <f>(COUNTIF($K$2:K2137,K2137))&amp;K2137</f>
        <v>0</v>
      </c>
    </row>
    <row r="2138" spans="1:1" x14ac:dyDescent="0.25">
      <c r="A2138" t="str">
        <f>(COUNTIF($K$2:K2138,K2138))&amp;K2138</f>
        <v>0</v>
      </c>
    </row>
    <row r="2139" spans="1:1" x14ac:dyDescent="0.25">
      <c r="A2139" t="str">
        <f>(COUNTIF($K$2:K2139,K2139))&amp;K2139</f>
        <v>0</v>
      </c>
    </row>
    <row r="2140" spans="1:1" x14ac:dyDescent="0.25">
      <c r="A2140" t="str">
        <f>(COUNTIF($K$2:K2140,K2140))&amp;K2140</f>
        <v>0</v>
      </c>
    </row>
    <row r="2141" spans="1:1" x14ac:dyDescent="0.25">
      <c r="A2141" t="str">
        <f>(COUNTIF($K$2:K2141,K2141))&amp;K2141</f>
        <v>0</v>
      </c>
    </row>
    <row r="2142" spans="1:1" x14ac:dyDescent="0.25">
      <c r="A2142" t="str">
        <f>(COUNTIF($K$2:K2142,K2142))&amp;K2142</f>
        <v>0</v>
      </c>
    </row>
    <row r="2143" spans="1:1" x14ac:dyDescent="0.25">
      <c r="A2143" t="str">
        <f>(COUNTIF($K$2:K2143,K2143))&amp;K2143</f>
        <v>0</v>
      </c>
    </row>
    <row r="2144" spans="1:1" x14ac:dyDescent="0.25">
      <c r="A2144" t="str">
        <f>(COUNTIF($K$2:K2144,K2144))&amp;K2144</f>
        <v>0</v>
      </c>
    </row>
    <row r="2145" spans="1:1" x14ac:dyDescent="0.25">
      <c r="A2145" t="str">
        <f>(COUNTIF($K$2:K2145,K2145))&amp;K2145</f>
        <v>0</v>
      </c>
    </row>
    <row r="2146" spans="1:1" x14ac:dyDescent="0.25">
      <c r="A2146" t="str">
        <f>(COUNTIF($K$2:K2146,K2146))&amp;K2146</f>
        <v>0</v>
      </c>
    </row>
    <row r="2147" spans="1:1" x14ac:dyDescent="0.25">
      <c r="A2147" t="str">
        <f>(COUNTIF($K$2:K2147,K2147))&amp;K2147</f>
        <v>0</v>
      </c>
    </row>
    <row r="2148" spans="1:1" x14ac:dyDescent="0.25">
      <c r="A2148" t="str">
        <f>(COUNTIF($K$2:K2148,K2148))&amp;K2148</f>
        <v>0</v>
      </c>
    </row>
    <row r="2149" spans="1:1" x14ac:dyDescent="0.25">
      <c r="A2149" t="str">
        <f>(COUNTIF($K$2:K2149,K2149))&amp;K2149</f>
        <v>0</v>
      </c>
    </row>
    <row r="2150" spans="1:1" x14ac:dyDescent="0.25">
      <c r="A2150" t="str">
        <f>(COUNTIF($K$2:K2150,K2150))&amp;K2150</f>
        <v>0</v>
      </c>
    </row>
    <row r="2151" spans="1:1" x14ac:dyDescent="0.25">
      <c r="A2151" t="str">
        <f>(COUNTIF($K$2:K2151,K2151))&amp;K2151</f>
        <v>0</v>
      </c>
    </row>
    <row r="2152" spans="1:1" x14ac:dyDescent="0.25">
      <c r="A2152" t="str">
        <f>(COUNTIF($K$2:K2152,K2152))&amp;K2152</f>
        <v>0</v>
      </c>
    </row>
    <row r="2153" spans="1:1" x14ac:dyDescent="0.25">
      <c r="A2153" t="str">
        <f>(COUNTIF($K$2:K2153,K2153))&amp;K2153</f>
        <v>0</v>
      </c>
    </row>
    <row r="2154" spans="1:1" x14ac:dyDescent="0.25">
      <c r="A2154" t="str">
        <f>(COUNTIF($K$2:K2154,K2154))&amp;K2154</f>
        <v>0</v>
      </c>
    </row>
    <row r="2155" spans="1:1" x14ac:dyDescent="0.25">
      <c r="A2155" t="str">
        <f>(COUNTIF($K$2:K2155,K2155))&amp;K2155</f>
        <v>0</v>
      </c>
    </row>
    <row r="2156" spans="1:1" x14ac:dyDescent="0.25">
      <c r="A2156" t="str">
        <f>(COUNTIF($K$2:K2156,K2156))&amp;K2156</f>
        <v>0</v>
      </c>
    </row>
    <row r="2157" spans="1:1" x14ac:dyDescent="0.25">
      <c r="A2157" t="str">
        <f>(COUNTIF($K$2:K2157,K2157))&amp;K2157</f>
        <v>0</v>
      </c>
    </row>
    <row r="2158" spans="1:1" x14ac:dyDescent="0.25">
      <c r="A2158" t="str">
        <f>(COUNTIF($K$2:K2158,K2158))&amp;K2158</f>
        <v>0</v>
      </c>
    </row>
    <row r="2159" spans="1:1" x14ac:dyDescent="0.25">
      <c r="A2159" t="str">
        <f>(COUNTIF($K$2:K2159,K2159))&amp;K2159</f>
        <v>0</v>
      </c>
    </row>
    <row r="2160" spans="1:1" x14ac:dyDescent="0.25">
      <c r="A2160" t="str">
        <f>(COUNTIF($K$2:K2160,K2160))&amp;K2160</f>
        <v>0</v>
      </c>
    </row>
    <row r="2161" spans="1:1" x14ac:dyDescent="0.25">
      <c r="A2161" t="str">
        <f>(COUNTIF($K$2:K2161,K2161))&amp;K2161</f>
        <v>0</v>
      </c>
    </row>
    <row r="2162" spans="1:1" x14ac:dyDescent="0.25">
      <c r="A2162" t="str">
        <f>(COUNTIF($K$2:K2162,K2162))&amp;K2162</f>
        <v>0</v>
      </c>
    </row>
    <row r="2163" spans="1:1" x14ac:dyDescent="0.25">
      <c r="A2163" t="str">
        <f>(COUNTIF($K$2:K2163,K2163))&amp;K2163</f>
        <v>0</v>
      </c>
    </row>
    <row r="2164" spans="1:1" x14ac:dyDescent="0.25">
      <c r="A2164" t="str">
        <f>(COUNTIF($K$2:K2164,K2164))&amp;K2164</f>
        <v>0</v>
      </c>
    </row>
    <row r="2165" spans="1:1" x14ac:dyDescent="0.25">
      <c r="A2165" t="str">
        <f>(COUNTIF($K$2:K2165,K2165))&amp;K2165</f>
        <v>0</v>
      </c>
    </row>
    <row r="2166" spans="1:1" x14ac:dyDescent="0.25">
      <c r="A2166" t="str">
        <f>(COUNTIF($K$2:K2166,K2166))&amp;K2166</f>
        <v>0</v>
      </c>
    </row>
    <row r="2167" spans="1:1" x14ac:dyDescent="0.25">
      <c r="A2167" t="str">
        <f>(COUNTIF($K$2:K2167,K2167))&amp;K2167</f>
        <v>0</v>
      </c>
    </row>
    <row r="2168" spans="1:1" x14ac:dyDescent="0.25">
      <c r="A2168" t="str">
        <f>(COUNTIF($K$2:K2168,K2168))&amp;K2168</f>
        <v>0</v>
      </c>
    </row>
    <row r="2169" spans="1:1" x14ac:dyDescent="0.25">
      <c r="A2169" t="str">
        <f>(COUNTIF($K$2:K2169,K2169))&amp;K2169</f>
        <v>0</v>
      </c>
    </row>
    <row r="2170" spans="1:1" x14ac:dyDescent="0.25">
      <c r="A2170" t="str">
        <f>(COUNTIF($K$2:K2170,K2170))&amp;K2170</f>
        <v>0</v>
      </c>
    </row>
    <row r="2171" spans="1:1" x14ac:dyDescent="0.25">
      <c r="A2171" t="str">
        <f>(COUNTIF($K$2:K2171,K2171))&amp;K2171</f>
        <v>0</v>
      </c>
    </row>
    <row r="2172" spans="1:1" x14ac:dyDescent="0.25">
      <c r="A2172" t="str">
        <f>(COUNTIF($K$2:K2172,K2172))&amp;K2172</f>
        <v>0</v>
      </c>
    </row>
    <row r="2173" spans="1:1" x14ac:dyDescent="0.25">
      <c r="A2173" t="str">
        <f>(COUNTIF($K$2:K2173,K2173))&amp;K2173</f>
        <v>0</v>
      </c>
    </row>
    <row r="2174" spans="1:1" x14ac:dyDescent="0.25">
      <c r="A2174" t="str">
        <f>(COUNTIF($K$2:K2174,K2174))&amp;K2174</f>
        <v>0</v>
      </c>
    </row>
    <row r="2175" spans="1:1" x14ac:dyDescent="0.25">
      <c r="A2175" t="str">
        <f>(COUNTIF($K$2:K2175,K2175))&amp;K2175</f>
        <v>0</v>
      </c>
    </row>
    <row r="2176" spans="1:1" x14ac:dyDescent="0.25">
      <c r="A2176" t="str">
        <f>(COUNTIF($K$2:K2176,K2176))&amp;K2176</f>
        <v>0</v>
      </c>
    </row>
    <row r="2177" spans="1:1" x14ac:dyDescent="0.25">
      <c r="A2177" t="str">
        <f>(COUNTIF($K$2:K2177,K2177))&amp;K2177</f>
        <v>0</v>
      </c>
    </row>
    <row r="2178" spans="1:1" x14ac:dyDescent="0.25">
      <c r="A2178" t="str">
        <f>(COUNTIF($K$2:K2178,K2178))&amp;K2178</f>
        <v>0</v>
      </c>
    </row>
    <row r="2179" spans="1:1" x14ac:dyDescent="0.25">
      <c r="A2179" t="str">
        <f>(COUNTIF($K$2:K2179,K2179))&amp;K2179</f>
        <v>0</v>
      </c>
    </row>
    <row r="2180" spans="1:1" x14ac:dyDescent="0.25">
      <c r="A2180" t="str">
        <f>(COUNTIF($K$2:K2180,K2180))&amp;K2180</f>
        <v>0</v>
      </c>
    </row>
    <row r="2181" spans="1:1" x14ac:dyDescent="0.25">
      <c r="A2181" t="str">
        <f>(COUNTIF($K$2:K2181,K2181))&amp;K2181</f>
        <v>0</v>
      </c>
    </row>
    <row r="2182" spans="1:1" x14ac:dyDescent="0.25">
      <c r="A2182" t="str">
        <f>(COUNTIF($K$2:K2182,K2182))&amp;K2182</f>
        <v>0</v>
      </c>
    </row>
    <row r="2183" spans="1:1" x14ac:dyDescent="0.25">
      <c r="A2183" t="str">
        <f>(COUNTIF($K$2:K2183,K2183))&amp;K2183</f>
        <v>0</v>
      </c>
    </row>
    <row r="2184" spans="1:1" x14ac:dyDescent="0.25">
      <c r="A2184" t="str">
        <f>(COUNTIF($K$2:K2184,K2184))&amp;K2184</f>
        <v>0</v>
      </c>
    </row>
    <row r="2185" spans="1:1" x14ac:dyDescent="0.25">
      <c r="A2185" t="str">
        <f>(COUNTIF($K$2:K2185,K2185))&amp;K2185</f>
        <v>0</v>
      </c>
    </row>
    <row r="2186" spans="1:1" x14ac:dyDescent="0.25">
      <c r="A2186" t="str">
        <f>(COUNTIF($K$2:K2186,K2186))&amp;K2186</f>
        <v>0</v>
      </c>
    </row>
    <row r="2187" spans="1:1" x14ac:dyDescent="0.25">
      <c r="A2187" t="str">
        <f>(COUNTIF($K$2:K2187,K2187))&amp;K2187</f>
        <v>0</v>
      </c>
    </row>
    <row r="2188" spans="1:1" x14ac:dyDescent="0.25">
      <c r="A2188" t="str">
        <f>(COUNTIF($K$2:K2188,K2188))&amp;K2188</f>
        <v>0</v>
      </c>
    </row>
    <row r="2189" spans="1:1" x14ac:dyDescent="0.25">
      <c r="A2189" t="str">
        <f>(COUNTIF($K$2:K2189,K2189))&amp;K2189</f>
        <v>0</v>
      </c>
    </row>
    <row r="2190" spans="1:1" x14ac:dyDescent="0.25">
      <c r="A2190" t="str">
        <f>(COUNTIF($K$2:K2190,K2190))&amp;K2190</f>
        <v>0</v>
      </c>
    </row>
    <row r="2191" spans="1:1" x14ac:dyDescent="0.25">
      <c r="A2191" t="str">
        <f>(COUNTIF($K$2:K2191,K2191))&amp;K2191</f>
        <v>0</v>
      </c>
    </row>
    <row r="2192" spans="1:1" x14ac:dyDescent="0.25">
      <c r="A2192" t="str">
        <f>(COUNTIF($K$2:K2192,K2192))&amp;K2192</f>
        <v>0</v>
      </c>
    </row>
    <row r="2193" spans="1:1" x14ac:dyDescent="0.25">
      <c r="A2193" t="str">
        <f>(COUNTIF($K$2:K2193,K2193))&amp;K2193</f>
        <v>0</v>
      </c>
    </row>
    <row r="2194" spans="1:1" x14ac:dyDescent="0.25">
      <c r="A2194" t="str">
        <f>(COUNTIF($K$2:K2194,K2194))&amp;K2194</f>
        <v>0</v>
      </c>
    </row>
    <row r="2195" spans="1:1" x14ac:dyDescent="0.25">
      <c r="A2195" t="str">
        <f>(COUNTIF($K$2:K2195,K2195))&amp;K2195</f>
        <v>0</v>
      </c>
    </row>
    <row r="2196" spans="1:1" x14ac:dyDescent="0.25">
      <c r="A2196" t="str">
        <f>(COUNTIF($K$2:K2196,K2196))&amp;K2196</f>
        <v>0</v>
      </c>
    </row>
    <row r="2197" spans="1:1" x14ac:dyDescent="0.25">
      <c r="A2197" t="str">
        <f>(COUNTIF($K$2:K2197,K2197))&amp;K2197</f>
        <v>0</v>
      </c>
    </row>
    <row r="2198" spans="1:1" x14ac:dyDescent="0.25">
      <c r="A2198" t="str">
        <f>(COUNTIF($K$2:K2198,K2198))&amp;K2198</f>
        <v>0</v>
      </c>
    </row>
    <row r="2199" spans="1:1" x14ac:dyDescent="0.25">
      <c r="A2199" t="str">
        <f>(COUNTIF($K$2:K2199,K2199))&amp;K2199</f>
        <v>0</v>
      </c>
    </row>
    <row r="2200" spans="1:1" x14ac:dyDescent="0.25">
      <c r="A2200" t="str">
        <f>(COUNTIF($K$2:K2200,K2200))&amp;K2200</f>
        <v>0</v>
      </c>
    </row>
    <row r="2201" spans="1:1" x14ac:dyDescent="0.25">
      <c r="A2201" t="str">
        <f>(COUNTIF($K$2:K2201,K2201))&amp;K2201</f>
        <v>0</v>
      </c>
    </row>
    <row r="2202" spans="1:1" x14ac:dyDescent="0.25">
      <c r="A2202" t="str">
        <f>(COUNTIF($K$2:K2202,K2202))&amp;K2202</f>
        <v>0</v>
      </c>
    </row>
    <row r="2203" spans="1:1" x14ac:dyDescent="0.25">
      <c r="A2203" t="str">
        <f>(COUNTIF($K$2:K2203,K2203))&amp;K2203</f>
        <v>0</v>
      </c>
    </row>
    <row r="2204" spans="1:1" x14ac:dyDescent="0.25">
      <c r="A2204" t="str">
        <f>(COUNTIF($K$2:K2204,K2204))&amp;K2204</f>
        <v>0</v>
      </c>
    </row>
    <row r="2205" spans="1:1" x14ac:dyDescent="0.25">
      <c r="A2205" t="str">
        <f>(COUNTIF($K$2:K2205,K2205))&amp;K2205</f>
        <v>0</v>
      </c>
    </row>
    <row r="2206" spans="1:1" x14ac:dyDescent="0.25">
      <c r="A2206" t="str">
        <f>(COUNTIF($K$2:K2206,K2206))&amp;K2206</f>
        <v>0</v>
      </c>
    </row>
    <row r="2207" spans="1:1" x14ac:dyDescent="0.25">
      <c r="A2207" t="str">
        <f>(COUNTIF($K$2:K2207,K2207))&amp;K2207</f>
        <v>0</v>
      </c>
    </row>
    <row r="2208" spans="1:1" x14ac:dyDescent="0.25">
      <c r="A2208" t="str">
        <f>(COUNTIF($K$2:K2208,K2208))&amp;K2208</f>
        <v>0</v>
      </c>
    </row>
    <row r="2209" spans="1:1" x14ac:dyDescent="0.25">
      <c r="A2209" t="str">
        <f>(COUNTIF($K$2:K2209,K2209))&amp;K2209</f>
        <v>0</v>
      </c>
    </row>
    <row r="2210" spans="1:1" x14ac:dyDescent="0.25">
      <c r="A2210" t="str">
        <f>(COUNTIF($K$2:K2210,K2210))&amp;K2210</f>
        <v>0</v>
      </c>
    </row>
    <row r="2211" spans="1:1" x14ac:dyDescent="0.25">
      <c r="A2211" t="str">
        <f>(COUNTIF($K$2:K2211,K2211))&amp;K2211</f>
        <v>0</v>
      </c>
    </row>
    <row r="2212" spans="1:1" x14ac:dyDescent="0.25">
      <c r="A2212" t="str">
        <f>(COUNTIF($K$2:K2212,K2212))&amp;K2212</f>
        <v>0</v>
      </c>
    </row>
    <row r="2213" spans="1:1" x14ac:dyDescent="0.25">
      <c r="A2213" t="str">
        <f>(COUNTIF($K$2:K2213,K2213))&amp;K2213</f>
        <v>0</v>
      </c>
    </row>
    <row r="2214" spans="1:1" x14ac:dyDescent="0.25">
      <c r="A2214" t="str">
        <f>(COUNTIF($K$2:K2214,K2214))&amp;K2214</f>
        <v>0</v>
      </c>
    </row>
    <row r="2215" spans="1:1" x14ac:dyDescent="0.25">
      <c r="A2215" t="str">
        <f>(COUNTIF($K$2:K2215,K2215))&amp;K2215</f>
        <v>0</v>
      </c>
    </row>
    <row r="2216" spans="1:1" x14ac:dyDescent="0.25">
      <c r="A2216" t="str">
        <f>(COUNTIF($K$2:K2216,K2216))&amp;K2216</f>
        <v>0</v>
      </c>
    </row>
    <row r="2217" spans="1:1" x14ac:dyDescent="0.25">
      <c r="A2217" t="str">
        <f>(COUNTIF($K$2:K2217,K2217))&amp;K2217</f>
        <v>0</v>
      </c>
    </row>
    <row r="2218" spans="1:1" x14ac:dyDescent="0.25">
      <c r="A2218" t="str">
        <f>(COUNTIF($K$2:K2218,K2218))&amp;K2218</f>
        <v>0</v>
      </c>
    </row>
    <row r="2219" spans="1:1" x14ac:dyDescent="0.25">
      <c r="A2219" t="str">
        <f>(COUNTIF($K$2:K2219,K2219))&amp;K2219</f>
        <v>0</v>
      </c>
    </row>
    <row r="2220" spans="1:1" x14ac:dyDescent="0.25">
      <c r="A2220" t="str">
        <f>(COUNTIF($K$2:K2220,K2220))&amp;K2220</f>
        <v>0</v>
      </c>
    </row>
    <row r="2221" spans="1:1" x14ac:dyDescent="0.25">
      <c r="A2221" t="str">
        <f>(COUNTIF($K$2:K2221,K2221))&amp;K2221</f>
        <v>0</v>
      </c>
    </row>
    <row r="2222" spans="1:1" x14ac:dyDescent="0.25">
      <c r="A2222" t="str">
        <f>(COUNTIF($K$2:K2222,K2222))&amp;K2222</f>
        <v>0</v>
      </c>
    </row>
    <row r="2223" spans="1:1" x14ac:dyDescent="0.25">
      <c r="A2223" t="str">
        <f>(COUNTIF($K$2:K2223,K2223))&amp;K2223</f>
        <v>0</v>
      </c>
    </row>
    <row r="2224" spans="1:1" x14ac:dyDescent="0.25">
      <c r="A2224" t="str">
        <f>(COUNTIF($K$2:K2224,K2224))&amp;K2224</f>
        <v>0</v>
      </c>
    </row>
    <row r="2225" spans="1:1" x14ac:dyDescent="0.25">
      <c r="A2225" t="str">
        <f>(COUNTIF($K$2:K2225,K2225))&amp;K2225</f>
        <v>0</v>
      </c>
    </row>
    <row r="2226" spans="1:1" x14ac:dyDescent="0.25">
      <c r="A2226" t="str">
        <f>(COUNTIF($K$2:K2226,K2226))&amp;K2226</f>
        <v>0</v>
      </c>
    </row>
    <row r="2227" spans="1:1" x14ac:dyDescent="0.25">
      <c r="A2227" t="str">
        <f>(COUNTIF($K$2:K2227,K2227))&amp;K2227</f>
        <v>0</v>
      </c>
    </row>
    <row r="2228" spans="1:1" x14ac:dyDescent="0.25">
      <c r="A2228" t="str">
        <f>(COUNTIF($K$2:K2228,K2228))&amp;K2228</f>
        <v>0</v>
      </c>
    </row>
    <row r="2229" spans="1:1" x14ac:dyDescent="0.25">
      <c r="A2229" t="str">
        <f>(COUNTIF($K$2:K2229,K2229))&amp;K2229</f>
        <v>0</v>
      </c>
    </row>
    <row r="2230" spans="1:1" x14ac:dyDescent="0.25">
      <c r="A2230" t="str">
        <f>(COUNTIF($K$2:K2230,K2230))&amp;K2230</f>
        <v>0</v>
      </c>
    </row>
    <row r="2231" spans="1:1" x14ac:dyDescent="0.25">
      <c r="A2231" t="str">
        <f>(COUNTIF($K$2:K2231,K2231))&amp;K2231</f>
        <v>0</v>
      </c>
    </row>
    <row r="2232" spans="1:1" x14ac:dyDescent="0.25">
      <c r="A2232" t="str">
        <f>(COUNTIF($K$2:K2232,K2232))&amp;K2232</f>
        <v>0</v>
      </c>
    </row>
    <row r="2233" spans="1:1" x14ac:dyDescent="0.25">
      <c r="A2233" t="str">
        <f>(COUNTIF($K$2:K2233,K2233))&amp;K2233</f>
        <v>0</v>
      </c>
    </row>
    <row r="2234" spans="1:1" x14ac:dyDescent="0.25">
      <c r="A2234" t="str">
        <f>(COUNTIF($K$2:K2234,K2234))&amp;K2234</f>
        <v>0</v>
      </c>
    </row>
    <row r="2235" spans="1:1" x14ac:dyDescent="0.25">
      <c r="A2235" t="str">
        <f>(COUNTIF($K$2:K2235,K2235))&amp;K2235</f>
        <v>0</v>
      </c>
    </row>
    <row r="2236" spans="1:1" x14ac:dyDescent="0.25">
      <c r="A2236" t="str">
        <f>(COUNTIF($K$2:K2236,K2236))&amp;K2236</f>
        <v>0</v>
      </c>
    </row>
    <row r="2237" spans="1:1" x14ac:dyDescent="0.25">
      <c r="A2237" t="str">
        <f>(COUNTIF($K$2:K2237,K2237))&amp;K2237</f>
        <v>0</v>
      </c>
    </row>
    <row r="2238" spans="1:1" x14ac:dyDescent="0.25">
      <c r="A2238" t="str">
        <f>(COUNTIF($K$2:K2238,K2238))&amp;K2238</f>
        <v>0</v>
      </c>
    </row>
    <row r="2239" spans="1:1" x14ac:dyDescent="0.25">
      <c r="A2239" t="str">
        <f>(COUNTIF($K$2:K2239,K2239))&amp;K2239</f>
        <v>0</v>
      </c>
    </row>
    <row r="2240" spans="1:1" x14ac:dyDescent="0.25">
      <c r="A2240" t="str">
        <f>(COUNTIF($K$2:K2240,K2240))&amp;K2240</f>
        <v>0</v>
      </c>
    </row>
    <row r="2241" spans="1:1" x14ac:dyDescent="0.25">
      <c r="A2241" t="str">
        <f>(COUNTIF($K$2:K2241,K2241))&amp;K2241</f>
        <v>0</v>
      </c>
    </row>
    <row r="2242" spans="1:1" x14ac:dyDescent="0.25">
      <c r="A2242" t="str">
        <f>(COUNTIF($K$2:K2242,K2242))&amp;K2242</f>
        <v>0</v>
      </c>
    </row>
    <row r="2243" spans="1:1" x14ac:dyDescent="0.25">
      <c r="A2243" t="str">
        <f>(COUNTIF($K$2:K2243,K2243))&amp;K2243</f>
        <v>0</v>
      </c>
    </row>
    <row r="2244" spans="1:1" x14ac:dyDescent="0.25">
      <c r="A2244" t="str">
        <f>(COUNTIF($K$2:K2244,K2244))&amp;K2244</f>
        <v>0</v>
      </c>
    </row>
    <row r="2245" spans="1:1" x14ac:dyDescent="0.25">
      <c r="A2245" t="str">
        <f>(COUNTIF($K$2:K2245,K2245))&amp;K2245</f>
        <v>0</v>
      </c>
    </row>
    <row r="2246" spans="1:1" x14ac:dyDescent="0.25">
      <c r="A2246" t="str">
        <f>(COUNTIF($K$2:K2246,K2246))&amp;K2246</f>
        <v>0</v>
      </c>
    </row>
    <row r="2247" spans="1:1" x14ac:dyDescent="0.25">
      <c r="A2247" t="str">
        <f>(COUNTIF($K$2:K2247,K2247))&amp;K2247</f>
        <v>0</v>
      </c>
    </row>
    <row r="2248" spans="1:1" x14ac:dyDescent="0.25">
      <c r="A2248" t="str">
        <f>(COUNTIF($K$2:K2248,K2248))&amp;K2248</f>
        <v>0</v>
      </c>
    </row>
    <row r="2249" spans="1:1" x14ac:dyDescent="0.25">
      <c r="A2249" t="str">
        <f>(COUNTIF($K$2:K2249,K2249))&amp;K2249</f>
        <v>0</v>
      </c>
    </row>
    <row r="2250" spans="1:1" x14ac:dyDescent="0.25">
      <c r="A2250" t="str">
        <f>(COUNTIF($K$2:K2250,K2250))&amp;K2250</f>
        <v>0</v>
      </c>
    </row>
    <row r="2251" spans="1:1" x14ac:dyDescent="0.25">
      <c r="A2251" t="str">
        <f>(COUNTIF($K$2:K2251,K2251))&amp;K2251</f>
        <v>0</v>
      </c>
    </row>
    <row r="2252" spans="1:1" x14ac:dyDescent="0.25">
      <c r="A2252" t="str">
        <f>(COUNTIF($K$2:K2252,K2252))&amp;K2252</f>
        <v>0</v>
      </c>
    </row>
    <row r="2253" spans="1:1" x14ac:dyDescent="0.25">
      <c r="A2253" t="str">
        <f>(COUNTIF($K$2:K2253,K2253))&amp;K2253</f>
        <v>0</v>
      </c>
    </row>
    <row r="2254" spans="1:1" x14ac:dyDescent="0.25">
      <c r="A2254" t="str">
        <f>(COUNTIF($K$2:K2254,K2254))&amp;K2254</f>
        <v>0</v>
      </c>
    </row>
    <row r="2255" spans="1:1" x14ac:dyDescent="0.25">
      <c r="A2255" t="str">
        <f>(COUNTIF($K$2:K2255,K2255))&amp;K2255</f>
        <v>0</v>
      </c>
    </row>
    <row r="2256" spans="1:1" x14ac:dyDescent="0.25">
      <c r="A2256" t="str">
        <f>(COUNTIF($K$2:K2256,K2256))&amp;K2256</f>
        <v>0</v>
      </c>
    </row>
    <row r="2257" spans="1:1" x14ac:dyDescent="0.25">
      <c r="A2257" t="str">
        <f>(COUNTIF($K$2:K2257,K2257))&amp;K2257</f>
        <v>0</v>
      </c>
    </row>
    <row r="2258" spans="1:1" x14ac:dyDescent="0.25">
      <c r="A2258" t="str">
        <f>(COUNTIF($K$2:K2258,K2258))&amp;K2258</f>
        <v>0</v>
      </c>
    </row>
    <row r="2259" spans="1:1" x14ac:dyDescent="0.25">
      <c r="A2259" t="str">
        <f>(COUNTIF($K$2:K2259,K2259))&amp;K2259</f>
        <v>0</v>
      </c>
    </row>
    <row r="2260" spans="1:1" x14ac:dyDescent="0.25">
      <c r="A2260" t="str">
        <f>(COUNTIF($K$2:K2260,K2260))&amp;K2260</f>
        <v>0</v>
      </c>
    </row>
    <row r="2261" spans="1:1" x14ac:dyDescent="0.25">
      <c r="A2261" t="str">
        <f>(COUNTIF($K$2:K2261,K2261))&amp;K2261</f>
        <v>0</v>
      </c>
    </row>
    <row r="2262" spans="1:1" x14ac:dyDescent="0.25">
      <c r="A2262" t="str">
        <f>(COUNTIF($K$2:K2262,K2262))&amp;K2262</f>
        <v>0</v>
      </c>
    </row>
    <row r="2263" spans="1:1" x14ac:dyDescent="0.25">
      <c r="A2263" t="str">
        <f>(COUNTIF($K$2:K2263,K2263))&amp;K2263</f>
        <v>0</v>
      </c>
    </row>
    <row r="2264" spans="1:1" x14ac:dyDescent="0.25">
      <c r="A2264" t="str">
        <f>(COUNTIF($K$2:K2264,K2264))&amp;K2264</f>
        <v>0</v>
      </c>
    </row>
    <row r="2265" spans="1:1" x14ac:dyDescent="0.25">
      <c r="A2265" t="str">
        <f>(COUNTIF($K$2:K2265,K2265))&amp;K2265</f>
        <v>0</v>
      </c>
    </row>
    <row r="2266" spans="1:1" x14ac:dyDescent="0.25">
      <c r="A2266" t="str">
        <f>(COUNTIF($K$2:K2266,K2266))&amp;K2266</f>
        <v>0</v>
      </c>
    </row>
    <row r="2267" spans="1:1" x14ac:dyDescent="0.25">
      <c r="A2267" t="str">
        <f>(COUNTIF($K$2:K2267,K2267))&amp;K2267</f>
        <v>0</v>
      </c>
    </row>
    <row r="2268" spans="1:1" x14ac:dyDescent="0.25">
      <c r="A2268" t="str">
        <f>(COUNTIF($K$2:K2268,K2268))&amp;K2268</f>
        <v>0</v>
      </c>
    </row>
    <row r="2269" spans="1:1" x14ac:dyDescent="0.25">
      <c r="A2269" t="str">
        <f>(COUNTIF($K$2:K2269,K2269))&amp;K2269</f>
        <v>0</v>
      </c>
    </row>
    <row r="2270" spans="1:1" x14ac:dyDescent="0.25">
      <c r="A2270" t="str">
        <f>(COUNTIF($K$2:K2270,K2270))&amp;K2270</f>
        <v>0</v>
      </c>
    </row>
    <row r="2271" spans="1:1" x14ac:dyDescent="0.25">
      <c r="A2271" t="str">
        <f>(COUNTIF($K$2:K2271,K2271))&amp;K2271</f>
        <v>0</v>
      </c>
    </row>
    <row r="2272" spans="1:1" x14ac:dyDescent="0.25">
      <c r="A2272" t="str">
        <f>(COUNTIF($K$2:K2272,K2272))&amp;K2272</f>
        <v>0</v>
      </c>
    </row>
    <row r="2273" spans="1:1" x14ac:dyDescent="0.25">
      <c r="A2273" t="str">
        <f>(COUNTIF($K$2:K2273,K2273))&amp;K2273</f>
        <v>0</v>
      </c>
    </row>
    <row r="2274" spans="1:1" x14ac:dyDescent="0.25">
      <c r="A2274" t="str">
        <f>(COUNTIF($K$2:K2274,K2274))&amp;K2274</f>
        <v>0</v>
      </c>
    </row>
    <row r="2275" spans="1:1" x14ac:dyDescent="0.25">
      <c r="A2275" t="str">
        <f>(COUNTIF($K$2:K2275,K2275))&amp;K2275</f>
        <v>0</v>
      </c>
    </row>
    <row r="2276" spans="1:1" x14ac:dyDescent="0.25">
      <c r="A2276" t="str">
        <f>(COUNTIF($K$2:K2276,K2276))&amp;K2276</f>
        <v>0</v>
      </c>
    </row>
    <row r="2277" spans="1:1" x14ac:dyDescent="0.25">
      <c r="A2277" t="str">
        <f>(COUNTIF($K$2:K2277,K2277))&amp;K2277</f>
        <v>0</v>
      </c>
    </row>
    <row r="2278" spans="1:1" x14ac:dyDescent="0.25">
      <c r="A2278" t="str">
        <f>(COUNTIF($K$2:K2278,K2278))&amp;K2278</f>
        <v>0</v>
      </c>
    </row>
    <row r="2279" spans="1:1" x14ac:dyDescent="0.25">
      <c r="A2279" t="str">
        <f>(COUNTIF($K$2:K2279,K2279))&amp;K2279</f>
        <v>0</v>
      </c>
    </row>
    <row r="2280" spans="1:1" x14ac:dyDescent="0.25">
      <c r="A2280" t="str">
        <f>(COUNTIF($K$2:K2280,K2280))&amp;K2280</f>
        <v>0</v>
      </c>
    </row>
    <row r="2281" spans="1:1" x14ac:dyDescent="0.25">
      <c r="A2281" t="str">
        <f>(COUNTIF($K$2:K2281,K2281))&amp;K2281</f>
        <v>0</v>
      </c>
    </row>
    <row r="2282" spans="1:1" x14ac:dyDescent="0.25">
      <c r="A2282" t="str">
        <f>(COUNTIF($K$2:K2282,K2282))&amp;K2282</f>
        <v>0</v>
      </c>
    </row>
    <row r="2283" spans="1:1" x14ac:dyDescent="0.25">
      <c r="A2283" t="str">
        <f>(COUNTIF($K$2:K2283,K2283))&amp;K2283</f>
        <v>0</v>
      </c>
    </row>
    <row r="2284" spans="1:1" x14ac:dyDescent="0.25">
      <c r="A2284" t="str">
        <f>(COUNTIF($K$2:K2284,K2284))&amp;K2284</f>
        <v>0</v>
      </c>
    </row>
    <row r="2285" spans="1:1" x14ac:dyDescent="0.25">
      <c r="A2285" t="str">
        <f>(COUNTIF($K$2:K2285,K2285))&amp;K2285</f>
        <v>0</v>
      </c>
    </row>
    <row r="2286" spans="1:1" x14ac:dyDescent="0.25">
      <c r="A2286" t="str">
        <f>(COUNTIF($K$2:K2286,K2286))&amp;K2286</f>
        <v>0</v>
      </c>
    </row>
    <row r="2287" spans="1:1" x14ac:dyDescent="0.25">
      <c r="A2287" t="str">
        <f>(COUNTIF($K$2:K2287,K2287))&amp;K2287</f>
        <v>0</v>
      </c>
    </row>
    <row r="2288" spans="1:1" x14ac:dyDescent="0.25">
      <c r="A2288" t="str">
        <f>(COUNTIF($K$2:K2288,K2288))&amp;K2288</f>
        <v>0</v>
      </c>
    </row>
    <row r="2289" spans="1:1" x14ac:dyDescent="0.25">
      <c r="A2289" t="str">
        <f>(COUNTIF($K$2:K2289,K2289))&amp;K2289</f>
        <v>0</v>
      </c>
    </row>
    <row r="2290" spans="1:1" x14ac:dyDescent="0.25">
      <c r="A2290" t="str">
        <f>(COUNTIF($K$2:K2290,K2290))&amp;K2290</f>
        <v>0</v>
      </c>
    </row>
    <row r="2291" spans="1:1" x14ac:dyDescent="0.25">
      <c r="A2291" t="str">
        <f>(COUNTIF($K$2:K2291,K2291))&amp;K2291</f>
        <v>0</v>
      </c>
    </row>
    <row r="2292" spans="1:1" x14ac:dyDescent="0.25">
      <c r="A2292" t="str">
        <f>(COUNTIF($K$2:K2292,K2292))&amp;K2292</f>
        <v>0</v>
      </c>
    </row>
    <row r="2293" spans="1:1" x14ac:dyDescent="0.25">
      <c r="A2293" t="str">
        <f>(COUNTIF($K$2:K2293,K2293))&amp;K2293</f>
        <v>0</v>
      </c>
    </row>
    <row r="2294" spans="1:1" x14ac:dyDescent="0.25">
      <c r="A2294" t="str">
        <f>(COUNTIF($K$2:K2294,K2294))&amp;K2294</f>
        <v>0</v>
      </c>
    </row>
    <row r="2295" spans="1:1" x14ac:dyDescent="0.25">
      <c r="A2295" t="str">
        <f>(COUNTIF($K$2:K2295,K2295))&amp;K2295</f>
        <v>0</v>
      </c>
    </row>
    <row r="2296" spans="1:1" x14ac:dyDescent="0.25">
      <c r="A2296" t="str">
        <f>(COUNTIF($K$2:K2296,K2296))&amp;K2296</f>
        <v>0</v>
      </c>
    </row>
    <row r="2297" spans="1:1" x14ac:dyDescent="0.25">
      <c r="A2297" t="str">
        <f>(COUNTIF($K$2:K2297,K2297))&amp;K2297</f>
        <v>0</v>
      </c>
    </row>
    <row r="2298" spans="1:1" x14ac:dyDescent="0.25">
      <c r="A2298" t="str">
        <f>(COUNTIF($K$2:K2298,K2298))&amp;K2298</f>
        <v>0</v>
      </c>
    </row>
    <row r="2299" spans="1:1" x14ac:dyDescent="0.25">
      <c r="A2299" t="str">
        <f>(COUNTIF($K$2:K2299,K2299))&amp;K2299</f>
        <v>0</v>
      </c>
    </row>
    <row r="2300" spans="1:1" x14ac:dyDescent="0.25">
      <c r="A2300" t="str">
        <f>(COUNTIF($K$2:K2300,K2300))&amp;K2300</f>
        <v>0</v>
      </c>
    </row>
    <row r="2301" spans="1:1" x14ac:dyDescent="0.25">
      <c r="A2301" t="str">
        <f>(COUNTIF($K$2:K2301,K2301))&amp;K2301</f>
        <v>0</v>
      </c>
    </row>
    <row r="2302" spans="1:1" x14ac:dyDescent="0.25">
      <c r="A2302" t="str">
        <f>(COUNTIF($K$2:K2302,K2302))&amp;K2302</f>
        <v>0</v>
      </c>
    </row>
    <row r="2303" spans="1:1" x14ac:dyDescent="0.25">
      <c r="A2303" t="str">
        <f>(COUNTIF($K$2:K2303,K2303))&amp;K2303</f>
        <v>0</v>
      </c>
    </row>
    <row r="2304" spans="1:1" x14ac:dyDescent="0.25">
      <c r="A2304" t="str">
        <f>(COUNTIF($K$2:K2304,K2304))&amp;K2304</f>
        <v>0</v>
      </c>
    </row>
    <row r="2305" spans="1:1" x14ac:dyDescent="0.25">
      <c r="A2305" t="str">
        <f>(COUNTIF($K$2:K2305,K2305))&amp;K2305</f>
        <v>0</v>
      </c>
    </row>
    <row r="2306" spans="1:1" x14ac:dyDescent="0.25">
      <c r="A2306" t="str">
        <f>(COUNTIF($K$2:K2306,K2306))&amp;K2306</f>
        <v>0</v>
      </c>
    </row>
    <row r="2307" spans="1:1" x14ac:dyDescent="0.25">
      <c r="A2307" t="str">
        <f>(COUNTIF($K$2:K2307,K2307))&amp;K2307</f>
        <v>0</v>
      </c>
    </row>
    <row r="2308" spans="1:1" x14ac:dyDescent="0.25">
      <c r="A2308" t="str">
        <f>(COUNTIF($K$2:K2308,K2308))&amp;K2308</f>
        <v>0</v>
      </c>
    </row>
    <row r="2309" spans="1:1" x14ac:dyDescent="0.25">
      <c r="A2309" t="str">
        <f>(COUNTIF($K$2:K2309,K2309))&amp;K2309</f>
        <v>0</v>
      </c>
    </row>
    <row r="2310" spans="1:1" x14ac:dyDescent="0.25">
      <c r="A2310" t="str">
        <f>(COUNTIF($K$2:K2310,K2310))&amp;K2310</f>
        <v>0</v>
      </c>
    </row>
    <row r="2311" spans="1:1" x14ac:dyDescent="0.25">
      <c r="A2311" t="str">
        <f>(COUNTIF($K$2:K2311,K2311))&amp;K2311</f>
        <v>0</v>
      </c>
    </row>
    <row r="2312" spans="1:1" x14ac:dyDescent="0.25">
      <c r="A2312" t="str">
        <f>(COUNTIF($K$2:K2312,K2312))&amp;K2312</f>
        <v>0</v>
      </c>
    </row>
    <row r="2313" spans="1:1" x14ac:dyDescent="0.25">
      <c r="A2313" t="str">
        <f>(COUNTIF($K$2:K2313,K2313))&amp;K2313</f>
        <v>0</v>
      </c>
    </row>
    <row r="2314" spans="1:1" x14ac:dyDescent="0.25">
      <c r="A2314" t="str">
        <f>(COUNTIF($K$2:K2314,K2314))&amp;K2314</f>
        <v>0</v>
      </c>
    </row>
    <row r="2315" spans="1:1" x14ac:dyDescent="0.25">
      <c r="A2315" t="str">
        <f>(COUNTIF($K$2:K2315,K2315))&amp;K2315</f>
        <v>0</v>
      </c>
    </row>
    <row r="2316" spans="1:1" x14ac:dyDescent="0.25">
      <c r="A2316" t="str">
        <f>(COUNTIF($K$2:K2316,K2316))&amp;K2316</f>
        <v>0</v>
      </c>
    </row>
    <row r="2317" spans="1:1" x14ac:dyDescent="0.25">
      <c r="A2317" t="str">
        <f>(COUNTIF($K$2:K2317,K2317))&amp;K2317</f>
        <v>0</v>
      </c>
    </row>
    <row r="2318" spans="1:1" x14ac:dyDescent="0.25">
      <c r="A2318" t="str">
        <f>(COUNTIF($K$2:K2318,K2318))&amp;K2318</f>
        <v>0</v>
      </c>
    </row>
    <row r="2319" spans="1:1" x14ac:dyDescent="0.25">
      <c r="A2319" t="str">
        <f>(COUNTIF($K$2:K2319,K2319))&amp;K2319</f>
        <v>0</v>
      </c>
    </row>
    <row r="2320" spans="1:1" x14ac:dyDescent="0.25">
      <c r="A2320" t="str">
        <f>(COUNTIF($K$2:K2320,K2320))&amp;K2320</f>
        <v>0</v>
      </c>
    </row>
    <row r="2321" spans="1:1" x14ac:dyDescent="0.25">
      <c r="A2321" t="str">
        <f>(COUNTIF($K$2:K2321,K2321))&amp;K2321</f>
        <v>0</v>
      </c>
    </row>
    <row r="2322" spans="1:1" x14ac:dyDescent="0.25">
      <c r="A2322" t="str">
        <f>(COUNTIF($K$2:K2322,K2322))&amp;K2322</f>
        <v>0</v>
      </c>
    </row>
    <row r="2323" spans="1:1" x14ac:dyDescent="0.25">
      <c r="A2323" t="str">
        <f>(COUNTIF($K$2:K2323,K2323))&amp;K2323</f>
        <v>0</v>
      </c>
    </row>
    <row r="2324" spans="1:1" x14ac:dyDescent="0.25">
      <c r="A2324" t="str">
        <f>(COUNTIF($K$2:K2324,K2324))&amp;K2324</f>
        <v>0</v>
      </c>
    </row>
    <row r="2325" spans="1:1" x14ac:dyDescent="0.25">
      <c r="A2325" t="str">
        <f>(COUNTIF($K$2:K2325,K2325))&amp;K2325</f>
        <v>0</v>
      </c>
    </row>
    <row r="2326" spans="1:1" x14ac:dyDescent="0.25">
      <c r="A2326" t="str">
        <f>(COUNTIF($K$2:K2326,K2326))&amp;K2326</f>
        <v>0</v>
      </c>
    </row>
    <row r="2327" spans="1:1" x14ac:dyDescent="0.25">
      <c r="A2327" t="str">
        <f>(COUNTIF($K$2:K2327,K2327))&amp;K2327</f>
        <v>0</v>
      </c>
    </row>
    <row r="2328" spans="1:1" x14ac:dyDescent="0.25">
      <c r="A2328" t="str">
        <f>(COUNTIF($K$2:K2328,K2328))&amp;K2328</f>
        <v>0</v>
      </c>
    </row>
    <row r="2329" spans="1:1" x14ac:dyDescent="0.25">
      <c r="A2329" t="str">
        <f>(COUNTIF($K$2:K2329,K2329))&amp;K2329</f>
        <v>0</v>
      </c>
    </row>
    <row r="2330" spans="1:1" x14ac:dyDescent="0.25">
      <c r="A2330" t="str">
        <f>(COUNTIF($K$2:K2330,K2330))&amp;K2330</f>
        <v>0</v>
      </c>
    </row>
    <row r="2331" spans="1:1" x14ac:dyDescent="0.25">
      <c r="A2331" t="str">
        <f>(COUNTIF($K$2:K2331,K2331))&amp;K2331</f>
        <v>0</v>
      </c>
    </row>
    <row r="2332" spans="1:1" x14ac:dyDescent="0.25">
      <c r="A2332" t="str">
        <f>(COUNTIF($K$2:K2332,K2332))&amp;K2332</f>
        <v>0</v>
      </c>
    </row>
    <row r="2333" spans="1:1" x14ac:dyDescent="0.25">
      <c r="A2333" t="str">
        <f>(COUNTIF($K$2:K2333,K2333))&amp;K2333</f>
        <v>0</v>
      </c>
    </row>
    <row r="2334" spans="1:1" x14ac:dyDescent="0.25">
      <c r="A2334" t="str">
        <f>(COUNTIF($K$2:K2334,K2334))&amp;K2334</f>
        <v>0</v>
      </c>
    </row>
    <row r="2335" spans="1:1" x14ac:dyDescent="0.25">
      <c r="A2335" t="str">
        <f>(COUNTIF($K$2:K2335,K2335))&amp;K2335</f>
        <v>0</v>
      </c>
    </row>
    <row r="2336" spans="1:1" x14ac:dyDescent="0.25">
      <c r="A2336" t="str">
        <f>(COUNTIF($K$2:K2336,K2336))&amp;K2336</f>
        <v>0</v>
      </c>
    </row>
    <row r="2337" spans="1:1" x14ac:dyDescent="0.25">
      <c r="A2337" t="str">
        <f>(COUNTIF($K$2:K2337,K2337))&amp;K2337</f>
        <v>0</v>
      </c>
    </row>
    <row r="2338" spans="1:1" x14ac:dyDescent="0.25">
      <c r="A2338" t="str">
        <f>(COUNTIF($K$2:K2338,K2338))&amp;K2338</f>
        <v>0</v>
      </c>
    </row>
    <row r="2339" spans="1:1" x14ac:dyDescent="0.25">
      <c r="A2339" t="str">
        <f>(COUNTIF($K$2:K2339,K2339))&amp;K2339</f>
        <v>0</v>
      </c>
    </row>
    <row r="2340" spans="1:1" x14ac:dyDescent="0.25">
      <c r="A2340" t="str">
        <f>(COUNTIF($K$2:K2340,K2340))&amp;K2340</f>
        <v>0</v>
      </c>
    </row>
    <row r="2341" spans="1:1" x14ac:dyDescent="0.25">
      <c r="A2341" t="str">
        <f>(COUNTIF($K$2:K2341,K2341))&amp;K2341</f>
        <v>0</v>
      </c>
    </row>
    <row r="2342" spans="1:1" x14ac:dyDescent="0.25">
      <c r="A2342" t="str">
        <f>(COUNTIF($K$2:K2342,K2342))&amp;K2342</f>
        <v>0</v>
      </c>
    </row>
    <row r="2343" spans="1:1" x14ac:dyDescent="0.25">
      <c r="A2343" t="str">
        <f>(COUNTIF($K$2:K2343,K2343))&amp;K2343</f>
        <v>0</v>
      </c>
    </row>
    <row r="2344" spans="1:1" x14ac:dyDescent="0.25">
      <c r="A2344" t="str">
        <f>(COUNTIF($K$2:K2344,K2344))&amp;K2344</f>
        <v>0</v>
      </c>
    </row>
    <row r="2345" spans="1:1" x14ac:dyDescent="0.25">
      <c r="A2345" t="str">
        <f>(COUNTIF($K$2:K2345,K2345))&amp;K2345</f>
        <v>0</v>
      </c>
    </row>
    <row r="2346" spans="1:1" x14ac:dyDescent="0.25">
      <c r="A2346" t="str">
        <f>(COUNTIF($K$2:K2346,K2346))&amp;K2346</f>
        <v>0</v>
      </c>
    </row>
    <row r="2347" spans="1:1" x14ac:dyDescent="0.25">
      <c r="A2347" t="str">
        <f>(COUNTIF($K$2:K2347,K2347))&amp;K2347</f>
        <v>0</v>
      </c>
    </row>
    <row r="2348" spans="1:1" x14ac:dyDescent="0.25">
      <c r="A2348" t="str">
        <f>(COUNTIF($K$2:K2348,K2348))&amp;K2348</f>
        <v>0</v>
      </c>
    </row>
    <row r="2349" spans="1:1" x14ac:dyDescent="0.25">
      <c r="A2349" t="str">
        <f>(COUNTIF($K$2:K2349,K2349))&amp;K2349</f>
        <v>0</v>
      </c>
    </row>
    <row r="2350" spans="1:1" x14ac:dyDescent="0.25">
      <c r="A2350" t="str">
        <f>(COUNTIF($K$2:K2350,K2350))&amp;K2350</f>
        <v>0</v>
      </c>
    </row>
    <row r="2351" spans="1:1" x14ac:dyDescent="0.25">
      <c r="A2351" t="str">
        <f>(COUNTIF($K$2:K2351,K2351))&amp;K2351</f>
        <v>0</v>
      </c>
    </row>
    <row r="2352" spans="1:1" x14ac:dyDescent="0.25">
      <c r="A2352" t="str">
        <f>(COUNTIF($K$2:K2352,K2352))&amp;K2352</f>
        <v>0</v>
      </c>
    </row>
    <row r="2353" spans="1:1" x14ac:dyDescent="0.25">
      <c r="A2353" t="str">
        <f>(COUNTIF($K$2:K2353,K2353))&amp;K2353</f>
        <v>0</v>
      </c>
    </row>
    <row r="2354" spans="1:1" x14ac:dyDescent="0.25">
      <c r="A2354" t="str">
        <f>(COUNTIF($K$2:K2354,K2354))&amp;K2354</f>
        <v>0</v>
      </c>
    </row>
    <row r="2355" spans="1:1" x14ac:dyDescent="0.25">
      <c r="A2355" t="str">
        <f>(COUNTIF($K$2:K2355,K2355))&amp;K2355</f>
        <v>0</v>
      </c>
    </row>
    <row r="2356" spans="1:1" x14ac:dyDescent="0.25">
      <c r="A2356" t="str">
        <f>(COUNTIF($K$2:K2356,K2356))&amp;K2356</f>
        <v>0</v>
      </c>
    </row>
    <row r="2357" spans="1:1" x14ac:dyDescent="0.25">
      <c r="A2357" t="str">
        <f>(COUNTIF($K$2:K2357,K2357))&amp;K2357</f>
        <v>0</v>
      </c>
    </row>
    <row r="2358" spans="1:1" x14ac:dyDescent="0.25">
      <c r="A2358" t="str">
        <f>(COUNTIF($K$2:K2358,K2358))&amp;K2358</f>
        <v>0</v>
      </c>
    </row>
    <row r="2359" spans="1:1" x14ac:dyDescent="0.25">
      <c r="A2359" t="str">
        <f>(COUNTIF($K$2:K2359,K2359))&amp;K2359</f>
        <v>0</v>
      </c>
    </row>
    <row r="2360" spans="1:1" x14ac:dyDescent="0.25">
      <c r="A2360" t="str">
        <f>(COUNTIF($K$2:K2360,K2360))&amp;K2360</f>
        <v>0</v>
      </c>
    </row>
    <row r="2361" spans="1:1" x14ac:dyDescent="0.25">
      <c r="A2361" t="str">
        <f>(COUNTIF($K$2:K2361,K2361))&amp;K2361</f>
        <v>0</v>
      </c>
    </row>
    <row r="2362" spans="1:1" x14ac:dyDescent="0.25">
      <c r="A2362" t="str">
        <f>(COUNTIF($K$2:K2362,K2362))&amp;K2362</f>
        <v>0</v>
      </c>
    </row>
    <row r="2363" spans="1:1" x14ac:dyDescent="0.25">
      <c r="A2363" t="str">
        <f>(COUNTIF($K$2:K2363,K2363))&amp;K2363</f>
        <v>0</v>
      </c>
    </row>
    <row r="2364" spans="1:1" x14ac:dyDescent="0.25">
      <c r="A2364" t="str">
        <f>(COUNTIF($K$2:K2364,K2364))&amp;K2364</f>
        <v>0</v>
      </c>
    </row>
    <row r="2365" spans="1:1" x14ac:dyDescent="0.25">
      <c r="A2365" t="str">
        <f>(COUNTIF($K$2:K2365,K2365))&amp;K2365</f>
        <v>0</v>
      </c>
    </row>
    <row r="2366" spans="1:1" x14ac:dyDescent="0.25">
      <c r="A2366" t="str">
        <f>(COUNTIF($K$2:K2366,K2366))&amp;K2366</f>
        <v>0</v>
      </c>
    </row>
    <row r="2367" spans="1:1" x14ac:dyDescent="0.25">
      <c r="A2367" t="str">
        <f>(COUNTIF($K$2:K2367,K2367))&amp;K2367</f>
        <v>0</v>
      </c>
    </row>
    <row r="2368" spans="1:1" x14ac:dyDescent="0.25">
      <c r="A2368" t="str">
        <f>(COUNTIF($K$2:K2368,K2368))&amp;K2368</f>
        <v>0</v>
      </c>
    </row>
    <row r="2369" spans="1:1" x14ac:dyDescent="0.25">
      <c r="A2369" t="str">
        <f>(COUNTIF($K$2:K2369,K2369))&amp;K2369</f>
        <v>0</v>
      </c>
    </row>
    <row r="2370" spans="1:1" x14ac:dyDescent="0.25">
      <c r="A2370" t="str">
        <f>(COUNTIF($K$2:K2370,K2370))&amp;K2370</f>
        <v>0</v>
      </c>
    </row>
    <row r="2371" spans="1:1" x14ac:dyDescent="0.25">
      <c r="A2371" t="str">
        <f>(COUNTIF($K$2:K2371,K2371))&amp;K2371</f>
        <v>0</v>
      </c>
    </row>
    <row r="2372" spans="1:1" x14ac:dyDescent="0.25">
      <c r="A2372" t="str">
        <f>(COUNTIF($K$2:K2372,K2372))&amp;K2372</f>
        <v>0</v>
      </c>
    </row>
    <row r="2373" spans="1:1" x14ac:dyDescent="0.25">
      <c r="A2373" t="str">
        <f>(COUNTIF($K$2:K2373,K2373))&amp;K2373</f>
        <v>0</v>
      </c>
    </row>
    <row r="2374" spans="1:1" x14ac:dyDescent="0.25">
      <c r="A2374" t="str">
        <f>(COUNTIF($K$2:K2374,K2374))&amp;K2374</f>
        <v>0</v>
      </c>
    </row>
    <row r="2375" spans="1:1" x14ac:dyDescent="0.25">
      <c r="A2375" t="str">
        <f>(COUNTIF($K$2:K2375,K2375))&amp;K2375</f>
        <v>0</v>
      </c>
    </row>
    <row r="2376" spans="1:1" x14ac:dyDescent="0.25">
      <c r="A2376" t="str">
        <f>(COUNTIF($K$2:K2376,K2376))&amp;K2376</f>
        <v>0</v>
      </c>
    </row>
    <row r="2377" spans="1:1" x14ac:dyDescent="0.25">
      <c r="A2377" t="str">
        <f>(COUNTIF($K$2:K2377,K2377))&amp;K2377</f>
        <v>0</v>
      </c>
    </row>
    <row r="2378" spans="1:1" x14ac:dyDescent="0.25">
      <c r="A2378" t="str">
        <f>(COUNTIF($K$2:K2378,K2378))&amp;K2378</f>
        <v>0</v>
      </c>
    </row>
    <row r="2379" spans="1:1" x14ac:dyDescent="0.25">
      <c r="A2379" t="str">
        <f>(COUNTIF($K$2:K2379,K2379))&amp;K2379</f>
        <v>0</v>
      </c>
    </row>
    <row r="2380" spans="1:1" x14ac:dyDescent="0.25">
      <c r="A2380" t="str">
        <f>(COUNTIF($K$2:K2380,K2380))&amp;K2380</f>
        <v>0</v>
      </c>
    </row>
    <row r="2381" spans="1:1" x14ac:dyDescent="0.25">
      <c r="A2381" t="str">
        <f>(COUNTIF($K$2:K2381,K2381))&amp;K2381</f>
        <v>0</v>
      </c>
    </row>
    <row r="2382" spans="1:1" x14ac:dyDescent="0.25">
      <c r="A2382" t="str">
        <f>(COUNTIF($K$2:K2382,K2382))&amp;K2382</f>
        <v>0</v>
      </c>
    </row>
    <row r="2383" spans="1:1" x14ac:dyDescent="0.25">
      <c r="A2383" t="str">
        <f>(COUNTIF($K$2:K2383,K2383))&amp;K2383</f>
        <v>0</v>
      </c>
    </row>
    <row r="2384" spans="1:1" x14ac:dyDescent="0.25">
      <c r="A2384" t="str">
        <f>(COUNTIF($K$2:K2384,K2384))&amp;K2384</f>
        <v>0</v>
      </c>
    </row>
    <row r="2385" spans="1:1" x14ac:dyDescent="0.25">
      <c r="A2385" t="str">
        <f>(COUNTIF($K$2:K2385,K2385))&amp;K2385</f>
        <v>0</v>
      </c>
    </row>
    <row r="2386" spans="1:1" x14ac:dyDescent="0.25">
      <c r="A2386" t="str">
        <f>(COUNTIF($K$2:K2386,K2386))&amp;K2386</f>
        <v>0</v>
      </c>
    </row>
    <row r="2387" spans="1:1" x14ac:dyDescent="0.25">
      <c r="A2387" t="str">
        <f>(COUNTIF($K$2:K2387,K2387))&amp;K2387</f>
        <v>0</v>
      </c>
    </row>
    <row r="2388" spans="1:1" x14ac:dyDescent="0.25">
      <c r="A2388" t="str">
        <f>(COUNTIF($K$2:K2388,K2388))&amp;K2388</f>
        <v>0</v>
      </c>
    </row>
    <row r="2389" spans="1:1" x14ac:dyDescent="0.25">
      <c r="A2389" t="str">
        <f>(COUNTIF($K$2:K2389,K2389))&amp;K2389</f>
        <v>0</v>
      </c>
    </row>
    <row r="2390" spans="1:1" x14ac:dyDescent="0.25">
      <c r="A2390" t="str">
        <f>(COUNTIF($K$2:K2390,K2390))&amp;K2390</f>
        <v>0</v>
      </c>
    </row>
    <row r="2391" spans="1:1" x14ac:dyDescent="0.25">
      <c r="A2391" t="str">
        <f>(COUNTIF($K$2:K2391,K2391))&amp;K2391</f>
        <v>0</v>
      </c>
    </row>
    <row r="2392" spans="1:1" x14ac:dyDescent="0.25">
      <c r="A2392" t="str">
        <f>(COUNTIF($K$2:K2392,K2392))&amp;K2392</f>
        <v>0</v>
      </c>
    </row>
    <row r="2393" spans="1:1" x14ac:dyDescent="0.25">
      <c r="A2393" t="str">
        <f>(COUNTIF($K$2:K2393,K2393))&amp;K2393</f>
        <v>0</v>
      </c>
    </row>
    <row r="2394" spans="1:1" x14ac:dyDescent="0.25">
      <c r="A2394" t="str">
        <f>(COUNTIF($K$2:K2394,K2394))&amp;K2394</f>
        <v>0</v>
      </c>
    </row>
    <row r="2395" spans="1:1" x14ac:dyDescent="0.25">
      <c r="A2395" t="str">
        <f>(COUNTIF($K$2:K2395,K2395))&amp;K2395</f>
        <v>0</v>
      </c>
    </row>
    <row r="2396" spans="1:1" x14ac:dyDescent="0.25">
      <c r="A2396" t="str">
        <f>(COUNTIF($K$2:K2396,K2396))&amp;K2396</f>
        <v>0</v>
      </c>
    </row>
    <row r="2397" spans="1:1" x14ac:dyDescent="0.25">
      <c r="A2397" t="str">
        <f>(COUNTIF($K$2:K2397,K2397))&amp;K2397</f>
        <v>0</v>
      </c>
    </row>
    <row r="2398" spans="1:1" x14ac:dyDescent="0.25">
      <c r="A2398" t="str">
        <f>(COUNTIF($K$2:K2398,K2398))&amp;K2398</f>
        <v>0</v>
      </c>
    </row>
    <row r="2399" spans="1:1" x14ac:dyDescent="0.25">
      <c r="A2399" t="str">
        <f>(COUNTIF($K$2:K2399,K2399))&amp;K2399</f>
        <v>0</v>
      </c>
    </row>
    <row r="2400" spans="1:1" x14ac:dyDescent="0.25">
      <c r="A2400" t="str">
        <f>(COUNTIF($K$2:K2400,K2400))&amp;K2400</f>
        <v>0</v>
      </c>
    </row>
    <row r="2401" spans="1:1" x14ac:dyDescent="0.25">
      <c r="A2401" t="str">
        <f>(COUNTIF($K$2:K2401,K2401))&amp;K2401</f>
        <v>0</v>
      </c>
    </row>
    <row r="2402" spans="1:1" x14ac:dyDescent="0.25">
      <c r="A2402" t="str">
        <f>(COUNTIF($K$2:K2402,K2402))&amp;K2402</f>
        <v>0</v>
      </c>
    </row>
    <row r="2403" spans="1:1" x14ac:dyDescent="0.25">
      <c r="A2403" t="str">
        <f>(COUNTIF($K$2:K2403,K2403))&amp;K2403</f>
        <v>0</v>
      </c>
    </row>
    <row r="2404" spans="1:1" x14ac:dyDescent="0.25">
      <c r="A2404" t="str">
        <f>(COUNTIF($K$2:K2404,K2404))&amp;K2404</f>
        <v>0</v>
      </c>
    </row>
    <row r="2405" spans="1:1" x14ac:dyDescent="0.25">
      <c r="A2405" t="str">
        <f>(COUNTIF($K$2:K2405,K2405))&amp;K2405</f>
        <v>0</v>
      </c>
    </row>
    <row r="2406" spans="1:1" x14ac:dyDescent="0.25">
      <c r="A2406" t="str">
        <f>(COUNTIF($K$2:K2406,K2406))&amp;K2406</f>
        <v>0</v>
      </c>
    </row>
    <row r="2407" spans="1:1" x14ac:dyDescent="0.25">
      <c r="A2407" t="str">
        <f>(COUNTIF($K$2:K2407,K2407))&amp;K2407</f>
        <v>0</v>
      </c>
    </row>
    <row r="2408" spans="1:1" x14ac:dyDescent="0.25">
      <c r="A2408" t="str">
        <f>(COUNTIF($K$2:K2408,K2408))&amp;K2408</f>
        <v>0</v>
      </c>
    </row>
    <row r="2409" spans="1:1" x14ac:dyDescent="0.25">
      <c r="A2409" t="str">
        <f>(COUNTIF($K$2:K2409,K2409))&amp;K2409</f>
        <v>0</v>
      </c>
    </row>
    <row r="2410" spans="1:1" x14ac:dyDescent="0.25">
      <c r="A2410" t="str">
        <f>(COUNTIF($K$2:K2410,K2410))&amp;K2410</f>
        <v>0</v>
      </c>
    </row>
    <row r="2411" spans="1:1" x14ac:dyDescent="0.25">
      <c r="A2411" t="str">
        <f>(COUNTIF($K$2:K2411,K2411))&amp;K2411</f>
        <v>0</v>
      </c>
    </row>
    <row r="2412" spans="1:1" x14ac:dyDescent="0.25">
      <c r="A2412" t="str">
        <f>(COUNTIF($K$2:K2412,K2412))&amp;K2412</f>
        <v>0</v>
      </c>
    </row>
    <row r="2413" spans="1:1" x14ac:dyDescent="0.25">
      <c r="A2413" t="str">
        <f>(COUNTIF($K$2:K2413,K2413))&amp;K2413</f>
        <v>0</v>
      </c>
    </row>
    <row r="2414" spans="1:1" x14ac:dyDescent="0.25">
      <c r="A2414" t="str">
        <f>(COUNTIF($K$2:K2414,K2414))&amp;K2414</f>
        <v>0</v>
      </c>
    </row>
    <row r="2415" spans="1:1" x14ac:dyDescent="0.25">
      <c r="A2415" t="str">
        <f>(COUNTIF($K$2:K2415,K2415))&amp;K2415</f>
        <v>0</v>
      </c>
    </row>
    <row r="2416" spans="1:1" x14ac:dyDescent="0.25">
      <c r="A2416" t="str">
        <f>(COUNTIF($K$2:K2416,K2416))&amp;K2416</f>
        <v>0</v>
      </c>
    </row>
    <row r="2417" spans="1:1" x14ac:dyDescent="0.25">
      <c r="A2417" t="str">
        <f>(COUNTIF($K$2:K2417,K2417))&amp;K2417</f>
        <v>0</v>
      </c>
    </row>
    <row r="2418" spans="1:1" x14ac:dyDescent="0.25">
      <c r="A2418" t="str">
        <f>(COUNTIF($K$2:K2418,K2418))&amp;K2418</f>
        <v>0</v>
      </c>
    </row>
    <row r="2419" spans="1:1" x14ac:dyDescent="0.25">
      <c r="A2419" t="str">
        <f>(COUNTIF($K$2:K2419,K2419))&amp;K2419</f>
        <v>0</v>
      </c>
    </row>
    <row r="2420" spans="1:1" x14ac:dyDescent="0.25">
      <c r="A2420" t="str">
        <f>(COUNTIF($K$2:K2420,K2420))&amp;K2420</f>
        <v>0</v>
      </c>
    </row>
    <row r="2421" spans="1:1" x14ac:dyDescent="0.25">
      <c r="A2421" t="str">
        <f>(COUNTIF($K$2:K2421,K2421))&amp;K2421</f>
        <v>0</v>
      </c>
    </row>
    <row r="2422" spans="1:1" x14ac:dyDescent="0.25">
      <c r="A2422" t="str">
        <f>(COUNTIF($K$2:K2422,K2422))&amp;K2422</f>
        <v>0</v>
      </c>
    </row>
    <row r="2423" spans="1:1" x14ac:dyDescent="0.25">
      <c r="A2423" t="str">
        <f>(COUNTIF($K$2:K2423,K2423))&amp;K2423</f>
        <v>0</v>
      </c>
    </row>
    <row r="2424" spans="1:1" x14ac:dyDescent="0.25">
      <c r="A2424" t="str">
        <f>(COUNTIF($K$2:K2424,K2424))&amp;K2424</f>
        <v>0</v>
      </c>
    </row>
    <row r="2425" spans="1:1" x14ac:dyDescent="0.25">
      <c r="A2425" t="str">
        <f>(COUNTIF($K$2:K2425,K2425))&amp;K2425</f>
        <v>0</v>
      </c>
    </row>
    <row r="2426" spans="1:1" x14ac:dyDescent="0.25">
      <c r="A2426" t="str">
        <f>(COUNTIF($K$2:K2426,K2426))&amp;K2426</f>
        <v>0</v>
      </c>
    </row>
    <row r="2427" spans="1:1" x14ac:dyDescent="0.25">
      <c r="A2427" t="str">
        <f>(COUNTIF($K$2:K2427,K2427))&amp;K2427</f>
        <v>0</v>
      </c>
    </row>
    <row r="2428" spans="1:1" x14ac:dyDescent="0.25">
      <c r="A2428" t="str">
        <f>(COUNTIF($K$2:K2428,K2428))&amp;K2428</f>
        <v>0</v>
      </c>
    </row>
    <row r="2429" spans="1:1" x14ac:dyDescent="0.25">
      <c r="A2429" t="str">
        <f>(COUNTIF($K$2:K2429,K2429))&amp;K2429</f>
        <v>0</v>
      </c>
    </row>
    <row r="2430" spans="1:1" x14ac:dyDescent="0.25">
      <c r="A2430" t="str">
        <f>(COUNTIF($K$2:K2430,K2430))&amp;K2430</f>
        <v>0</v>
      </c>
    </row>
    <row r="2431" spans="1:1" x14ac:dyDescent="0.25">
      <c r="A2431" t="str">
        <f>(COUNTIF($K$2:K2431,K2431))&amp;K2431</f>
        <v>0</v>
      </c>
    </row>
    <row r="2432" spans="1:1" x14ac:dyDescent="0.25">
      <c r="A2432" t="str">
        <f>(COUNTIF($K$2:K2432,K2432))&amp;K2432</f>
        <v>0</v>
      </c>
    </row>
    <row r="2433" spans="1:1" x14ac:dyDescent="0.25">
      <c r="A2433" t="str">
        <f>(COUNTIF($K$2:K2433,K2433))&amp;K2433</f>
        <v>0</v>
      </c>
    </row>
    <row r="2434" spans="1:1" x14ac:dyDescent="0.25">
      <c r="A2434" t="str">
        <f>(COUNTIF($K$2:K2434,K2434))&amp;K2434</f>
        <v>0</v>
      </c>
    </row>
    <row r="2435" spans="1:1" x14ac:dyDescent="0.25">
      <c r="A2435" t="str">
        <f>(COUNTIF($K$2:K2435,K2435))&amp;K2435</f>
        <v>0</v>
      </c>
    </row>
    <row r="2436" spans="1:1" x14ac:dyDescent="0.25">
      <c r="A2436" t="str">
        <f>(COUNTIF($K$2:K2436,K2436))&amp;K2436</f>
        <v>0</v>
      </c>
    </row>
    <row r="2437" spans="1:1" x14ac:dyDescent="0.25">
      <c r="A2437" t="str">
        <f>(COUNTIF($K$2:K2437,K2437))&amp;K2437</f>
        <v>0</v>
      </c>
    </row>
    <row r="2438" spans="1:1" x14ac:dyDescent="0.25">
      <c r="A2438" t="str">
        <f>(COUNTIF($K$2:K2438,K2438))&amp;K2438</f>
        <v>0</v>
      </c>
    </row>
    <row r="2439" spans="1:1" x14ac:dyDescent="0.25">
      <c r="A2439" t="str">
        <f>(COUNTIF($K$2:K2439,K2439))&amp;K2439</f>
        <v>0</v>
      </c>
    </row>
    <row r="2440" spans="1:1" x14ac:dyDescent="0.25">
      <c r="A2440" t="str">
        <f>(COUNTIF($K$2:K2440,K2440))&amp;K2440</f>
        <v>0</v>
      </c>
    </row>
    <row r="2441" spans="1:1" x14ac:dyDescent="0.25">
      <c r="A2441" t="str">
        <f>(COUNTIF($K$2:K2441,K2441))&amp;K2441</f>
        <v>0</v>
      </c>
    </row>
    <row r="2442" spans="1:1" x14ac:dyDescent="0.25">
      <c r="A2442" t="str">
        <f>(COUNTIF($K$2:K2442,K2442))&amp;K2442</f>
        <v>0</v>
      </c>
    </row>
    <row r="2443" spans="1:1" x14ac:dyDescent="0.25">
      <c r="A2443" t="str">
        <f>(COUNTIF($K$2:K2443,K2443))&amp;K2443</f>
        <v>0</v>
      </c>
    </row>
    <row r="2444" spans="1:1" x14ac:dyDescent="0.25">
      <c r="A2444" t="str">
        <f>(COUNTIF($K$2:K2444,K2444))&amp;K2444</f>
        <v>0</v>
      </c>
    </row>
    <row r="2445" spans="1:1" x14ac:dyDescent="0.25">
      <c r="A2445" t="str">
        <f>(COUNTIF($K$2:K2445,K2445))&amp;K2445</f>
        <v>0</v>
      </c>
    </row>
    <row r="2446" spans="1:1" x14ac:dyDescent="0.25">
      <c r="A2446" t="str">
        <f>(COUNTIF($K$2:K2446,K2446))&amp;K2446</f>
        <v>0</v>
      </c>
    </row>
    <row r="2447" spans="1:1" x14ac:dyDescent="0.25">
      <c r="A2447" t="str">
        <f>(COUNTIF($K$2:K2447,K2447))&amp;K2447</f>
        <v>0</v>
      </c>
    </row>
    <row r="2448" spans="1:1" x14ac:dyDescent="0.25">
      <c r="A2448" t="str">
        <f>(COUNTIF($K$2:K2448,K2448))&amp;K2448</f>
        <v>0</v>
      </c>
    </row>
    <row r="2449" spans="1:1" x14ac:dyDescent="0.25">
      <c r="A2449" t="str">
        <f>(COUNTIF($K$2:K2449,K2449))&amp;K2449</f>
        <v>0</v>
      </c>
    </row>
    <row r="2450" spans="1:1" x14ac:dyDescent="0.25">
      <c r="A2450" t="str">
        <f>(COUNTIF($K$2:K2450,K2450))&amp;K2450</f>
        <v>0</v>
      </c>
    </row>
    <row r="2451" spans="1:1" x14ac:dyDescent="0.25">
      <c r="A2451" t="str">
        <f>(COUNTIF($K$2:K2451,K2451))&amp;K2451</f>
        <v>0</v>
      </c>
    </row>
    <row r="2452" spans="1:1" x14ac:dyDescent="0.25">
      <c r="A2452" t="str">
        <f>(COUNTIF($K$2:K2452,K2452))&amp;K2452</f>
        <v>0</v>
      </c>
    </row>
    <row r="2453" spans="1:1" x14ac:dyDescent="0.25">
      <c r="A2453" t="str">
        <f>(COUNTIF($K$2:K2453,K2453))&amp;K2453</f>
        <v>0</v>
      </c>
    </row>
    <row r="2454" spans="1:1" x14ac:dyDescent="0.25">
      <c r="A2454" t="str">
        <f>(COUNTIF($K$2:K2454,K2454))&amp;K2454</f>
        <v>0</v>
      </c>
    </row>
    <row r="2455" spans="1:1" x14ac:dyDescent="0.25">
      <c r="A2455" t="str">
        <f>(COUNTIF($K$2:K2455,K2455))&amp;K2455</f>
        <v>0</v>
      </c>
    </row>
    <row r="2456" spans="1:1" x14ac:dyDescent="0.25">
      <c r="A2456" t="str">
        <f>(COUNTIF($K$2:K2456,K2456))&amp;K2456</f>
        <v>0</v>
      </c>
    </row>
    <row r="2457" spans="1:1" x14ac:dyDescent="0.25">
      <c r="A2457" t="str">
        <f>(COUNTIF($K$2:K2457,K2457))&amp;K2457</f>
        <v>0</v>
      </c>
    </row>
    <row r="2458" spans="1:1" x14ac:dyDescent="0.25">
      <c r="A2458" t="str">
        <f>(COUNTIF($K$2:K2458,K2458))&amp;K2458</f>
        <v>0</v>
      </c>
    </row>
    <row r="2459" spans="1:1" x14ac:dyDescent="0.25">
      <c r="A2459" t="str">
        <f>(COUNTIF($K$2:K2459,K2459))&amp;K2459</f>
        <v>0</v>
      </c>
    </row>
    <row r="2460" spans="1:1" x14ac:dyDescent="0.25">
      <c r="A2460" t="str">
        <f>(COUNTIF($K$2:K2460,K2460))&amp;K2460</f>
        <v>0</v>
      </c>
    </row>
    <row r="2461" spans="1:1" x14ac:dyDescent="0.25">
      <c r="A2461" t="str">
        <f>(COUNTIF($K$2:K2461,K2461))&amp;K2461</f>
        <v>0</v>
      </c>
    </row>
    <row r="2462" spans="1:1" x14ac:dyDescent="0.25">
      <c r="A2462" t="str">
        <f>(COUNTIF($K$2:K2462,K2462))&amp;K2462</f>
        <v>0</v>
      </c>
    </row>
    <row r="2463" spans="1:1" x14ac:dyDescent="0.25">
      <c r="A2463" t="str">
        <f>(COUNTIF($K$2:K2463,K2463))&amp;K2463</f>
        <v>0</v>
      </c>
    </row>
    <row r="2464" spans="1:1" x14ac:dyDescent="0.25">
      <c r="A2464" t="str">
        <f>(COUNTIF($K$2:K2464,K2464))&amp;K2464</f>
        <v>0</v>
      </c>
    </row>
    <row r="2465" spans="1:1" x14ac:dyDescent="0.25">
      <c r="A2465" t="str">
        <f>(COUNTIF($K$2:K2465,K2465))&amp;K2465</f>
        <v>0</v>
      </c>
    </row>
    <row r="2466" spans="1:1" x14ac:dyDescent="0.25">
      <c r="A2466" t="str">
        <f>(COUNTIF($K$2:K2466,K2466))&amp;K2466</f>
        <v>0</v>
      </c>
    </row>
    <row r="2467" spans="1:1" x14ac:dyDescent="0.25">
      <c r="A2467" t="str">
        <f>(COUNTIF($K$2:K2467,K2467))&amp;K2467</f>
        <v>0</v>
      </c>
    </row>
    <row r="2468" spans="1:1" x14ac:dyDescent="0.25">
      <c r="A2468" t="str">
        <f>(COUNTIF($K$2:K2468,K2468))&amp;K2468</f>
        <v>0</v>
      </c>
    </row>
    <row r="2469" spans="1:1" x14ac:dyDescent="0.25">
      <c r="A2469" t="str">
        <f>(COUNTIF($K$2:K2469,K2469))&amp;K2469</f>
        <v>0</v>
      </c>
    </row>
    <row r="2470" spans="1:1" x14ac:dyDescent="0.25">
      <c r="A2470" t="str">
        <f>(COUNTIF($K$2:K2470,K2470))&amp;K2470</f>
        <v>0</v>
      </c>
    </row>
    <row r="2471" spans="1:1" x14ac:dyDescent="0.25">
      <c r="A2471" t="str">
        <f>(COUNTIF($K$2:K2471,K2471))&amp;K2471</f>
        <v>0</v>
      </c>
    </row>
    <row r="2472" spans="1:1" x14ac:dyDescent="0.25">
      <c r="A2472" t="str">
        <f>(COUNTIF($K$2:K2472,K2472))&amp;K2472</f>
        <v>0</v>
      </c>
    </row>
    <row r="2473" spans="1:1" x14ac:dyDescent="0.25">
      <c r="A2473" t="str">
        <f>(COUNTIF($K$2:K2473,K2473))&amp;K2473</f>
        <v>0</v>
      </c>
    </row>
    <row r="2474" spans="1:1" x14ac:dyDescent="0.25">
      <c r="A2474" t="str">
        <f>(COUNTIF($K$2:K2474,K2474))&amp;K2474</f>
        <v>0</v>
      </c>
    </row>
    <row r="2475" spans="1:1" x14ac:dyDescent="0.25">
      <c r="A2475" t="str">
        <f>(COUNTIF($K$2:K2475,K2475))&amp;K2475</f>
        <v>0</v>
      </c>
    </row>
    <row r="2476" spans="1:1" x14ac:dyDescent="0.25">
      <c r="A2476" t="str">
        <f>(COUNTIF($K$2:K2476,K2476))&amp;K2476</f>
        <v>0</v>
      </c>
    </row>
    <row r="2477" spans="1:1" x14ac:dyDescent="0.25">
      <c r="A2477" t="str">
        <f>(COUNTIF($K$2:K2477,K2477))&amp;K2477</f>
        <v>0</v>
      </c>
    </row>
    <row r="2478" spans="1:1" x14ac:dyDescent="0.25">
      <c r="A2478" t="str">
        <f>(COUNTIF($K$2:K2478,K2478))&amp;K2478</f>
        <v>0</v>
      </c>
    </row>
    <row r="2479" spans="1:1" x14ac:dyDescent="0.25">
      <c r="A2479" t="str">
        <f>(COUNTIF($K$2:K2479,K2479))&amp;K2479</f>
        <v>0</v>
      </c>
    </row>
    <row r="2480" spans="1:1" x14ac:dyDescent="0.25">
      <c r="A2480" t="str">
        <f>(COUNTIF($K$2:K2480,K2480))&amp;K2480</f>
        <v>0</v>
      </c>
    </row>
    <row r="2481" spans="1:1" x14ac:dyDescent="0.25">
      <c r="A2481" t="str">
        <f>(COUNTIF($K$2:K2481,K2481))&amp;K2481</f>
        <v>0</v>
      </c>
    </row>
    <row r="2482" spans="1:1" x14ac:dyDescent="0.25">
      <c r="A2482" t="str">
        <f>(COUNTIF($K$2:K2482,K2482))&amp;K2482</f>
        <v>0</v>
      </c>
    </row>
    <row r="2483" spans="1:1" x14ac:dyDescent="0.25">
      <c r="A2483" t="str">
        <f>(COUNTIF($K$2:K2483,K2483))&amp;K2483</f>
        <v>0</v>
      </c>
    </row>
    <row r="2484" spans="1:1" x14ac:dyDescent="0.25">
      <c r="A2484" t="str">
        <f>(COUNTIF($K$2:K2484,K2484))&amp;K2484</f>
        <v>0</v>
      </c>
    </row>
    <row r="2485" spans="1:1" x14ac:dyDescent="0.25">
      <c r="A2485" t="str">
        <f>(COUNTIF($K$2:K2485,K2485))&amp;K2485</f>
        <v>0</v>
      </c>
    </row>
    <row r="2486" spans="1:1" x14ac:dyDescent="0.25">
      <c r="A2486" t="str">
        <f>(COUNTIF($K$2:K2486,K2486))&amp;K2486</f>
        <v>0</v>
      </c>
    </row>
    <row r="2487" spans="1:1" x14ac:dyDescent="0.25">
      <c r="A2487" t="str">
        <f>(COUNTIF($K$2:K2487,K2487))&amp;K2487</f>
        <v>0</v>
      </c>
    </row>
    <row r="2488" spans="1:1" x14ac:dyDescent="0.25">
      <c r="A2488" t="str">
        <f>(COUNTIF($K$2:K2488,K2488))&amp;K2488</f>
        <v>0</v>
      </c>
    </row>
    <row r="2489" spans="1:1" x14ac:dyDescent="0.25">
      <c r="A2489" t="str">
        <f>(COUNTIF($K$2:K2489,K2489))&amp;K2489</f>
        <v>0</v>
      </c>
    </row>
    <row r="2490" spans="1:1" x14ac:dyDescent="0.25">
      <c r="A2490" t="str">
        <f>(COUNTIF($K$2:K2490,K2490))&amp;K2490</f>
        <v>0</v>
      </c>
    </row>
    <row r="2491" spans="1:1" x14ac:dyDescent="0.25">
      <c r="A2491" t="str">
        <f>(COUNTIF($K$2:K2491,K2491))&amp;K2491</f>
        <v>0</v>
      </c>
    </row>
    <row r="2492" spans="1:1" x14ac:dyDescent="0.25">
      <c r="A2492" t="str">
        <f>(COUNTIF($K$2:K2492,K2492))&amp;K2492</f>
        <v>0</v>
      </c>
    </row>
    <row r="2493" spans="1:1" x14ac:dyDescent="0.25">
      <c r="A2493" t="str">
        <f>(COUNTIF($K$2:K2493,K2493))&amp;K2493</f>
        <v>0</v>
      </c>
    </row>
    <row r="2494" spans="1:1" x14ac:dyDescent="0.25">
      <c r="A2494" t="str">
        <f>(COUNTIF($K$2:K2494,K2494))&amp;K2494</f>
        <v>0</v>
      </c>
    </row>
    <row r="2495" spans="1:1" x14ac:dyDescent="0.25">
      <c r="A2495" t="str">
        <f>(COUNTIF($K$2:K2495,K2495))&amp;K2495</f>
        <v>0</v>
      </c>
    </row>
    <row r="2496" spans="1:1" x14ac:dyDescent="0.25">
      <c r="A2496" t="str">
        <f>(COUNTIF($K$2:K2496,K2496))&amp;K2496</f>
        <v>0</v>
      </c>
    </row>
    <row r="2497" spans="1:1" x14ac:dyDescent="0.25">
      <c r="A2497" t="str">
        <f>(COUNTIF($K$2:K2497,K2497))&amp;K2497</f>
        <v>0</v>
      </c>
    </row>
    <row r="2498" spans="1:1" x14ac:dyDescent="0.25">
      <c r="A2498" t="str">
        <f>(COUNTIF($K$2:K2498,K2498))&amp;K2498</f>
        <v>0</v>
      </c>
    </row>
    <row r="2499" spans="1:1" x14ac:dyDescent="0.25">
      <c r="A2499" t="str">
        <f>(COUNTIF($K$2:K2499,K2499))&amp;K2499</f>
        <v>0</v>
      </c>
    </row>
    <row r="2500" spans="1:1" x14ac:dyDescent="0.25">
      <c r="A2500" t="str">
        <f>(COUNTIF($K$2:K2500,K2500))&amp;K2500</f>
        <v>0</v>
      </c>
    </row>
    <row r="2501" spans="1:1" x14ac:dyDescent="0.25">
      <c r="A2501" t="str">
        <f>(COUNTIF($K$2:K2501,K2501))&amp;K2501</f>
        <v>0</v>
      </c>
    </row>
    <row r="2502" spans="1:1" x14ac:dyDescent="0.25">
      <c r="A2502" t="str">
        <f>(COUNTIF($K$2:K2502,K2502))&amp;K2502</f>
        <v>0</v>
      </c>
    </row>
    <row r="2503" spans="1:1" x14ac:dyDescent="0.25">
      <c r="A2503" t="str">
        <f>(COUNTIF($K$2:K2503,K2503))&amp;K2503</f>
        <v>0</v>
      </c>
    </row>
    <row r="2504" spans="1:1" x14ac:dyDescent="0.25">
      <c r="A2504" t="str">
        <f>(COUNTIF($K$2:K2504,K2504))&amp;K2504</f>
        <v>0</v>
      </c>
    </row>
    <row r="2505" spans="1:1" x14ac:dyDescent="0.25">
      <c r="A2505" t="str">
        <f>(COUNTIF($K$2:K2505,K2505))&amp;K2505</f>
        <v>0</v>
      </c>
    </row>
    <row r="2506" spans="1:1" x14ac:dyDescent="0.25">
      <c r="A2506" t="str">
        <f>(COUNTIF($K$2:K2506,K2506))&amp;K2506</f>
        <v>0</v>
      </c>
    </row>
    <row r="2507" spans="1:1" x14ac:dyDescent="0.25">
      <c r="A2507" t="str">
        <f>(COUNTIF($K$2:K2507,K2507))&amp;K2507</f>
        <v>0</v>
      </c>
    </row>
    <row r="2508" spans="1:1" x14ac:dyDescent="0.25">
      <c r="A2508" t="str">
        <f>(COUNTIF($K$2:K2508,K2508))&amp;K2508</f>
        <v>0</v>
      </c>
    </row>
    <row r="2509" spans="1:1" x14ac:dyDescent="0.25">
      <c r="A2509" t="str">
        <f>(COUNTIF($K$2:K2509,K2509))&amp;K2509</f>
        <v>0</v>
      </c>
    </row>
    <row r="2510" spans="1:1" x14ac:dyDescent="0.25">
      <c r="A2510" t="str">
        <f>(COUNTIF($K$2:K2510,K2510))&amp;K2510</f>
        <v>0</v>
      </c>
    </row>
    <row r="2511" spans="1:1" x14ac:dyDescent="0.25">
      <c r="A2511" t="str">
        <f>(COUNTIF($K$2:K2511,K2511))&amp;K2511</f>
        <v>0</v>
      </c>
    </row>
    <row r="2512" spans="1:1" x14ac:dyDescent="0.25">
      <c r="A2512" t="str">
        <f>(COUNTIF($K$2:K2512,K2512))&amp;K2512</f>
        <v>0</v>
      </c>
    </row>
    <row r="2513" spans="1:1" x14ac:dyDescent="0.25">
      <c r="A2513" t="str">
        <f>(COUNTIF($K$2:K2513,K2513))&amp;K2513</f>
        <v>0</v>
      </c>
    </row>
    <row r="2514" spans="1:1" x14ac:dyDescent="0.25">
      <c r="A2514" t="str">
        <f>(COUNTIF($K$2:K2514,K2514))&amp;K2514</f>
        <v>0</v>
      </c>
    </row>
    <row r="2515" spans="1:1" x14ac:dyDescent="0.25">
      <c r="A2515" t="str">
        <f>(COUNTIF($K$2:K2515,K2515))&amp;K2515</f>
        <v>0</v>
      </c>
    </row>
    <row r="2516" spans="1:1" x14ac:dyDescent="0.25">
      <c r="A2516" t="str">
        <f>(COUNTIF($K$2:K2516,K2516))&amp;K2516</f>
        <v>0</v>
      </c>
    </row>
    <row r="2517" spans="1:1" x14ac:dyDescent="0.25">
      <c r="A2517" t="str">
        <f>(COUNTIF($K$2:K2517,K2517))&amp;K2517</f>
        <v>0</v>
      </c>
    </row>
    <row r="2518" spans="1:1" x14ac:dyDescent="0.25">
      <c r="A2518" t="str">
        <f>(COUNTIF($K$2:K2518,K2518))&amp;K2518</f>
        <v>0</v>
      </c>
    </row>
    <row r="2519" spans="1:1" x14ac:dyDescent="0.25">
      <c r="A2519" t="str">
        <f>(COUNTIF($K$2:K2519,K2519))&amp;K2519</f>
        <v>0</v>
      </c>
    </row>
    <row r="2520" spans="1:1" x14ac:dyDescent="0.25">
      <c r="A2520" t="str">
        <f>(COUNTIF($K$2:K2520,K2520))&amp;K2520</f>
        <v>0</v>
      </c>
    </row>
    <row r="2521" spans="1:1" x14ac:dyDescent="0.25">
      <c r="A2521" t="str">
        <f>(COUNTIF($K$2:K2521,K2521))&amp;K2521</f>
        <v>0</v>
      </c>
    </row>
    <row r="2522" spans="1:1" x14ac:dyDescent="0.25">
      <c r="A2522" t="str">
        <f>(COUNTIF($K$2:K2522,K2522))&amp;K2522</f>
        <v>0</v>
      </c>
    </row>
    <row r="2523" spans="1:1" x14ac:dyDescent="0.25">
      <c r="A2523" t="str">
        <f>(COUNTIF($K$2:K2523,K2523))&amp;K2523</f>
        <v>0</v>
      </c>
    </row>
    <row r="2524" spans="1:1" x14ac:dyDescent="0.25">
      <c r="A2524" t="str">
        <f>(COUNTIF($K$2:K2524,K2524))&amp;K2524</f>
        <v>0</v>
      </c>
    </row>
    <row r="2525" spans="1:1" x14ac:dyDescent="0.25">
      <c r="A2525" t="str">
        <f>(COUNTIF($K$2:K2525,K2525))&amp;K2525</f>
        <v>0</v>
      </c>
    </row>
    <row r="2526" spans="1:1" x14ac:dyDescent="0.25">
      <c r="A2526" t="str">
        <f>(COUNTIF($K$2:K2526,K2526))&amp;K2526</f>
        <v>0</v>
      </c>
    </row>
    <row r="2527" spans="1:1" x14ac:dyDescent="0.25">
      <c r="A2527" t="str">
        <f>(COUNTIF($K$2:K2527,K2527))&amp;K2527</f>
        <v>0</v>
      </c>
    </row>
    <row r="2528" spans="1:1" x14ac:dyDescent="0.25">
      <c r="A2528" t="str">
        <f>(COUNTIF($K$2:K2528,K2528))&amp;K2528</f>
        <v>0</v>
      </c>
    </row>
    <row r="2529" spans="1:1" x14ac:dyDescent="0.25">
      <c r="A2529" t="str">
        <f>(COUNTIF($K$2:K2529,K2529))&amp;K2529</f>
        <v>0</v>
      </c>
    </row>
    <row r="2530" spans="1:1" x14ac:dyDescent="0.25">
      <c r="A2530" t="str">
        <f>(COUNTIF($K$2:K2530,K2530))&amp;K2530</f>
        <v>0</v>
      </c>
    </row>
    <row r="2531" spans="1:1" x14ac:dyDescent="0.25">
      <c r="A2531" t="str">
        <f>(COUNTIF($K$2:K2531,K2531))&amp;K2531</f>
        <v>0</v>
      </c>
    </row>
    <row r="2532" spans="1:1" x14ac:dyDescent="0.25">
      <c r="A2532" t="str">
        <f>(COUNTIF($K$2:K2532,K2532))&amp;K2532</f>
        <v>0</v>
      </c>
    </row>
    <row r="2533" spans="1:1" x14ac:dyDescent="0.25">
      <c r="A2533" t="str">
        <f>(COUNTIF($K$2:K2533,K2533))&amp;K2533</f>
        <v>0</v>
      </c>
    </row>
    <row r="2534" spans="1:1" x14ac:dyDescent="0.25">
      <c r="A2534" t="str">
        <f>(COUNTIF($K$2:K2534,K2534))&amp;K2534</f>
        <v>0</v>
      </c>
    </row>
    <row r="2535" spans="1:1" x14ac:dyDescent="0.25">
      <c r="A2535" t="str">
        <f>(COUNTIF($K$2:K2535,K2535))&amp;K2535</f>
        <v>0</v>
      </c>
    </row>
    <row r="2536" spans="1:1" x14ac:dyDescent="0.25">
      <c r="A2536" t="str">
        <f>(COUNTIF($K$2:K2536,K2536))&amp;K2536</f>
        <v>0</v>
      </c>
    </row>
    <row r="2537" spans="1:1" x14ac:dyDescent="0.25">
      <c r="A2537" t="str">
        <f>(COUNTIF($K$2:K2537,K2537))&amp;K2537</f>
        <v>0</v>
      </c>
    </row>
    <row r="2538" spans="1:1" x14ac:dyDescent="0.25">
      <c r="A2538" t="str">
        <f>(COUNTIF($K$2:K2538,K2538))&amp;K2538</f>
        <v>0</v>
      </c>
    </row>
    <row r="2539" spans="1:1" x14ac:dyDescent="0.25">
      <c r="A2539" t="str">
        <f>(COUNTIF($K$2:K2539,K2539))&amp;K2539</f>
        <v>0</v>
      </c>
    </row>
    <row r="2540" spans="1:1" x14ac:dyDescent="0.25">
      <c r="A2540" t="str">
        <f>(COUNTIF($K$2:K2540,K2540))&amp;K2540</f>
        <v>0</v>
      </c>
    </row>
    <row r="2541" spans="1:1" x14ac:dyDescent="0.25">
      <c r="A2541" t="str">
        <f>(COUNTIF($K$2:K2541,K2541))&amp;K2541</f>
        <v>0</v>
      </c>
    </row>
    <row r="2542" spans="1:1" x14ac:dyDescent="0.25">
      <c r="A2542" t="str">
        <f>(COUNTIF($K$2:K2542,K2542))&amp;K2542</f>
        <v>0</v>
      </c>
    </row>
    <row r="2543" spans="1:1" x14ac:dyDescent="0.25">
      <c r="A2543" t="str">
        <f>(COUNTIF($K$2:K2543,K2543))&amp;K2543</f>
        <v>0</v>
      </c>
    </row>
    <row r="2544" spans="1:1" x14ac:dyDescent="0.25">
      <c r="A2544" t="str">
        <f>(COUNTIF($K$2:K2544,K2544))&amp;K2544</f>
        <v>0</v>
      </c>
    </row>
    <row r="2545" spans="1:1" x14ac:dyDescent="0.25">
      <c r="A2545" t="str">
        <f>(COUNTIF($K$2:K2545,K2545))&amp;K2545</f>
        <v>0</v>
      </c>
    </row>
    <row r="2546" spans="1:1" x14ac:dyDescent="0.25">
      <c r="A2546" t="str">
        <f>(COUNTIF($K$2:K2546,K2546))&amp;K2546</f>
        <v>0</v>
      </c>
    </row>
    <row r="2547" spans="1:1" x14ac:dyDescent="0.25">
      <c r="A2547" t="str">
        <f>(COUNTIF($K$2:K2547,K2547))&amp;K2547</f>
        <v>0</v>
      </c>
    </row>
    <row r="2548" spans="1:1" x14ac:dyDescent="0.25">
      <c r="A2548" t="str">
        <f>(COUNTIF($K$2:K2548,K2548))&amp;K2548</f>
        <v>0</v>
      </c>
    </row>
    <row r="2549" spans="1:1" x14ac:dyDescent="0.25">
      <c r="A2549" t="str">
        <f>(COUNTIF($K$2:K2549,K2549))&amp;K2549</f>
        <v>0</v>
      </c>
    </row>
    <row r="2550" spans="1:1" x14ac:dyDescent="0.25">
      <c r="A2550" t="str">
        <f>(COUNTIF($K$2:K2550,K2550))&amp;K2550</f>
        <v>0</v>
      </c>
    </row>
    <row r="2551" spans="1:1" x14ac:dyDescent="0.25">
      <c r="A2551" t="str">
        <f>(COUNTIF($K$2:K2551,K2551))&amp;K2551</f>
        <v>0</v>
      </c>
    </row>
    <row r="2552" spans="1:1" x14ac:dyDescent="0.25">
      <c r="A2552" t="str">
        <f>(COUNTIF($K$2:K2552,K2552))&amp;K2552</f>
        <v>0</v>
      </c>
    </row>
    <row r="2553" spans="1:1" x14ac:dyDescent="0.25">
      <c r="A2553" t="str">
        <f>(COUNTIF($K$2:K2553,K2553))&amp;K2553</f>
        <v>0</v>
      </c>
    </row>
    <row r="2554" spans="1:1" x14ac:dyDescent="0.25">
      <c r="A2554" t="str">
        <f>(COUNTIF($K$2:K2554,K2554))&amp;K2554</f>
        <v>0</v>
      </c>
    </row>
    <row r="2555" spans="1:1" x14ac:dyDescent="0.25">
      <c r="A2555" t="str">
        <f>(COUNTIF($K$2:K2555,K2555))&amp;K2555</f>
        <v>0</v>
      </c>
    </row>
    <row r="2556" spans="1:1" x14ac:dyDescent="0.25">
      <c r="A2556" t="str">
        <f>(COUNTIF($K$2:K2556,K2556))&amp;K2556</f>
        <v>0</v>
      </c>
    </row>
    <row r="2557" spans="1:1" x14ac:dyDescent="0.25">
      <c r="A2557" t="str">
        <f>(COUNTIF($K$2:K2557,K2557))&amp;K2557</f>
        <v>0</v>
      </c>
    </row>
    <row r="2558" spans="1:1" x14ac:dyDescent="0.25">
      <c r="A2558" t="str">
        <f>(COUNTIF($K$2:K2558,K2558))&amp;K2558</f>
        <v>0</v>
      </c>
    </row>
    <row r="2559" spans="1:1" x14ac:dyDescent="0.25">
      <c r="A2559" t="str">
        <f>(COUNTIF($K$2:K2559,K2559))&amp;K2559</f>
        <v>0</v>
      </c>
    </row>
    <row r="2560" spans="1:1" x14ac:dyDescent="0.25">
      <c r="A2560" t="str">
        <f>(COUNTIF($K$2:K2560,K2560))&amp;K2560</f>
        <v>0</v>
      </c>
    </row>
    <row r="2561" spans="1:1" x14ac:dyDescent="0.25">
      <c r="A2561" t="str">
        <f>(COUNTIF($K$2:K2561,K2561))&amp;K2561</f>
        <v>0</v>
      </c>
    </row>
    <row r="2562" spans="1:1" x14ac:dyDescent="0.25">
      <c r="A2562" t="str">
        <f>(COUNTIF($K$2:K2562,K2562))&amp;K2562</f>
        <v>0</v>
      </c>
    </row>
    <row r="2563" spans="1:1" x14ac:dyDescent="0.25">
      <c r="A2563" t="str">
        <f>(COUNTIF($K$2:K2563,K2563))&amp;K2563</f>
        <v>0</v>
      </c>
    </row>
    <row r="2564" spans="1:1" x14ac:dyDescent="0.25">
      <c r="A2564" t="str">
        <f>(COUNTIF($K$2:K2564,K2564))&amp;K2564</f>
        <v>0</v>
      </c>
    </row>
    <row r="2565" spans="1:1" x14ac:dyDescent="0.25">
      <c r="A2565" t="str">
        <f>(COUNTIF($K$2:K2565,K2565))&amp;K2565</f>
        <v>0</v>
      </c>
    </row>
    <row r="2566" spans="1:1" x14ac:dyDescent="0.25">
      <c r="A2566" t="str">
        <f>(COUNTIF($K$2:K2566,K2566))&amp;K2566</f>
        <v>0</v>
      </c>
    </row>
    <row r="2567" spans="1:1" x14ac:dyDescent="0.25">
      <c r="A2567" t="str">
        <f>(COUNTIF($K$2:K2567,K2567))&amp;K2567</f>
        <v>0</v>
      </c>
    </row>
    <row r="2568" spans="1:1" x14ac:dyDescent="0.25">
      <c r="A2568" t="str">
        <f>(COUNTIF($K$2:K2568,K2568))&amp;K2568</f>
        <v>0</v>
      </c>
    </row>
    <row r="2569" spans="1:1" x14ac:dyDescent="0.25">
      <c r="A2569" t="str">
        <f>(COUNTIF($K$2:K2569,K2569))&amp;K2569</f>
        <v>0</v>
      </c>
    </row>
    <row r="2570" spans="1:1" x14ac:dyDescent="0.25">
      <c r="A2570" t="str">
        <f>(COUNTIF($K$2:K2570,K2570))&amp;K2570</f>
        <v>0</v>
      </c>
    </row>
    <row r="2571" spans="1:1" x14ac:dyDescent="0.25">
      <c r="A2571" t="str">
        <f>(COUNTIF($K$2:K2571,K2571))&amp;K2571</f>
        <v>0</v>
      </c>
    </row>
    <row r="2572" spans="1:1" x14ac:dyDescent="0.25">
      <c r="A2572" t="str">
        <f>(COUNTIF($K$2:K2572,K2572))&amp;K2572</f>
        <v>0</v>
      </c>
    </row>
    <row r="2573" spans="1:1" x14ac:dyDescent="0.25">
      <c r="A2573" t="str">
        <f>(COUNTIF($K$2:K2573,K2573))&amp;K2573</f>
        <v>0</v>
      </c>
    </row>
    <row r="2574" spans="1:1" x14ac:dyDescent="0.25">
      <c r="A2574" t="str">
        <f>(COUNTIF($K$2:K2574,K2574))&amp;K2574</f>
        <v>0</v>
      </c>
    </row>
    <row r="2575" spans="1:1" x14ac:dyDescent="0.25">
      <c r="A2575" t="str">
        <f>(COUNTIF($K$2:K2575,K2575))&amp;K2575</f>
        <v>0</v>
      </c>
    </row>
    <row r="2576" spans="1:1" x14ac:dyDescent="0.25">
      <c r="A2576" t="str">
        <f>(COUNTIF($K$2:K2576,K2576))&amp;K2576</f>
        <v>0</v>
      </c>
    </row>
    <row r="2577" spans="1:1" x14ac:dyDescent="0.25">
      <c r="A2577" t="str">
        <f>(COUNTIF($K$2:K2577,K2577))&amp;K2577</f>
        <v>0</v>
      </c>
    </row>
    <row r="2578" spans="1:1" x14ac:dyDescent="0.25">
      <c r="A2578" t="str">
        <f>(COUNTIF($K$2:K2578,K2578))&amp;K2578</f>
        <v>0</v>
      </c>
    </row>
    <row r="2579" spans="1:1" x14ac:dyDescent="0.25">
      <c r="A2579" t="str">
        <f>(COUNTIF($K$2:K2579,K2579))&amp;K2579</f>
        <v>0</v>
      </c>
    </row>
    <row r="2580" spans="1:1" x14ac:dyDescent="0.25">
      <c r="A2580" t="str">
        <f>(COUNTIF($K$2:K2580,K2580))&amp;K2580</f>
        <v>0</v>
      </c>
    </row>
    <row r="2581" spans="1:1" x14ac:dyDescent="0.25">
      <c r="A2581" t="str">
        <f>(COUNTIF($K$2:K2581,K2581))&amp;K2581</f>
        <v>0</v>
      </c>
    </row>
    <row r="2582" spans="1:1" x14ac:dyDescent="0.25">
      <c r="A2582" t="str">
        <f>(COUNTIF($K$2:K2582,K2582))&amp;K2582</f>
        <v>0</v>
      </c>
    </row>
    <row r="2583" spans="1:1" x14ac:dyDescent="0.25">
      <c r="A2583" t="str">
        <f>(COUNTIF($K$2:K2583,K2583))&amp;K2583</f>
        <v>0</v>
      </c>
    </row>
    <row r="2584" spans="1:1" x14ac:dyDescent="0.25">
      <c r="A2584" t="str">
        <f>(COUNTIF($K$2:K2584,K2584))&amp;K2584</f>
        <v>0</v>
      </c>
    </row>
    <row r="2585" spans="1:1" x14ac:dyDescent="0.25">
      <c r="A2585" t="str">
        <f>(COUNTIF($K$2:K2585,K2585))&amp;K2585</f>
        <v>0</v>
      </c>
    </row>
    <row r="2586" spans="1:1" x14ac:dyDescent="0.25">
      <c r="A2586" t="str">
        <f>(COUNTIF($K$2:K2586,K2586))&amp;K2586</f>
        <v>0</v>
      </c>
    </row>
    <row r="2587" spans="1:1" x14ac:dyDescent="0.25">
      <c r="A2587" t="str">
        <f>(COUNTIF($K$2:K2587,K2587))&amp;K2587</f>
        <v>0</v>
      </c>
    </row>
    <row r="2588" spans="1:1" x14ac:dyDescent="0.25">
      <c r="A2588" t="str">
        <f>(COUNTIF($K$2:K2588,K2588))&amp;K2588</f>
        <v>0</v>
      </c>
    </row>
    <row r="2589" spans="1:1" x14ac:dyDescent="0.25">
      <c r="A2589" t="str">
        <f>(COUNTIF($K$2:K2589,K2589))&amp;K2589</f>
        <v>0</v>
      </c>
    </row>
    <row r="2590" spans="1:1" x14ac:dyDescent="0.25">
      <c r="A2590" t="str">
        <f>(COUNTIF($K$2:K2590,K2590))&amp;K2590</f>
        <v>0</v>
      </c>
    </row>
    <row r="2591" spans="1:1" x14ac:dyDescent="0.25">
      <c r="A2591" t="str">
        <f>(COUNTIF($K$2:K2591,K2591))&amp;K2591</f>
        <v>0</v>
      </c>
    </row>
    <row r="2592" spans="1:1" x14ac:dyDescent="0.25">
      <c r="A2592" t="str">
        <f>(COUNTIF($K$2:K2592,K2592))&amp;K2592</f>
        <v>0</v>
      </c>
    </row>
    <row r="2593" spans="1:1" x14ac:dyDescent="0.25">
      <c r="A2593" t="str">
        <f>(COUNTIF($K$2:K2593,K2593))&amp;K2593</f>
        <v>0</v>
      </c>
    </row>
    <row r="2594" spans="1:1" x14ac:dyDescent="0.25">
      <c r="A2594" t="str">
        <f>(COUNTIF($K$2:K2594,K2594))&amp;K2594</f>
        <v>0</v>
      </c>
    </row>
    <row r="2595" spans="1:1" x14ac:dyDescent="0.25">
      <c r="A2595" t="str">
        <f>(COUNTIF($K$2:K2595,K2595))&amp;K2595</f>
        <v>0</v>
      </c>
    </row>
    <row r="2596" spans="1:1" x14ac:dyDescent="0.25">
      <c r="A2596" t="str">
        <f>(COUNTIF($K$2:K2596,K2596))&amp;K2596</f>
        <v>0</v>
      </c>
    </row>
    <row r="2597" spans="1:1" x14ac:dyDescent="0.25">
      <c r="A2597" t="str">
        <f>(COUNTIF($K$2:K2597,K2597))&amp;K2597</f>
        <v>0</v>
      </c>
    </row>
    <row r="2598" spans="1:1" x14ac:dyDescent="0.25">
      <c r="A2598" t="str">
        <f>(COUNTIF($K$2:K2598,K2598))&amp;K2598</f>
        <v>0</v>
      </c>
    </row>
    <row r="2599" spans="1:1" x14ac:dyDescent="0.25">
      <c r="A2599" t="str">
        <f>(COUNTIF($K$2:K2599,K2599))&amp;K2599</f>
        <v>0</v>
      </c>
    </row>
    <row r="2600" spans="1:1" x14ac:dyDescent="0.25">
      <c r="A2600" t="str">
        <f>(COUNTIF($K$2:K2600,K2600))&amp;K2600</f>
        <v>0</v>
      </c>
    </row>
    <row r="2601" spans="1:1" x14ac:dyDescent="0.25">
      <c r="A2601" t="str">
        <f>(COUNTIF($K$2:K2601,K2601))&amp;K2601</f>
        <v>0</v>
      </c>
    </row>
    <row r="2602" spans="1:1" x14ac:dyDescent="0.25">
      <c r="A2602" t="str">
        <f>(COUNTIF($K$2:K2602,K2602))&amp;K2602</f>
        <v>0</v>
      </c>
    </row>
    <row r="2603" spans="1:1" x14ac:dyDescent="0.25">
      <c r="A2603" t="str">
        <f>(COUNTIF($K$2:K2603,K2603))&amp;K2603</f>
        <v>0</v>
      </c>
    </row>
    <row r="2604" spans="1:1" x14ac:dyDescent="0.25">
      <c r="A2604" t="str">
        <f>(COUNTIF($K$2:K2604,K2604))&amp;K2604</f>
        <v>0</v>
      </c>
    </row>
    <row r="2605" spans="1:1" x14ac:dyDescent="0.25">
      <c r="A2605" t="str">
        <f>(COUNTIF($K$2:K2605,K2605))&amp;K2605</f>
        <v>0</v>
      </c>
    </row>
    <row r="2606" spans="1:1" x14ac:dyDescent="0.25">
      <c r="A2606" t="str">
        <f>(COUNTIF($K$2:K2606,K2606))&amp;K2606</f>
        <v>0</v>
      </c>
    </row>
    <row r="2607" spans="1:1" x14ac:dyDescent="0.25">
      <c r="A2607" t="str">
        <f>(COUNTIF($K$2:K2607,K2607))&amp;K2607</f>
        <v>0</v>
      </c>
    </row>
    <row r="2608" spans="1:1" x14ac:dyDescent="0.25">
      <c r="A2608" t="str">
        <f>(COUNTIF($K$2:K2608,K2608))&amp;K2608</f>
        <v>0</v>
      </c>
    </row>
    <row r="2609" spans="1:1" x14ac:dyDescent="0.25">
      <c r="A2609" t="str">
        <f>(COUNTIF($K$2:K2609,K2609))&amp;K2609</f>
        <v>0</v>
      </c>
    </row>
    <row r="2610" spans="1:1" x14ac:dyDescent="0.25">
      <c r="A2610" t="str">
        <f>(COUNTIF($K$2:K2610,K2610))&amp;K2610</f>
        <v>0</v>
      </c>
    </row>
    <row r="2611" spans="1:1" x14ac:dyDescent="0.25">
      <c r="A2611" t="str">
        <f>(COUNTIF($K$2:K2611,K2611))&amp;K2611</f>
        <v>0</v>
      </c>
    </row>
    <row r="2612" spans="1:1" x14ac:dyDescent="0.25">
      <c r="A2612" t="str">
        <f>(COUNTIF($K$2:K2612,K2612))&amp;K2612</f>
        <v>0</v>
      </c>
    </row>
    <row r="2613" spans="1:1" x14ac:dyDescent="0.25">
      <c r="A2613" t="str">
        <f>(COUNTIF($K$2:K2613,K2613))&amp;K2613</f>
        <v>0</v>
      </c>
    </row>
    <row r="2614" spans="1:1" x14ac:dyDescent="0.25">
      <c r="A2614" t="str">
        <f>(COUNTIF($K$2:K2614,K2614))&amp;K2614</f>
        <v>0</v>
      </c>
    </row>
    <row r="2615" spans="1:1" x14ac:dyDescent="0.25">
      <c r="A2615" t="str">
        <f>(COUNTIF($K$2:K2615,K2615))&amp;K2615</f>
        <v>0</v>
      </c>
    </row>
    <row r="2616" spans="1:1" x14ac:dyDescent="0.25">
      <c r="A2616" t="str">
        <f>(COUNTIF($K$2:K2616,K2616))&amp;K2616</f>
        <v>0</v>
      </c>
    </row>
    <row r="2617" spans="1:1" x14ac:dyDescent="0.25">
      <c r="A2617" t="str">
        <f>(COUNTIF($K$2:K2617,K2617))&amp;K2617</f>
        <v>0</v>
      </c>
    </row>
    <row r="2618" spans="1:1" x14ac:dyDescent="0.25">
      <c r="A2618" t="str">
        <f>(COUNTIF($K$2:K2618,K2618))&amp;K2618</f>
        <v>0</v>
      </c>
    </row>
    <row r="2619" spans="1:1" x14ac:dyDescent="0.25">
      <c r="A2619" t="str">
        <f>(COUNTIF($K$2:K2619,K2619))&amp;K2619</f>
        <v>0</v>
      </c>
    </row>
    <row r="2620" spans="1:1" x14ac:dyDescent="0.25">
      <c r="A2620" t="str">
        <f>(COUNTIF($K$2:K2620,K2620))&amp;K2620</f>
        <v>0</v>
      </c>
    </row>
    <row r="2621" spans="1:1" x14ac:dyDescent="0.25">
      <c r="A2621" t="str">
        <f>(COUNTIF($K$2:K2621,K2621))&amp;K2621</f>
        <v>0</v>
      </c>
    </row>
    <row r="2622" spans="1:1" x14ac:dyDescent="0.25">
      <c r="A2622" t="str">
        <f>(COUNTIF($K$2:K2622,K2622))&amp;K2622</f>
        <v>0</v>
      </c>
    </row>
    <row r="2623" spans="1:1" x14ac:dyDescent="0.25">
      <c r="A2623" t="str">
        <f>(COUNTIF($K$2:K2623,K2623))&amp;K2623</f>
        <v>0</v>
      </c>
    </row>
    <row r="2624" spans="1:1" x14ac:dyDescent="0.25">
      <c r="A2624" t="str">
        <f>(COUNTIF($K$2:K2624,K2624))&amp;K2624</f>
        <v>0</v>
      </c>
    </row>
    <row r="2625" spans="1:1" x14ac:dyDescent="0.25">
      <c r="A2625" t="str">
        <f>(COUNTIF($K$2:K2625,K2625))&amp;K2625</f>
        <v>0</v>
      </c>
    </row>
    <row r="2626" spans="1:1" x14ac:dyDescent="0.25">
      <c r="A2626" t="str">
        <f>(COUNTIF($K$2:K2626,K2626))&amp;K2626</f>
        <v>0</v>
      </c>
    </row>
    <row r="2627" spans="1:1" x14ac:dyDescent="0.25">
      <c r="A2627" t="str">
        <f>(COUNTIF($K$2:K2627,K2627))&amp;K2627</f>
        <v>0</v>
      </c>
    </row>
    <row r="2628" spans="1:1" x14ac:dyDescent="0.25">
      <c r="A2628" t="str">
        <f>(COUNTIF($K$2:K2628,K2628))&amp;K2628</f>
        <v>0</v>
      </c>
    </row>
    <row r="2629" spans="1:1" x14ac:dyDescent="0.25">
      <c r="A2629" t="str">
        <f>(COUNTIF($K$2:K2629,K2629))&amp;K2629</f>
        <v>0</v>
      </c>
    </row>
    <row r="2630" spans="1:1" x14ac:dyDescent="0.25">
      <c r="A2630" t="str">
        <f>(COUNTIF($K$2:K2630,K2630))&amp;K2630</f>
        <v>0</v>
      </c>
    </row>
    <row r="2631" spans="1:1" x14ac:dyDescent="0.25">
      <c r="A2631" t="str">
        <f>(COUNTIF($K$2:K2631,K2631))&amp;K2631</f>
        <v>0</v>
      </c>
    </row>
    <row r="2632" spans="1:1" x14ac:dyDescent="0.25">
      <c r="A2632" t="str">
        <f>(COUNTIF($K$2:K2632,K2632))&amp;K2632</f>
        <v>0</v>
      </c>
    </row>
    <row r="2633" spans="1:1" x14ac:dyDescent="0.25">
      <c r="A2633" t="str">
        <f>(COUNTIF($K$2:K2633,K2633))&amp;K2633</f>
        <v>0</v>
      </c>
    </row>
    <row r="2634" spans="1:1" x14ac:dyDescent="0.25">
      <c r="A2634" t="str">
        <f>(COUNTIF($K$2:K2634,K2634))&amp;K2634</f>
        <v>0</v>
      </c>
    </row>
    <row r="2635" spans="1:1" x14ac:dyDescent="0.25">
      <c r="A2635" t="str">
        <f>(COUNTIF($K$2:K2635,K2635))&amp;K2635</f>
        <v>0</v>
      </c>
    </row>
    <row r="2636" spans="1:1" x14ac:dyDescent="0.25">
      <c r="A2636" t="str">
        <f>(COUNTIF($K$2:K2636,K2636))&amp;K2636</f>
        <v>0</v>
      </c>
    </row>
    <row r="2637" spans="1:1" x14ac:dyDescent="0.25">
      <c r="A2637" t="str">
        <f>(COUNTIF($K$2:K2637,K2637))&amp;K2637</f>
        <v>0</v>
      </c>
    </row>
    <row r="2638" spans="1:1" x14ac:dyDescent="0.25">
      <c r="A2638" t="str">
        <f>(COUNTIF($K$2:K2638,K2638))&amp;K2638</f>
        <v>0</v>
      </c>
    </row>
    <row r="2639" spans="1:1" x14ac:dyDescent="0.25">
      <c r="A2639" t="str">
        <f>(COUNTIF($K$2:K2639,K2639))&amp;K2639</f>
        <v>0</v>
      </c>
    </row>
    <row r="2640" spans="1:1" x14ac:dyDescent="0.25">
      <c r="A2640" t="str">
        <f>(COUNTIF($K$2:K2640,K2640))&amp;K2640</f>
        <v>0</v>
      </c>
    </row>
    <row r="2641" spans="1:1" x14ac:dyDescent="0.25">
      <c r="A2641" t="str">
        <f>(COUNTIF($K$2:K2641,K2641))&amp;K2641</f>
        <v>0</v>
      </c>
    </row>
    <row r="2642" spans="1:1" x14ac:dyDescent="0.25">
      <c r="A2642" t="str">
        <f>(COUNTIF($K$2:K2642,K2642))&amp;K2642</f>
        <v>0</v>
      </c>
    </row>
    <row r="2643" spans="1:1" x14ac:dyDescent="0.25">
      <c r="A2643" t="str">
        <f>(COUNTIF($K$2:K2643,K2643))&amp;K2643</f>
        <v>0</v>
      </c>
    </row>
    <row r="2644" spans="1:1" x14ac:dyDescent="0.25">
      <c r="A2644" t="str">
        <f>(COUNTIF($K$2:K2644,K2644))&amp;K2644</f>
        <v>0</v>
      </c>
    </row>
    <row r="2645" spans="1:1" x14ac:dyDescent="0.25">
      <c r="A2645" t="str">
        <f>(COUNTIF($K$2:K2645,K2645))&amp;K2645</f>
        <v>0</v>
      </c>
    </row>
    <row r="2646" spans="1:1" x14ac:dyDescent="0.25">
      <c r="A2646" t="str">
        <f>(COUNTIF($K$2:K2646,K2646))&amp;K2646</f>
        <v>0</v>
      </c>
    </row>
    <row r="2647" spans="1:1" x14ac:dyDescent="0.25">
      <c r="A2647" t="str">
        <f>(COUNTIF($K$2:K2647,K2647))&amp;K2647</f>
        <v>0</v>
      </c>
    </row>
    <row r="2648" spans="1:1" x14ac:dyDescent="0.25">
      <c r="A2648" t="str">
        <f>(COUNTIF($K$2:K2648,K2648))&amp;K2648</f>
        <v>0</v>
      </c>
    </row>
    <row r="2649" spans="1:1" x14ac:dyDescent="0.25">
      <c r="A2649" t="str">
        <f>(COUNTIF($K$2:K2649,K2649))&amp;K2649</f>
        <v>0</v>
      </c>
    </row>
    <row r="2650" spans="1:1" x14ac:dyDescent="0.25">
      <c r="A2650" t="str">
        <f>(COUNTIF($K$2:K2650,K2650))&amp;K2650</f>
        <v>0</v>
      </c>
    </row>
    <row r="2651" spans="1:1" x14ac:dyDescent="0.25">
      <c r="A2651" t="str">
        <f>(COUNTIF($K$2:K2651,K2651))&amp;K2651</f>
        <v>0</v>
      </c>
    </row>
    <row r="2652" spans="1:1" x14ac:dyDescent="0.25">
      <c r="A2652" t="str">
        <f>(COUNTIF($K$2:K2652,K2652))&amp;K2652</f>
        <v>0</v>
      </c>
    </row>
    <row r="2653" spans="1:1" x14ac:dyDescent="0.25">
      <c r="A2653" t="str">
        <f>(COUNTIF($K$2:K2653,K2653))&amp;K2653</f>
        <v>0</v>
      </c>
    </row>
    <row r="2654" spans="1:1" x14ac:dyDescent="0.25">
      <c r="A2654" t="str">
        <f>(COUNTIF($K$2:K2654,K2654))&amp;K2654</f>
        <v>0</v>
      </c>
    </row>
    <row r="2655" spans="1:1" x14ac:dyDescent="0.25">
      <c r="A2655" t="str">
        <f>(COUNTIF($K$2:K2655,K2655))&amp;K2655</f>
        <v>0</v>
      </c>
    </row>
    <row r="2656" spans="1:1" x14ac:dyDescent="0.25">
      <c r="A2656" t="str">
        <f>(COUNTIF($K$2:K2656,K2656))&amp;K2656</f>
        <v>0</v>
      </c>
    </row>
    <row r="2657" spans="1:1" x14ac:dyDescent="0.25">
      <c r="A2657" t="str">
        <f>(COUNTIF($K$2:K2657,K2657))&amp;K2657</f>
        <v>0</v>
      </c>
    </row>
    <row r="2658" spans="1:1" x14ac:dyDescent="0.25">
      <c r="A2658" t="str">
        <f>(COUNTIF($K$2:K2658,K2658))&amp;K2658</f>
        <v>0</v>
      </c>
    </row>
    <row r="2659" spans="1:1" x14ac:dyDescent="0.25">
      <c r="A2659" t="str">
        <f>(COUNTIF($K$2:K2659,K2659))&amp;K2659</f>
        <v>0</v>
      </c>
    </row>
    <row r="2660" spans="1:1" x14ac:dyDescent="0.25">
      <c r="A2660" t="str">
        <f>(COUNTIF($K$2:K2660,K2660))&amp;K2660</f>
        <v>0</v>
      </c>
    </row>
    <row r="2661" spans="1:1" x14ac:dyDescent="0.25">
      <c r="A2661" t="str">
        <f>(COUNTIF($K$2:K2661,K2661))&amp;K2661</f>
        <v>0</v>
      </c>
    </row>
    <row r="2662" spans="1:1" x14ac:dyDescent="0.25">
      <c r="A2662" t="str">
        <f>(COUNTIF($K$2:K2662,K2662))&amp;K2662</f>
        <v>0</v>
      </c>
    </row>
    <row r="2663" spans="1:1" x14ac:dyDescent="0.25">
      <c r="A2663" t="str">
        <f>(COUNTIF($K$2:K2663,K2663))&amp;K2663</f>
        <v>0</v>
      </c>
    </row>
    <row r="2664" spans="1:1" x14ac:dyDescent="0.25">
      <c r="A2664" t="str">
        <f>(COUNTIF($K$2:K2664,K2664))&amp;K2664</f>
        <v>0</v>
      </c>
    </row>
    <row r="2665" spans="1:1" x14ac:dyDescent="0.25">
      <c r="A2665" t="str">
        <f>(COUNTIF($K$2:K2665,K2665))&amp;K2665</f>
        <v>0</v>
      </c>
    </row>
    <row r="2666" spans="1:1" x14ac:dyDescent="0.25">
      <c r="A2666" t="str">
        <f>(COUNTIF($K$2:K2666,K2666))&amp;K2666</f>
        <v>0</v>
      </c>
    </row>
    <row r="2667" spans="1:1" x14ac:dyDescent="0.25">
      <c r="A2667" t="str">
        <f>(COUNTIF($K$2:K2667,K2667))&amp;K2667</f>
        <v>0</v>
      </c>
    </row>
    <row r="2668" spans="1:1" x14ac:dyDescent="0.25">
      <c r="A2668" t="str">
        <f>(COUNTIF($K$2:K2668,K2668))&amp;K2668</f>
        <v>0</v>
      </c>
    </row>
    <row r="2669" spans="1:1" x14ac:dyDescent="0.25">
      <c r="A2669" t="str">
        <f>(COUNTIF($K$2:K2669,K2669))&amp;K2669</f>
        <v>0</v>
      </c>
    </row>
    <row r="2670" spans="1:1" x14ac:dyDescent="0.25">
      <c r="A2670" t="str">
        <f>(COUNTIF($K$2:K2670,K2670))&amp;K2670</f>
        <v>0</v>
      </c>
    </row>
    <row r="2671" spans="1:1" x14ac:dyDescent="0.25">
      <c r="A2671" t="str">
        <f>(COUNTIF($K$2:K2671,K2671))&amp;K2671</f>
        <v>0</v>
      </c>
    </row>
    <row r="2672" spans="1:1" x14ac:dyDescent="0.25">
      <c r="A2672" t="str">
        <f>(COUNTIF($K$2:K2672,K2672))&amp;K2672</f>
        <v>0</v>
      </c>
    </row>
    <row r="2673" spans="1:1" x14ac:dyDescent="0.25">
      <c r="A2673" t="str">
        <f>(COUNTIF($K$2:K2673,K2673))&amp;K2673</f>
        <v>0</v>
      </c>
    </row>
    <row r="2674" spans="1:1" x14ac:dyDescent="0.25">
      <c r="A2674" t="str">
        <f>(COUNTIF($K$2:K2674,K2674))&amp;K2674</f>
        <v>0</v>
      </c>
    </row>
    <row r="2675" spans="1:1" x14ac:dyDescent="0.25">
      <c r="A2675" t="str">
        <f>(COUNTIF($K$2:K2675,K2675))&amp;K2675</f>
        <v>0</v>
      </c>
    </row>
    <row r="2676" spans="1:1" x14ac:dyDescent="0.25">
      <c r="A2676" t="str">
        <f>(COUNTIF($K$2:K2676,K2676))&amp;K2676</f>
        <v>0</v>
      </c>
    </row>
    <row r="2677" spans="1:1" x14ac:dyDescent="0.25">
      <c r="A2677" t="str">
        <f>(COUNTIF($K$2:K2677,K2677))&amp;K2677</f>
        <v>0</v>
      </c>
    </row>
  </sheetData>
  <conditionalFormatting sqref="R1515:R1531 D1515:D1530 C1531">
    <cfRule type="containsText" dxfId="2450" priority="28202" operator="containsText" text="DOWN">
      <formula>NOT(ISERROR(SEARCH("DOWN",C1515)))</formula>
    </cfRule>
  </conditionalFormatting>
  <conditionalFormatting sqref="R1515:R1531 D1515:D1530 C1531">
    <cfRule type="containsText" dxfId="2449" priority="28201" operator="containsText" text="UP">
      <formula>NOT(ISERROR(SEARCH("UP",C1515)))</formula>
    </cfRule>
  </conditionalFormatting>
  <conditionalFormatting sqref="I1515:I1531">
    <cfRule type="colorScale" priority="28203">
      <colorScale>
        <cfvo type="min"/>
        <cfvo type="max"/>
        <color rgb="FFFFEF9C"/>
        <color rgb="FF63BE7B"/>
      </colorScale>
    </cfRule>
  </conditionalFormatting>
  <conditionalFormatting sqref="M1515:M1531">
    <cfRule type="colorScale" priority="28204">
      <colorScale>
        <cfvo type="min"/>
        <cfvo type="max"/>
        <color rgb="FFFF7128"/>
        <color rgb="FFFFEF9C"/>
      </colorScale>
    </cfRule>
  </conditionalFormatting>
  <conditionalFormatting sqref="Q1515:Q1531">
    <cfRule type="dataBar" priority="28205">
      <dataBar>
        <cfvo type="min"/>
        <cfvo type="max"/>
        <color rgb="FFFF555A"/>
      </dataBar>
    </cfRule>
  </conditionalFormatting>
  <conditionalFormatting sqref="E1515:E1531">
    <cfRule type="dataBar" priority="28206">
      <dataBar>
        <cfvo type="min"/>
        <cfvo type="max"/>
        <color rgb="FFFF555A"/>
      </dataBar>
    </cfRule>
  </conditionalFormatting>
  <conditionalFormatting sqref="F1515:F1531">
    <cfRule type="top10" dxfId="2448" priority="28207" rank="1"/>
  </conditionalFormatting>
  <conditionalFormatting sqref="P1515:P1530">
    <cfRule type="top10" dxfId="2447" priority="28208" rank="1"/>
  </conditionalFormatting>
  <conditionalFormatting sqref="G1515:G1531 O1515:O1530 P1531">
    <cfRule type="cellIs" dxfId="2446" priority="28209" operator="equal">
      <formula>$G$135</formula>
    </cfRule>
  </conditionalFormatting>
  <conditionalFormatting sqref="O1515:O1530 P1531">
    <cfRule type="cellIs" dxfId="2445" priority="28210" operator="equal">
      <formula>$J$135</formula>
    </cfRule>
  </conditionalFormatting>
  <conditionalFormatting sqref="G1515:G1531 O1515:O1530 P1531">
    <cfRule type="cellIs" dxfId="2444" priority="28211" operator="equal">
      <formula>#REF!</formula>
    </cfRule>
  </conditionalFormatting>
  <conditionalFormatting sqref="G1515:G1531">
    <cfRule type="top10" dxfId="2443" priority="28212" rank="1"/>
    <cfRule type="cellIs" dxfId="2442" priority="28213" operator="equal">
      <formula>$G$133</formula>
    </cfRule>
  </conditionalFormatting>
  <conditionalFormatting sqref="O1515:O1530 P1531">
    <cfRule type="top10" dxfId="2441" priority="28214" rank="1"/>
    <cfRule type="cellIs" dxfId="2440" priority="28215" operator="equal">
      <formula>$G$133</formula>
    </cfRule>
  </conditionalFormatting>
  <conditionalFormatting sqref="C1515:C1530">
    <cfRule type="containsText" dxfId="2439" priority="28197" operator="containsText" text="Short Buildup">
      <formula>NOT(ISERROR(SEARCH("Short Buildup",C1515)))</formula>
    </cfRule>
    <cfRule type="containsText" dxfId="2438" priority="28198" operator="containsText" text="Long Liquidation">
      <formula>NOT(ISERROR(SEARCH("Long Liquidation",C1515)))</formula>
    </cfRule>
    <cfRule type="containsText" dxfId="2437" priority="28199" operator="containsText" text="Short covering">
      <formula>NOT(ISERROR(SEARCH("Short covering",C1515)))</formula>
    </cfRule>
    <cfRule type="containsText" dxfId="2436" priority="28200" operator="containsText" text="Long Buildup">
      <formula>NOT(ISERROR(SEARCH("Long Buildup",C1515)))</formula>
    </cfRule>
  </conditionalFormatting>
  <conditionalFormatting sqref="H1515:H1531">
    <cfRule type="colorScale" priority="28192">
      <colorScale>
        <cfvo type="min"/>
        <cfvo type="percentile" val="20"/>
        <cfvo type="max"/>
        <color rgb="FF92D050"/>
        <color theme="5" tint="0.79998168889431442"/>
        <color rgb="FFFF0000"/>
      </colorScale>
    </cfRule>
    <cfRule type="colorScale" priority="28193">
      <colorScale>
        <cfvo type="min"/>
        <cfvo type="max"/>
        <color rgb="FFFF0000"/>
        <color rgb="FF92D050"/>
      </colorScale>
    </cfRule>
    <cfRule type="colorScale" priority="28194">
      <colorScale>
        <cfvo type="min"/>
        <cfvo type="percentile" val="50"/>
        <cfvo type="max"/>
        <color rgb="FF5A8AC6"/>
        <color rgb="FFFCFCFF"/>
        <color rgb="FFF8696B"/>
      </colorScale>
    </cfRule>
    <cfRule type="colorScale" priority="28195">
      <colorScale>
        <cfvo type="formula" val="&quot;&gt;20&quot;"/>
        <cfvo type="formula" val="35"/>
        <color rgb="FFF8696B"/>
        <color rgb="FFFCFCFF"/>
      </colorScale>
    </cfRule>
    <cfRule type="colorScale" priority="28196">
      <colorScale>
        <cfvo type="min"/>
        <cfvo type="max"/>
        <color rgb="FFFFEF9C"/>
        <color rgb="FF63BE7B"/>
      </colorScale>
    </cfRule>
  </conditionalFormatting>
  <conditionalFormatting sqref="N1515:N1531">
    <cfRule type="colorScale" priority="28187">
      <colorScale>
        <cfvo type="min"/>
        <cfvo type="percentile" val="20"/>
        <cfvo type="max"/>
        <color rgb="FF92D050"/>
        <color theme="5" tint="0.79998168889431442"/>
        <color rgb="FFFF0000"/>
      </colorScale>
    </cfRule>
    <cfRule type="colorScale" priority="28188">
      <colorScale>
        <cfvo type="min"/>
        <cfvo type="max"/>
        <color rgb="FFFF0000"/>
        <color rgb="FF92D050"/>
      </colorScale>
    </cfRule>
    <cfRule type="colorScale" priority="28189">
      <colorScale>
        <cfvo type="min"/>
        <cfvo type="percentile" val="50"/>
        <cfvo type="max"/>
        <color rgb="FF5A8AC6"/>
        <color rgb="FFFCFCFF"/>
        <color rgb="FFF8696B"/>
      </colorScale>
    </cfRule>
    <cfRule type="colorScale" priority="28190">
      <colorScale>
        <cfvo type="formula" val="&quot;&gt;20&quot;"/>
        <cfvo type="formula" val="35"/>
        <color rgb="FFF8696B"/>
        <color rgb="FFFCFCFF"/>
      </colorScale>
    </cfRule>
    <cfRule type="colorScale" priority="28191">
      <colorScale>
        <cfvo type="min"/>
        <cfvo type="max"/>
        <color rgb="FFFFEF9C"/>
        <color rgb="FF63BE7B"/>
      </colorScale>
    </cfRule>
  </conditionalFormatting>
  <conditionalFormatting sqref="S1515:S1531">
    <cfRule type="containsText" dxfId="2435" priority="28183" operator="containsText" text="Short Buildup">
      <formula>NOT(ISERROR(SEARCH("Short Buildup",S1515)))</formula>
    </cfRule>
    <cfRule type="containsText" dxfId="2434" priority="28184" operator="containsText" text="Long Liquidation">
      <formula>NOT(ISERROR(SEARCH("Long Liquidation",S1515)))</formula>
    </cfRule>
    <cfRule type="containsText" dxfId="2433" priority="28185" operator="containsText" text="Short covering">
      <formula>NOT(ISERROR(SEARCH("Short covering",S1515)))</formula>
    </cfRule>
    <cfRule type="containsText" dxfId="2432" priority="28186" operator="containsText" text="Long Buildup">
      <formula>NOT(ISERROR(SEARCH("Long Buildup",S1515)))</formula>
    </cfRule>
  </conditionalFormatting>
  <conditionalFormatting sqref="R1175:R1191 D1175:D1190 C1191">
    <cfRule type="containsText" dxfId="2431" priority="15728" operator="containsText" text="DOWN">
      <formula>NOT(ISERROR(SEARCH("DOWN",C1175)))</formula>
    </cfRule>
  </conditionalFormatting>
  <conditionalFormatting sqref="R1175:R1191 D1175:D1190 C1191">
    <cfRule type="containsText" dxfId="2430" priority="15727" operator="containsText" text="UP">
      <formula>NOT(ISERROR(SEARCH("UP",C1175)))</formula>
    </cfRule>
  </conditionalFormatting>
  <conditionalFormatting sqref="I1175:I1191">
    <cfRule type="colorScale" priority="15729">
      <colorScale>
        <cfvo type="min"/>
        <cfvo type="max"/>
        <color rgb="FFFFEF9C"/>
        <color rgb="FF63BE7B"/>
      </colorScale>
    </cfRule>
  </conditionalFormatting>
  <conditionalFormatting sqref="M1175:M1191">
    <cfRule type="colorScale" priority="15730">
      <colorScale>
        <cfvo type="min"/>
        <cfvo type="max"/>
        <color rgb="FFFF7128"/>
        <color rgb="FFFFEF9C"/>
      </colorScale>
    </cfRule>
  </conditionalFormatting>
  <conditionalFormatting sqref="Q1175:Q1191">
    <cfRule type="dataBar" priority="15731">
      <dataBar>
        <cfvo type="min"/>
        <cfvo type="max"/>
        <color rgb="FFFF555A"/>
      </dataBar>
    </cfRule>
  </conditionalFormatting>
  <conditionalFormatting sqref="E1175:E1191">
    <cfRule type="dataBar" priority="15732">
      <dataBar>
        <cfvo type="min"/>
        <cfvo type="max"/>
        <color rgb="FFFF555A"/>
      </dataBar>
    </cfRule>
  </conditionalFormatting>
  <conditionalFormatting sqref="F1175:F1191">
    <cfRule type="top10" dxfId="2429" priority="15733" rank="1"/>
  </conditionalFormatting>
  <conditionalFormatting sqref="P1175:P1190">
    <cfRule type="top10" dxfId="2428" priority="15734" rank="1"/>
  </conditionalFormatting>
  <conditionalFormatting sqref="G1175:G1191 O1175:O1190 P1191">
    <cfRule type="cellIs" dxfId="2427" priority="15735" operator="equal">
      <formula>$G$135</formula>
    </cfRule>
  </conditionalFormatting>
  <conditionalFormatting sqref="O1175:O1190 P1191">
    <cfRule type="cellIs" dxfId="2426" priority="15736" operator="equal">
      <formula>$J$135</formula>
    </cfRule>
  </conditionalFormatting>
  <conditionalFormatting sqref="G1175:G1191 O1175:O1190 P1191">
    <cfRule type="cellIs" dxfId="2425" priority="15737" operator="equal">
      <formula>#REF!</formula>
    </cfRule>
  </conditionalFormatting>
  <conditionalFormatting sqref="G1175:G1191">
    <cfRule type="top10" dxfId="2424" priority="15738" rank="1"/>
    <cfRule type="cellIs" dxfId="2423" priority="15739" operator="equal">
      <formula>$G$133</formula>
    </cfRule>
  </conditionalFormatting>
  <conditionalFormatting sqref="O1175:O1190 P1191">
    <cfRule type="top10" dxfId="2422" priority="15740" rank="1"/>
    <cfRule type="cellIs" dxfId="2421" priority="15741" operator="equal">
      <formula>$G$133</formula>
    </cfRule>
  </conditionalFormatting>
  <conditionalFormatting sqref="C1175:C1190">
    <cfRule type="containsText" dxfId="2420" priority="15723" operator="containsText" text="Short Buildup">
      <formula>NOT(ISERROR(SEARCH("Short Buildup",C1175)))</formula>
    </cfRule>
    <cfRule type="containsText" dxfId="2419" priority="15724" operator="containsText" text="Long Liquidation">
      <formula>NOT(ISERROR(SEARCH("Long Liquidation",C1175)))</formula>
    </cfRule>
    <cfRule type="containsText" dxfId="2418" priority="15725" operator="containsText" text="Short covering">
      <formula>NOT(ISERROR(SEARCH("Short covering",C1175)))</formula>
    </cfRule>
    <cfRule type="containsText" dxfId="2417" priority="15726" operator="containsText" text="Long Buildup">
      <formula>NOT(ISERROR(SEARCH("Long Buildup",C1175)))</formula>
    </cfRule>
  </conditionalFormatting>
  <conditionalFormatting sqref="H1175:H1191">
    <cfRule type="colorScale" priority="15718">
      <colorScale>
        <cfvo type="min"/>
        <cfvo type="percentile" val="20"/>
        <cfvo type="max"/>
        <color rgb="FF92D050"/>
        <color theme="5" tint="0.79998168889431442"/>
        <color rgb="FFFF0000"/>
      </colorScale>
    </cfRule>
    <cfRule type="colorScale" priority="15719">
      <colorScale>
        <cfvo type="min"/>
        <cfvo type="max"/>
        <color rgb="FFFF0000"/>
        <color rgb="FF92D050"/>
      </colorScale>
    </cfRule>
    <cfRule type="colorScale" priority="15720">
      <colorScale>
        <cfvo type="min"/>
        <cfvo type="percentile" val="50"/>
        <cfvo type="max"/>
        <color rgb="FF5A8AC6"/>
        <color rgb="FFFCFCFF"/>
        <color rgb="FFF8696B"/>
      </colorScale>
    </cfRule>
    <cfRule type="colorScale" priority="15721">
      <colorScale>
        <cfvo type="formula" val="&quot;&gt;20&quot;"/>
        <cfvo type="formula" val="35"/>
        <color rgb="FFF8696B"/>
        <color rgb="FFFCFCFF"/>
      </colorScale>
    </cfRule>
    <cfRule type="colorScale" priority="15722">
      <colorScale>
        <cfvo type="min"/>
        <cfvo type="max"/>
        <color rgb="FFFFEF9C"/>
        <color rgb="FF63BE7B"/>
      </colorScale>
    </cfRule>
  </conditionalFormatting>
  <conditionalFormatting sqref="N1175:N1191">
    <cfRule type="colorScale" priority="15713">
      <colorScale>
        <cfvo type="min"/>
        <cfvo type="percentile" val="20"/>
        <cfvo type="max"/>
        <color rgb="FF92D050"/>
        <color theme="5" tint="0.79998168889431442"/>
        <color rgb="FFFF0000"/>
      </colorScale>
    </cfRule>
    <cfRule type="colorScale" priority="15714">
      <colorScale>
        <cfvo type="min"/>
        <cfvo type="max"/>
        <color rgb="FFFF0000"/>
        <color rgb="FF92D050"/>
      </colorScale>
    </cfRule>
    <cfRule type="colorScale" priority="15715">
      <colorScale>
        <cfvo type="min"/>
        <cfvo type="percentile" val="50"/>
        <cfvo type="max"/>
        <color rgb="FF5A8AC6"/>
        <color rgb="FFFCFCFF"/>
        <color rgb="FFF8696B"/>
      </colorScale>
    </cfRule>
    <cfRule type="colorScale" priority="15716">
      <colorScale>
        <cfvo type="formula" val="&quot;&gt;20&quot;"/>
        <cfvo type="formula" val="35"/>
        <color rgb="FFF8696B"/>
        <color rgb="FFFCFCFF"/>
      </colorScale>
    </cfRule>
    <cfRule type="colorScale" priority="15717">
      <colorScale>
        <cfvo type="min"/>
        <cfvo type="max"/>
        <color rgb="FFFFEF9C"/>
        <color rgb="FF63BE7B"/>
      </colorScale>
    </cfRule>
  </conditionalFormatting>
  <conditionalFormatting sqref="S1175:S1191">
    <cfRule type="containsText" dxfId="2416" priority="15709" operator="containsText" text="Short Buildup">
      <formula>NOT(ISERROR(SEARCH("Short Buildup",S1175)))</formula>
    </cfRule>
    <cfRule type="containsText" dxfId="2415" priority="15710" operator="containsText" text="Long Liquidation">
      <formula>NOT(ISERROR(SEARCH("Long Liquidation",S1175)))</formula>
    </cfRule>
    <cfRule type="containsText" dxfId="2414" priority="15711" operator="containsText" text="Short covering">
      <formula>NOT(ISERROR(SEARCH("Short covering",S1175)))</formula>
    </cfRule>
    <cfRule type="containsText" dxfId="2413" priority="15712" operator="containsText" text="Long Buildup">
      <formula>NOT(ISERROR(SEARCH("Long Buildup",S1175)))</formula>
    </cfRule>
  </conditionalFormatting>
  <conditionalFormatting sqref="R1192:R1208 D1192:D1207 C1208">
    <cfRule type="containsText" dxfId="2412" priority="15695" operator="containsText" text="DOWN">
      <formula>NOT(ISERROR(SEARCH("DOWN",C1192)))</formula>
    </cfRule>
  </conditionalFormatting>
  <conditionalFormatting sqref="R1192:R1208 D1192:D1207 C1208">
    <cfRule type="containsText" dxfId="2411" priority="15694" operator="containsText" text="UP">
      <formula>NOT(ISERROR(SEARCH("UP",C1192)))</formula>
    </cfRule>
  </conditionalFormatting>
  <conditionalFormatting sqref="I1192:I1208">
    <cfRule type="colorScale" priority="15696">
      <colorScale>
        <cfvo type="min"/>
        <cfvo type="max"/>
        <color rgb="FFFFEF9C"/>
        <color rgb="FF63BE7B"/>
      </colorScale>
    </cfRule>
  </conditionalFormatting>
  <conditionalFormatting sqref="M1192:M1208">
    <cfRule type="colorScale" priority="15697">
      <colorScale>
        <cfvo type="min"/>
        <cfvo type="max"/>
        <color rgb="FFFF7128"/>
        <color rgb="FFFFEF9C"/>
      </colorScale>
    </cfRule>
  </conditionalFormatting>
  <conditionalFormatting sqref="Q1192:Q1208">
    <cfRule type="dataBar" priority="15698">
      <dataBar>
        <cfvo type="min"/>
        <cfvo type="max"/>
        <color rgb="FFFF555A"/>
      </dataBar>
    </cfRule>
  </conditionalFormatting>
  <conditionalFormatting sqref="E1192:E1208">
    <cfRule type="dataBar" priority="15699">
      <dataBar>
        <cfvo type="min"/>
        <cfvo type="max"/>
        <color rgb="FFFF555A"/>
      </dataBar>
    </cfRule>
  </conditionalFormatting>
  <conditionalFormatting sqref="F1192:F1208">
    <cfRule type="top10" dxfId="2410" priority="15700" rank="1"/>
  </conditionalFormatting>
  <conditionalFormatting sqref="P1192:P1207">
    <cfRule type="top10" dxfId="2409" priority="15701" rank="1"/>
  </conditionalFormatting>
  <conditionalFormatting sqref="G1192:G1208 O1192:O1207 P1208">
    <cfRule type="cellIs" dxfId="2408" priority="15702" operator="equal">
      <formula>$G$135</formula>
    </cfRule>
  </conditionalFormatting>
  <conditionalFormatting sqref="O1192:O1207 P1208">
    <cfRule type="cellIs" dxfId="2407" priority="15703" operator="equal">
      <formula>$J$135</formula>
    </cfRule>
  </conditionalFormatting>
  <conditionalFormatting sqref="G1192:G1208 O1192:O1207 P1208">
    <cfRule type="cellIs" dxfId="2406" priority="15704" operator="equal">
      <formula>#REF!</formula>
    </cfRule>
  </conditionalFormatting>
  <conditionalFormatting sqref="G1192:G1208">
    <cfRule type="top10" dxfId="2405" priority="15705" rank="1"/>
    <cfRule type="cellIs" dxfId="2404" priority="15706" operator="equal">
      <formula>$G$133</formula>
    </cfRule>
  </conditionalFormatting>
  <conditionalFormatting sqref="O1192:O1207 P1208">
    <cfRule type="top10" dxfId="2403" priority="15707" rank="1"/>
    <cfRule type="cellIs" dxfId="2402" priority="15708" operator="equal">
      <formula>$G$133</formula>
    </cfRule>
  </conditionalFormatting>
  <conditionalFormatting sqref="C1192:C1207">
    <cfRule type="containsText" dxfId="2401" priority="15690" operator="containsText" text="Short Buildup">
      <formula>NOT(ISERROR(SEARCH("Short Buildup",C1192)))</formula>
    </cfRule>
    <cfRule type="containsText" dxfId="2400" priority="15691" operator="containsText" text="Long Liquidation">
      <formula>NOT(ISERROR(SEARCH("Long Liquidation",C1192)))</formula>
    </cfRule>
    <cfRule type="containsText" dxfId="2399" priority="15692" operator="containsText" text="Short covering">
      <formula>NOT(ISERROR(SEARCH("Short covering",C1192)))</formula>
    </cfRule>
    <cfRule type="containsText" dxfId="2398" priority="15693" operator="containsText" text="Long Buildup">
      <formula>NOT(ISERROR(SEARCH("Long Buildup",C1192)))</formula>
    </cfRule>
  </conditionalFormatting>
  <conditionalFormatting sqref="H1192:H1208">
    <cfRule type="colorScale" priority="15685">
      <colorScale>
        <cfvo type="min"/>
        <cfvo type="percentile" val="20"/>
        <cfvo type="max"/>
        <color rgb="FF92D050"/>
        <color theme="5" tint="0.79998168889431442"/>
        <color rgb="FFFF0000"/>
      </colorScale>
    </cfRule>
    <cfRule type="colorScale" priority="15686">
      <colorScale>
        <cfvo type="min"/>
        <cfvo type="max"/>
        <color rgb="FFFF0000"/>
        <color rgb="FF92D050"/>
      </colorScale>
    </cfRule>
    <cfRule type="colorScale" priority="15687">
      <colorScale>
        <cfvo type="min"/>
        <cfvo type="percentile" val="50"/>
        <cfvo type="max"/>
        <color rgb="FF5A8AC6"/>
        <color rgb="FFFCFCFF"/>
        <color rgb="FFF8696B"/>
      </colorScale>
    </cfRule>
    <cfRule type="colorScale" priority="15688">
      <colorScale>
        <cfvo type="formula" val="&quot;&gt;20&quot;"/>
        <cfvo type="formula" val="35"/>
        <color rgb="FFF8696B"/>
        <color rgb="FFFCFCFF"/>
      </colorScale>
    </cfRule>
    <cfRule type="colorScale" priority="15689">
      <colorScale>
        <cfvo type="min"/>
        <cfvo type="max"/>
        <color rgb="FFFFEF9C"/>
        <color rgb="FF63BE7B"/>
      </colorScale>
    </cfRule>
  </conditionalFormatting>
  <conditionalFormatting sqref="N1192:N1208">
    <cfRule type="colorScale" priority="15680">
      <colorScale>
        <cfvo type="min"/>
        <cfvo type="percentile" val="20"/>
        <cfvo type="max"/>
        <color rgb="FF92D050"/>
        <color theme="5" tint="0.79998168889431442"/>
        <color rgb="FFFF0000"/>
      </colorScale>
    </cfRule>
    <cfRule type="colorScale" priority="15681">
      <colorScale>
        <cfvo type="min"/>
        <cfvo type="max"/>
        <color rgb="FFFF0000"/>
        <color rgb="FF92D050"/>
      </colorScale>
    </cfRule>
    <cfRule type="colorScale" priority="15682">
      <colorScale>
        <cfvo type="min"/>
        <cfvo type="percentile" val="50"/>
        <cfvo type="max"/>
        <color rgb="FF5A8AC6"/>
        <color rgb="FFFCFCFF"/>
        <color rgb="FFF8696B"/>
      </colorScale>
    </cfRule>
    <cfRule type="colorScale" priority="15683">
      <colorScale>
        <cfvo type="formula" val="&quot;&gt;20&quot;"/>
        <cfvo type="formula" val="35"/>
        <color rgb="FFF8696B"/>
        <color rgb="FFFCFCFF"/>
      </colorScale>
    </cfRule>
    <cfRule type="colorScale" priority="15684">
      <colorScale>
        <cfvo type="min"/>
        <cfvo type="max"/>
        <color rgb="FFFFEF9C"/>
        <color rgb="FF63BE7B"/>
      </colorScale>
    </cfRule>
  </conditionalFormatting>
  <conditionalFormatting sqref="S1192:S1208">
    <cfRule type="containsText" dxfId="2397" priority="15676" operator="containsText" text="Short Buildup">
      <formula>NOT(ISERROR(SEARCH("Short Buildup",S1192)))</formula>
    </cfRule>
    <cfRule type="containsText" dxfId="2396" priority="15677" operator="containsText" text="Long Liquidation">
      <formula>NOT(ISERROR(SEARCH("Long Liquidation",S1192)))</formula>
    </cfRule>
    <cfRule type="containsText" dxfId="2395" priority="15678" operator="containsText" text="Short covering">
      <formula>NOT(ISERROR(SEARCH("Short covering",S1192)))</formula>
    </cfRule>
    <cfRule type="containsText" dxfId="2394" priority="15679" operator="containsText" text="Long Buildup">
      <formula>NOT(ISERROR(SEARCH("Long Buildup",S1192)))</formula>
    </cfRule>
  </conditionalFormatting>
  <conditionalFormatting sqref="R1209:R1225 D1209:D1224 C1225">
    <cfRule type="containsText" dxfId="2393" priority="15662" operator="containsText" text="DOWN">
      <formula>NOT(ISERROR(SEARCH("DOWN",C1209)))</formula>
    </cfRule>
  </conditionalFormatting>
  <conditionalFormatting sqref="R1209:R1225 D1209:D1224 C1225">
    <cfRule type="containsText" dxfId="2392" priority="15661" operator="containsText" text="UP">
      <formula>NOT(ISERROR(SEARCH("UP",C1209)))</formula>
    </cfRule>
  </conditionalFormatting>
  <conditionalFormatting sqref="I1209:I1225">
    <cfRule type="colorScale" priority="15663">
      <colorScale>
        <cfvo type="min"/>
        <cfvo type="max"/>
        <color rgb="FFFFEF9C"/>
        <color rgb="FF63BE7B"/>
      </colorScale>
    </cfRule>
  </conditionalFormatting>
  <conditionalFormatting sqref="M1209:M1225">
    <cfRule type="colorScale" priority="15664">
      <colorScale>
        <cfvo type="min"/>
        <cfvo type="max"/>
        <color rgb="FFFF7128"/>
        <color rgb="FFFFEF9C"/>
      </colorScale>
    </cfRule>
  </conditionalFormatting>
  <conditionalFormatting sqref="Q1209:Q1225">
    <cfRule type="dataBar" priority="15665">
      <dataBar>
        <cfvo type="min"/>
        <cfvo type="max"/>
        <color rgb="FFFF555A"/>
      </dataBar>
    </cfRule>
  </conditionalFormatting>
  <conditionalFormatting sqref="E1209:E1225">
    <cfRule type="dataBar" priority="15666">
      <dataBar>
        <cfvo type="min"/>
        <cfvo type="max"/>
        <color rgb="FFFF555A"/>
      </dataBar>
    </cfRule>
  </conditionalFormatting>
  <conditionalFormatting sqref="F1209:F1225">
    <cfRule type="top10" dxfId="2391" priority="15667" rank="1"/>
  </conditionalFormatting>
  <conditionalFormatting sqref="P1209:P1224">
    <cfRule type="top10" dxfId="2390" priority="15668" rank="1"/>
  </conditionalFormatting>
  <conditionalFormatting sqref="G1209:G1225 O1209:O1224 P1225">
    <cfRule type="cellIs" dxfId="2389" priority="15669" operator="equal">
      <formula>$G$135</formula>
    </cfRule>
  </conditionalFormatting>
  <conditionalFormatting sqref="O1209:O1224 P1225">
    <cfRule type="cellIs" dxfId="2388" priority="15670" operator="equal">
      <formula>$J$135</formula>
    </cfRule>
  </conditionalFormatting>
  <conditionalFormatting sqref="G1209:G1225 O1209:O1224 P1225">
    <cfRule type="cellIs" dxfId="2387" priority="15671" operator="equal">
      <formula>#REF!</formula>
    </cfRule>
  </conditionalFormatting>
  <conditionalFormatting sqref="G1209:G1225">
    <cfRule type="top10" dxfId="2386" priority="15672" rank="1"/>
    <cfRule type="cellIs" dxfId="2385" priority="15673" operator="equal">
      <formula>$G$133</formula>
    </cfRule>
  </conditionalFormatting>
  <conditionalFormatting sqref="O1209:O1224 P1225">
    <cfRule type="top10" dxfId="2384" priority="15674" rank="1"/>
    <cfRule type="cellIs" dxfId="2383" priority="15675" operator="equal">
      <formula>$G$133</formula>
    </cfRule>
  </conditionalFormatting>
  <conditionalFormatting sqref="C1209:C1224">
    <cfRule type="containsText" dxfId="2382" priority="15657" operator="containsText" text="Short Buildup">
      <formula>NOT(ISERROR(SEARCH("Short Buildup",C1209)))</formula>
    </cfRule>
    <cfRule type="containsText" dxfId="2381" priority="15658" operator="containsText" text="Long Liquidation">
      <formula>NOT(ISERROR(SEARCH("Long Liquidation",C1209)))</formula>
    </cfRule>
    <cfRule type="containsText" dxfId="2380" priority="15659" operator="containsText" text="Short covering">
      <formula>NOT(ISERROR(SEARCH("Short covering",C1209)))</formula>
    </cfRule>
    <cfRule type="containsText" dxfId="2379" priority="15660" operator="containsText" text="Long Buildup">
      <formula>NOT(ISERROR(SEARCH("Long Buildup",C1209)))</formula>
    </cfRule>
  </conditionalFormatting>
  <conditionalFormatting sqref="H1209:H1225">
    <cfRule type="colorScale" priority="15652">
      <colorScale>
        <cfvo type="min"/>
        <cfvo type="percentile" val="20"/>
        <cfvo type="max"/>
        <color rgb="FF92D050"/>
        <color theme="5" tint="0.79998168889431442"/>
        <color rgb="FFFF0000"/>
      </colorScale>
    </cfRule>
    <cfRule type="colorScale" priority="15653">
      <colorScale>
        <cfvo type="min"/>
        <cfvo type="max"/>
        <color rgb="FFFF0000"/>
        <color rgb="FF92D050"/>
      </colorScale>
    </cfRule>
    <cfRule type="colorScale" priority="15654">
      <colorScale>
        <cfvo type="min"/>
        <cfvo type="percentile" val="50"/>
        <cfvo type="max"/>
        <color rgb="FF5A8AC6"/>
        <color rgb="FFFCFCFF"/>
        <color rgb="FFF8696B"/>
      </colorScale>
    </cfRule>
    <cfRule type="colorScale" priority="15655">
      <colorScale>
        <cfvo type="formula" val="&quot;&gt;20&quot;"/>
        <cfvo type="formula" val="35"/>
        <color rgb="FFF8696B"/>
        <color rgb="FFFCFCFF"/>
      </colorScale>
    </cfRule>
    <cfRule type="colorScale" priority="15656">
      <colorScale>
        <cfvo type="min"/>
        <cfvo type="max"/>
        <color rgb="FFFFEF9C"/>
        <color rgb="FF63BE7B"/>
      </colorScale>
    </cfRule>
  </conditionalFormatting>
  <conditionalFormatting sqref="N1209:N1225">
    <cfRule type="colorScale" priority="15647">
      <colorScale>
        <cfvo type="min"/>
        <cfvo type="percentile" val="20"/>
        <cfvo type="max"/>
        <color rgb="FF92D050"/>
        <color theme="5" tint="0.79998168889431442"/>
        <color rgb="FFFF0000"/>
      </colorScale>
    </cfRule>
    <cfRule type="colorScale" priority="15648">
      <colorScale>
        <cfvo type="min"/>
        <cfvo type="max"/>
        <color rgb="FFFF0000"/>
        <color rgb="FF92D050"/>
      </colorScale>
    </cfRule>
    <cfRule type="colorScale" priority="15649">
      <colorScale>
        <cfvo type="min"/>
        <cfvo type="percentile" val="50"/>
        <cfvo type="max"/>
        <color rgb="FF5A8AC6"/>
        <color rgb="FFFCFCFF"/>
        <color rgb="FFF8696B"/>
      </colorScale>
    </cfRule>
    <cfRule type="colorScale" priority="15650">
      <colorScale>
        <cfvo type="formula" val="&quot;&gt;20&quot;"/>
        <cfvo type="formula" val="35"/>
        <color rgb="FFF8696B"/>
        <color rgb="FFFCFCFF"/>
      </colorScale>
    </cfRule>
    <cfRule type="colorScale" priority="15651">
      <colorScale>
        <cfvo type="min"/>
        <cfvo type="max"/>
        <color rgb="FFFFEF9C"/>
        <color rgb="FF63BE7B"/>
      </colorScale>
    </cfRule>
  </conditionalFormatting>
  <conditionalFormatting sqref="S1209:S1225">
    <cfRule type="containsText" dxfId="2378" priority="15643" operator="containsText" text="Short Buildup">
      <formula>NOT(ISERROR(SEARCH("Short Buildup",S1209)))</formula>
    </cfRule>
    <cfRule type="containsText" dxfId="2377" priority="15644" operator="containsText" text="Long Liquidation">
      <formula>NOT(ISERROR(SEARCH("Long Liquidation",S1209)))</formula>
    </cfRule>
    <cfRule type="containsText" dxfId="2376" priority="15645" operator="containsText" text="Short covering">
      <formula>NOT(ISERROR(SEARCH("Short covering",S1209)))</formula>
    </cfRule>
    <cfRule type="containsText" dxfId="2375" priority="15646" operator="containsText" text="Long Buildup">
      <formula>NOT(ISERROR(SEARCH("Long Buildup",S1209)))</formula>
    </cfRule>
  </conditionalFormatting>
  <conditionalFormatting sqref="R1226:R1242 D1226:D1241 C1242">
    <cfRule type="containsText" dxfId="2374" priority="15629" operator="containsText" text="DOWN">
      <formula>NOT(ISERROR(SEARCH("DOWN",C1226)))</formula>
    </cfRule>
  </conditionalFormatting>
  <conditionalFormatting sqref="R1226:R1242 D1226:D1241 C1242">
    <cfRule type="containsText" dxfId="2373" priority="15628" operator="containsText" text="UP">
      <formula>NOT(ISERROR(SEARCH("UP",C1226)))</formula>
    </cfRule>
  </conditionalFormatting>
  <conditionalFormatting sqref="I1226:I1242">
    <cfRule type="colorScale" priority="15630">
      <colorScale>
        <cfvo type="min"/>
        <cfvo type="max"/>
        <color rgb="FFFFEF9C"/>
        <color rgb="FF63BE7B"/>
      </colorScale>
    </cfRule>
  </conditionalFormatting>
  <conditionalFormatting sqref="M1226:M1242">
    <cfRule type="colorScale" priority="15631">
      <colorScale>
        <cfvo type="min"/>
        <cfvo type="max"/>
        <color rgb="FFFF7128"/>
        <color rgb="FFFFEF9C"/>
      </colorScale>
    </cfRule>
  </conditionalFormatting>
  <conditionalFormatting sqref="Q1226:Q1242">
    <cfRule type="dataBar" priority="15632">
      <dataBar>
        <cfvo type="min"/>
        <cfvo type="max"/>
        <color rgb="FFFF555A"/>
      </dataBar>
    </cfRule>
  </conditionalFormatting>
  <conditionalFormatting sqref="E1226:E1242">
    <cfRule type="dataBar" priority="15633">
      <dataBar>
        <cfvo type="min"/>
        <cfvo type="max"/>
        <color rgb="FFFF555A"/>
      </dataBar>
    </cfRule>
  </conditionalFormatting>
  <conditionalFormatting sqref="F1226:F1242">
    <cfRule type="top10" dxfId="2372" priority="15634" rank="1"/>
  </conditionalFormatting>
  <conditionalFormatting sqref="P1226:P1241">
    <cfRule type="top10" dxfId="2371" priority="15635" rank="1"/>
  </conditionalFormatting>
  <conditionalFormatting sqref="G1226:G1242 O1226:O1241 P1242">
    <cfRule type="cellIs" dxfId="2370" priority="15636" operator="equal">
      <formula>$G$135</formula>
    </cfRule>
  </conditionalFormatting>
  <conditionalFormatting sqref="O1226:O1241 P1242">
    <cfRule type="cellIs" dxfId="2369" priority="15637" operator="equal">
      <formula>$J$135</formula>
    </cfRule>
  </conditionalFormatting>
  <conditionalFormatting sqref="G1226:G1242 O1226:O1241 P1242">
    <cfRule type="cellIs" dxfId="2368" priority="15638" operator="equal">
      <formula>#REF!</formula>
    </cfRule>
  </conditionalFormatting>
  <conditionalFormatting sqref="G1226:G1242">
    <cfRule type="top10" dxfId="2367" priority="15639" rank="1"/>
    <cfRule type="cellIs" dxfId="2366" priority="15640" operator="equal">
      <formula>$G$133</formula>
    </cfRule>
  </conditionalFormatting>
  <conditionalFormatting sqref="O1226:O1241 P1242">
    <cfRule type="top10" dxfId="2365" priority="15641" rank="1"/>
    <cfRule type="cellIs" dxfId="2364" priority="15642" operator="equal">
      <formula>$G$133</formula>
    </cfRule>
  </conditionalFormatting>
  <conditionalFormatting sqref="C1226:C1241">
    <cfRule type="containsText" dxfId="2363" priority="15624" operator="containsText" text="Short Buildup">
      <formula>NOT(ISERROR(SEARCH("Short Buildup",C1226)))</formula>
    </cfRule>
    <cfRule type="containsText" dxfId="2362" priority="15625" operator="containsText" text="Long Liquidation">
      <formula>NOT(ISERROR(SEARCH("Long Liquidation",C1226)))</formula>
    </cfRule>
    <cfRule type="containsText" dxfId="2361" priority="15626" operator="containsText" text="Short covering">
      <formula>NOT(ISERROR(SEARCH("Short covering",C1226)))</formula>
    </cfRule>
    <cfRule type="containsText" dxfId="2360" priority="15627" operator="containsText" text="Long Buildup">
      <formula>NOT(ISERROR(SEARCH("Long Buildup",C1226)))</formula>
    </cfRule>
  </conditionalFormatting>
  <conditionalFormatting sqref="H1226:H1242">
    <cfRule type="colorScale" priority="15619">
      <colorScale>
        <cfvo type="min"/>
        <cfvo type="percentile" val="20"/>
        <cfvo type="max"/>
        <color rgb="FF92D050"/>
        <color theme="5" tint="0.79998168889431442"/>
        <color rgb="FFFF0000"/>
      </colorScale>
    </cfRule>
    <cfRule type="colorScale" priority="15620">
      <colorScale>
        <cfvo type="min"/>
        <cfvo type="max"/>
        <color rgb="FFFF0000"/>
        <color rgb="FF92D050"/>
      </colorScale>
    </cfRule>
    <cfRule type="colorScale" priority="15621">
      <colorScale>
        <cfvo type="min"/>
        <cfvo type="percentile" val="50"/>
        <cfvo type="max"/>
        <color rgb="FF5A8AC6"/>
        <color rgb="FFFCFCFF"/>
        <color rgb="FFF8696B"/>
      </colorScale>
    </cfRule>
    <cfRule type="colorScale" priority="15622">
      <colorScale>
        <cfvo type="formula" val="&quot;&gt;20&quot;"/>
        <cfvo type="formula" val="35"/>
        <color rgb="FFF8696B"/>
        <color rgb="FFFCFCFF"/>
      </colorScale>
    </cfRule>
    <cfRule type="colorScale" priority="15623">
      <colorScale>
        <cfvo type="min"/>
        <cfvo type="max"/>
        <color rgb="FFFFEF9C"/>
        <color rgb="FF63BE7B"/>
      </colorScale>
    </cfRule>
  </conditionalFormatting>
  <conditionalFormatting sqref="N1226:N1242">
    <cfRule type="colorScale" priority="15614">
      <colorScale>
        <cfvo type="min"/>
        <cfvo type="percentile" val="20"/>
        <cfvo type="max"/>
        <color rgb="FF92D050"/>
        <color theme="5" tint="0.79998168889431442"/>
        <color rgb="FFFF0000"/>
      </colorScale>
    </cfRule>
    <cfRule type="colorScale" priority="15615">
      <colorScale>
        <cfvo type="min"/>
        <cfvo type="max"/>
        <color rgb="FFFF0000"/>
        <color rgb="FF92D050"/>
      </colorScale>
    </cfRule>
    <cfRule type="colorScale" priority="15616">
      <colorScale>
        <cfvo type="min"/>
        <cfvo type="percentile" val="50"/>
        <cfvo type="max"/>
        <color rgb="FF5A8AC6"/>
        <color rgb="FFFCFCFF"/>
        <color rgb="FFF8696B"/>
      </colorScale>
    </cfRule>
    <cfRule type="colorScale" priority="15617">
      <colorScale>
        <cfvo type="formula" val="&quot;&gt;20&quot;"/>
        <cfvo type="formula" val="35"/>
        <color rgb="FFF8696B"/>
        <color rgb="FFFCFCFF"/>
      </colorScale>
    </cfRule>
    <cfRule type="colorScale" priority="15618">
      <colorScale>
        <cfvo type="min"/>
        <cfvo type="max"/>
        <color rgb="FFFFEF9C"/>
        <color rgb="FF63BE7B"/>
      </colorScale>
    </cfRule>
  </conditionalFormatting>
  <conditionalFormatting sqref="S1226:S1242">
    <cfRule type="containsText" dxfId="2359" priority="15610" operator="containsText" text="Short Buildup">
      <formula>NOT(ISERROR(SEARCH("Short Buildup",S1226)))</formula>
    </cfRule>
    <cfRule type="containsText" dxfId="2358" priority="15611" operator="containsText" text="Long Liquidation">
      <formula>NOT(ISERROR(SEARCH("Long Liquidation",S1226)))</formula>
    </cfRule>
    <cfRule type="containsText" dxfId="2357" priority="15612" operator="containsText" text="Short covering">
      <formula>NOT(ISERROR(SEARCH("Short covering",S1226)))</formula>
    </cfRule>
    <cfRule type="containsText" dxfId="2356" priority="15613" operator="containsText" text="Long Buildup">
      <formula>NOT(ISERROR(SEARCH("Long Buildup",S1226)))</formula>
    </cfRule>
  </conditionalFormatting>
  <conditionalFormatting sqref="R1243:R1259 D1243:D1258 C1259">
    <cfRule type="containsText" dxfId="2355" priority="15596" operator="containsText" text="DOWN">
      <formula>NOT(ISERROR(SEARCH("DOWN",C1243)))</formula>
    </cfRule>
  </conditionalFormatting>
  <conditionalFormatting sqref="R1243:R1259 D1243:D1258 C1259">
    <cfRule type="containsText" dxfId="2354" priority="15595" operator="containsText" text="UP">
      <formula>NOT(ISERROR(SEARCH("UP",C1243)))</formula>
    </cfRule>
  </conditionalFormatting>
  <conditionalFormatting sqref="I1243:I1259">
    <cfRule type="colorScale" priority="15597">
      <colorScale>
        <cfvo type="min"/>
        <cfvo type="max"/>
        <color rgb="FFFFEF9C"/>
        <color rgb="FF63BE7B"/>
      </colorScale>
    </cfRule>
  </conditionalFormatting>
  <conditionalFormatting sqref="M1243:M1259">
    <cfRule type="colorScale" priority="15598">
      <colorScale>
        <cfvo type="min"/>
        <cfvo type="max"/>
        <color rgb="FFFF7128"/>
        <color rgb="FFFFEF9C"/>
      </colorScale>
    </cfRule>
  </conditionalFormatting>
  <conditionalFormatting sqref="Q1243:Q1259">
    <cfRule type="dataBar" priority="15599">
      <dataBar>
        <cfvo type="min"/>
        <cfvo type="max"/>
        <color rgb="FFFF555A"/>
      </dataBar>
    </cfRule>
  </conditionalFormatting>
  <conditionalFormatting sqref="E1243:E1259">
    <cfRule type="dataBar" priority="15600">
      <dataBar>
        <cfvo type="min"/>
        <cfvo type="max"/>
        <color rgb="FFFF555A"/>
      </dataBar>
    </cfRule>
  </conditionalFormatting>
  <conditionalFormatting sqref="F1243:F1259">
    <cfRule type="top10" dxfId="2353" priority="15601" rank="1"/>
  </conditionalFormatting>
  <conditionalFormatting sqref="P1243:P1258">
    <cfRule type="top10" dxfId="2352" priority="15602" rank="1"/>
  </conditionalFormatting>
  <conditionalFormatting sqref="G1243:G1259 O1243:O1258 P1259">
    <cfRule type="cellIs" dxfId="2351" priority="15603" operator="equal">
      <formula>$G$135</formula>
    </cfRule>
  </conditionalFormatting>
  <conditionalFormatting sqref="O1243:O1258 P1259">
    <cfRule type="cellIs" dxfId="2350" priority="15604" operator="equal">
      <formula>$J$135</formula>
    </cfRule>
  </conditionalFormatting>
  <conditionalFormatting sqref="G1243:G1259 O1243:O1258 P1259">
    <cfRule type="cellIs" dxfId="2349" priority="15605" operator="equal">
      <formula>#REF!</formula>
    </cfRule>
  </conditionalFormatting>
  <conditionalFormatting sqref="G1243:G1259">
    <cfRule type="top10" dxfId="2348" priority="15606" rank="1"/>
    <cfRule type="cellIs" dxfId="2347" priority="15607" operator="equal">
      <formula>$G$133</formula>
    </cfRule>
  </conditionalFormatting>
  <conditionalFormatting sqref="O1243:O1258 P1259">
    <cfRule type="top10" dxfId="2346" priority="15608" rank="1"/>
    <cfRule type="cellIs" dxfId="2345" priority="15609" operator="equal">
      <formula>$G$133</formula>
    </cfRule>
  </conditionalFormatting>
  <conditionalFormatting sqref="C1243:C1258">
    <cfRule type="containsText" dxfId="2344" priority="15591" operator="containsText" text="Short Buildup">
      <formula>NOT(ISERROR(SEARCH("Short Buildup",C1243)))</formula>
    </cfRule>
    <cfRule type="containsText" dxfId="2343" priority="15592" operator="containsText" text="Long Liquidation">
      <formula>NOT(ISERROR(SEARCH("Long Liquidation",C1243)))</formula>
    </cfRule>
    <cfRule type="containsText" dxfId="2342" priority="15593" operator="containsText" text="Short covering">
      <formula>NOT(ISERROR(SEARCH("Short covering",C1243)))</formula>
    </cfRule>
    <cfRule type="containsText" dxfId="2341" priority="15594" operator="containsText" text="Long Buildup">
      <formula>NOT(ISERROR(SEARCH("Long Buildup",C1243)))</formula>
    </cfRule>
  </conditionalFormatting>
  <conditionalFormatting sqref="H1243:H1259">
    <cfRule type="colorScale" priority="15586">
      <colorScale>
        <cfvo type="min"/>
        <cfvo type="percentile" val="20"/>
        <cfvo type="max"/>
        <color rgb="FF92D050"/>
        <color theme="5" tint="0.79998168889431442"/>
        <color rgb="FFFF0000"/>
      </colorScale>
    </cfRule>
    <cfRule type="colorScale" priority="15587">
      <colorScale>
        <cfvo type="min"/>
        <cfvo type="max"/>
        <color rgb="FFFF0000"/>
        <color rgb="FF92D050"/>
      </colorScale>
    </cfRule>
    <cfRule type="colorScale" priority="15588">
      <colorScale>
        <cfvo type="min"/>
        <cfvo type="percentile" val="50"/>
        <cfvo type="max"/>
        <color rgb="FF5A8AC6"/>
        <color rgb="FFFCFCFF"/>
        <color rgb="FFF8696B"/>
      </colorScale>
    </cfRule>
    <cfRule type="colorScale" priority="15589">
      <colorScale>
        <cfvo type="formula" val="&quot;&gt;20&quot;"/>
        <cfvo type="formula" val="35"/>
        <color rgb="FFF8696B"/>
        <color rgb="FFFCFCFF"/>
      </colorScale>
    </cfRule>
    <cfRule type="colorScale" priority="15590">
      <colorScale>
        <cfvo type="min"/>
        <cfvo type="max"/>
        <color rgb="FFFFEF9C"/>
        <color rgb="FF63BE7B"/>
      </colorScale>
    </cfRule>
  </conditionalFormatting>
  <conditionalFormatting sqref="N1243:N1259">
    <cfRule type="colorScale" priority="15581">
      <colorScale>
        <cfvo type="min"/>
        <cfvo type="percentile" val="20"/>
        <cfvo type="max"/>
        <color rgb="FF92D050"/>
        <color theme="5" tint="0.79998168889431442"/>
        <color rgb="FFFF0000"/>
      </colorScale>
    </cfRule>
    <cfRule type="colorScale" priority="15582">
      <colorScale>
        <cfvo type="min"/>
        <cfvo type="max"/>
        <color rgb="FFFF0000"/>
        <color rgb="FF92D050"/>
      </colorScale>
    </cfRule>
    <cfRule type="colorScale" priority="15583">
      <colorScale>
        <cfvo type="min"/>
        <cfvo type="percentile" val="50"/>
        <cfvo type="max"/>
        <color rgb="FF5A8AC6"/>
        <color rgb="FFFCFCFF"/>
        <color rgb="FFF8696B"/>
      </colorScale>
    </cfRule>
    <cfRule type="colorScale" priority="15584">
      <colorScale>
        <cfvo type="formula" val="&quot;&gt;20&quot;"/>
        <cfvo type="formula" val="35"/>
        <color rgb="FFF8696B"/>
        <color rgb="FFFCFCFF"/>
      </colorScale>
    </cfRule>
    <cfRule type="colorScale" priority="15585">
      <colorScale>
        <cfvo type="min"/>
        <cfvo type="max"/>
        <color rgb="FFFFEF9C"/>
        <color rgb="FF63BE7B"/>
      </colorScale>
    </cfRule>
  </conditionalFormatting>
  <conditionalFormatting sqref="S1243:S1259">
    <cfRule type="containsText" dxfId="2340" priority="15577" operator="containsText" text="Short Buildup">
      <formula>NOT(ISERROR(SEARCH("Short Buildup",S1243)))</formula>
    </cfRule>
    <cfRule type="containsText" dxfId="2339" priority="15578" operator="containsText" text="Long Liquidation">
      <formula>NOT(ISERROR(SEARCH("Long Liquidation",S1243)))</formula>
    </cfRule>
    <cfRule type="containsText" dxfId="2338" priority="15579" operator="containsText" text="Short covering">
      <formula>NOT(ISERROR(SEARCH("Short covering",S1243)))</formula>
    </cfRule>
    <cfRule type="containsText" dxfId="2337" priority="15580" operator="containsText" text="Long Buildup">
      <formula>NOT(ISERROR(SEARCH("Long Buildup",S1243)))</formula>
    </cfRule>
  </conditionalFormatting>
  <conditionalFormatting sqref="R1260:R1276 D1260:D1275 C1276">
    <cfRule type="containsText" dxfId="2336" priority="15563" operator="containsText" text="DOWN">
      <formula>NOT(ISERROR(SEARCH("DOWN",C1260)))</formula>
    </cfRule>
  </conditionalFormatting>
  <conditionalFormatting sqref="R1260:R1276 D1260:D1275 C1276">
    <cfRule type="containsText" dxfId="2335" priority="15562" operator="containsText" text="UP">
      <formula>NOT(ISERROR(SEARCH("UP",C1260)))</formula>
    </cfRule>
  </conditionalFormatting>
  <conditionalFormatting sqref="I1260:I1276">
    <cfRule type="colorScale" priority="15564">
      <colorScale>
        <cfvo type="min"/>
        <cfvo type="max"/>
        <color rgb="FFFFEF9C"/>
        <color rgb="FF63BE7B"/>
      </colorScale>
    </cfRule>
  </conditionalFormatting>
  <conditionalFormatting sqref="M1260:M1276">
    <cfRule type="colorScale" priority="15565">
      <colorScale>
        <cfvo type="min"/>
        <cfvo type="max"/>
        <color rgb="FFFF7128"/>
        <color rgb="FFFFEF9C"/>
      </colorScale>
    </cfRule>
  </conditionalFormatting>
  <conditionalFormatting sqref="Q1260:Q1276">
    <cfRule type="dataBar" priority="15566">
      <dataBar>
        <cfvo type="min"/>
        <cfvo type="max"/>
        <color rgb="FFFF555A"/>
      </dataBar>
    </cfRule>
  </conditionalFormatting>
  <conditionalFormatting sqref="E1260:E1276">
    <cfRule type="dataBar" priority="15567">
      <dataBar>
        <cfvo type="min"/>
        <cfvo type="max"/>
        <color rgb="FFFF555A"/>
      </dataBar>
    </cfRule>
  </conditionalFormatting>
  <conditionalFormatting sqref="F1260:F1276">
    <cfRule type="top10" dxfId="2334" priority="15568" rank="1"/>
  </conditionalFormatting>
  <conditionalFormatting sqref="P1260:P1275">
    <cfRule type="top10" dxfId="2333" priority="15569" rank="1"/>
  </conditionalFormatting>
  <conditionalFormatting sqref="G1260:G1276 O1260:O1275 P1276">
    <cfRule type="cellIs" dxfId="2332" priority="15570" operator="equal">
      <formula>$G$135</formula>
    </cfRule>
  </conditionalFormatting>
  <conditionalFormatting sqref="O1260:O1275 P1276">
    <cfRule type="cellIs" dxfId="2331" priority="15571" operator="equal">
      <formula>$J$135</formula>
    </cfRule>
  </conditionalFormatting>
  <conditionalFormatting sqref="G1260:G1276 O1260:O1275 P1276">
    <cfRule type="cellIs" dxfId="2330" priority="15572" operator="equal">
      <formula>#REF!</formula>
    </cfRule>
  </conditionalFormatting>
  <conditionalFormatting sqref="G1260:G1276">
    <cfRule type="top10" dxfId="2329" priority="15573" rank="1"/>
    <cfRule type="cellIs" dxfId="2328" priority="15574" operator="equal">
      <formula>$G$133</formula>
    </cfRule>
  </conditionalFormatting>
  <conditionalFormatting sqref="O1260:O1275 P1276">
    <cfRule type="top10" dxfId="2327" priority="15575" rank="1"/>
    <cfRule type="cellIs" dxfId="2326" priority="15576" operator="equal">
      <formula>$G$133</formula>
    </cfRule>
  </conditionalFormatting>
  <conditionalFormatting sqref="C1260:C1275">
    <cfRule type="containsText" dxfId="2325" priority="15558" operator="containsText" text="Short Buildup">
      <formula>NOT(ISERROR(SEARCH("Short Buildup",C1260)))</formula>
    </cfRule>
    <cfRule type="containsText" dxfId="2324" priority="15559" operator="containsText" text="Long Liquidation">
      <formula>NOT(ISERROR(SEARCH("Long Liquidation",C1260)))</formula>
    </cfRule>
    <cfRule type="containsText" dxfId="2323" priority="15560" operator="containsText" text="Short covering">
      <formula>NOT(ISERROR(SEARCH("Short covering",C1260)))</formula>
    </cfRule>
    <cfRule type="containsText" dxfId="2322" priority="15561" operator="containsText" text="Long Buildup">
      <formula>NOT(ISERROR(SEARCH("Long Buildup",C1260)))</formula>
    </cfRule>
  </conditionalFormatting>
  <conditionalFormatting sqref="H1260:H1276">
    <cfRule type="colorScale" priority="15553">
      <colorScale>
        <cfvo type="min"/>
        <cfvo type="percentile" val="20"/>
        <cfvo type="max"/>
        <color rgb="FF92D050"/>
        <color theme="5" tint="0.79998168889431442"/>
        <color rgb="FFFF0000"/>
      </colorScale>
    </cfRule>
    <cfRule type="colorScale" priority="15554">
      <colorScale>
        <cfvo type="min"/>
        <cfvo type="max"/>
        <color rgb="FFFF0000"/>
        <color rgb="FF92D050"/>
      </colorScale>
    </cfRule>
    <cfRule type="colorScale" priority="15555">
      <colorScale>
        <cfvo type="min"/>
        <cfvo type="percentile" val="50"/>
        <cfvo type="max"/>
        <color rgb="FF5A8AC6"/>
        <color rgb="FFFCFCFF"/>
        <color rgb="FFF8696B"/>
      </colorScale>
    </cfRule>
    <cfRule type="colorScale" priority="15556">
      <colorScale>
        <cfvo type="formula" val="&quot;&gt;20&quot;"/>
        <cfvo type="formula" val="35"/>
        <color rgb="FFF8696B"/>
        <color rgb="FFFCFCFF"/>
      </colorScale>
    </cfRule>
    <cfRule type="colorScale" priority="15557">
      <colorScale>
        <cfvo type="min"/>
        <cfvo type="max"/>
        <color rgb="FFFFEF9C"/>
        <color rgb="FF63BE7B"/>
      </colorScale>
    </cfRule>
  </conditionalFormatting>
  <conditionalFormatting sqref="N1260:N1276">
    <cfRule type="colorScale" priority="15548">
      <colorScale>
        <cfvo type="min"/>
        <cfvo type="percentile" val="20"/>
        <cfvo type="max"/>
        <color rgb="FF92D050"/>
        <color theme="5" tint="0.79998168889431442"/>
        <color rgb="FFFF0000"/>
      </colorScale>
    </cfRule>
    <cfRule type="colorScale" priority="15549">
      <colorScale>
        <cfvo type="min"/>
        <cfvo type="max"/>
        <color rgb="FFFF0000"/>
        <color rgb="FF92D050"/>
      </colorScale>
    </cfRule>
    <cfRule type="colorScale" priority="15550">
      <colorScale>
        <cfvo type="min"/>
        <cfvo type="percentile" val="50"/>
        <cfvo type="max"/>
        <color rgb="FF5A8AC6"/>
        <color rgb="FFFCFCFF"/>
        <color rgb="FFF8696B"/>
      </colorScale>
    </cfRule>
    <cfRule type="colorScale" priority="15551">
      <colorScale>
        <cfvo type="formula" val="&quot;&gt;20&quot;"/>
        <cfvo type="formula" val="35"/>
        <color rgb="FFF8696B"/>
        <color rgb="FFFCFCFF"/>
      </colorScale>
    </cfRule>
    <cfRule type="colorScale" priority="15552">
      <colorScale>
        <cfvo type="min"/>
        <cfvo type="max"/>
        <color rgb="FFFFEF9C"/>
        <color rgb="FF63BE7B"/>
      </colorScale>
    </cfRule>
  </conditionalFormatting>
  <conditionalFormatting sqref="S1260:S1276">
    <cfRule type="containsText" dxfId="2321" priority="15544" operator="containsText" text="Short Buildup">
      <formula>NOT(ISERROR(SEARCH("Short Buildup",S1260)))</formula>
    </cfRule>
    <cfRule type="containsText" dxfId="2320" priority="15545" operator="containsText" text="Long Liquidation">
      <formula>NOT(ISERROR(SEARCH("Long Liquidation",S1260)))</formula>
    </cfRule>
    <cfRule type="containsText" dxfId="2319" priority="15546" operator="containsText" text="Short covering">
      <formula>NOT(ISERROR(SEARCH("Short covering",S1260)))</formula>
    </cfRule>
    <cfRule type="containsText" dxfId="2318" priority="15547" operator="containsText" text="Long Buildup">
      <formula>NOT(ISERROR(SEARCH("Long Buildup",S1260)))</formula>
    </cfRule>
  </conditionalFormatting>
  <conditionalFormatting sqref="R1277:R1293 D1277:D1292 C1293">
    <cfRule type="containsText" dxfId="2317" priority="15530" operator="containsText" text="DOWN">
      <formula>NOT(ISERROR(SEARCH("DOWN",C1277)))</formula>
    </cfRule>
  </conditionalFormatting>
  <conditionalFormatting sqref="R1277:R1293 D1277:D1292 C1293">
    <cfRule type="containsText" dxfId="2316" priority="15529" operator="containsText" text="UP">
      <formula>NOT(ISERROR(SEARCH("UP",C1277)))</formula>
    </cfRule>
  </conditionalFormatting>
  <conditionalFormatting sqref="I1277:I1293">
    <cfRule type="colorScale" priority="15531">
      <colorScale>
        <cfvo type="min"/>
        <cfvo type="max"/>
        <color rgb="FFFFEF9C"/>
        <color rgb="FF63BE7B"/>
      </colorScale>
    </cfRule>
  </conditionalFormatting>
  <conditionalFormatting sqref="M1277:M1293">
    <cfRule type="colorScale" priority="15532">
      <colorScale>
        <cfvo type="min"/>
        <cfvo type="max"/>
        <color rgb="FFFF7128"/>
        <color rgb="FFFFEF9C"/>
      </colorScale>
    </cfRule>
  </conditionalFormatting>
  <conditionalFormatting sqref="Q1277:Q1293">
    <cfRule type="dataBar" priority="15533">
      <dataBar>
        <cfvo type="min"/>
        <cfvo type="max"/>
        <color rgb="FFFF555A"/>
      </dataBar>
    </cfRule>
  </conditionalFormatting>
  <conditionalFormatting sqref="E1277:E1293">
    <cfRule type="dataBar" priority="15534">
      <dataBar>
        <cfvo type="min"/>
        <cfvo type="max"/>
        <color rgb="FFFF555A"/>
      </dataBar>
    </cfRule>
  </conditionalFormatting>
  <conditionalFormatting sqref="F1277:F1293">
    <cfRule type="top10" dxfId="2315" priority="15535" rank="1"/>
  </conditionalFormatting>
  <conditionalFormatting sqref="P1277:P1292">
    <cfRule type="top10" dxfId="2314" priority="15536" rank="1"/>
  </conditionalFormatting>
  <conditionalFormatting sqref="G1277:G1293 O1277:O1292 P1293">
    <cfRule type="cellIs" dxfId="2313" priority="15537" operator="equal">
      <formula>$G$135</formula>
    </cfRule>
  </conditionalFormatting>
  <conditionalFormatting sqref="O1277:O1292 P1293">
    <cfRule type="cellIs" dxfId="2312" priority="15538" operator="equal">
      <formula>$J$135</formula>
    </cfRule>
  </conditionalFormatting>
  <conditionalFormatting sqref="G1277:G1293 O1277:O1292 P1293">
    <cfRule type="cellIs" dxfId="2311" priority="15539" operator="equal">
      <formula>#REF!</formula>
    </cfRule>
  </conditionalFormatting>
  <conditionalFormatting sqref="G1277:G1293">
    <cfRule type="top10" dxfId="2310" priority="15540" rank="1"/>
    <cfRule type="cellIs" dxfId="2309" priority="15541" operator="equal">
      <formula>$G$133</formula>
    </cfRule>
  </conditionalFormatting>
  <conditionalFormatting sqref="O1277:O1292 P1293">
    <cfRule type="top10" dxfId="2308" priority="15542" rank="1"/>
    <cfRule type="cellIs" dxfId="2307" priority="15543" operator="equal">
      <formula>$G$133</formula>
    </cfRule>
  </conditionalFormatting>
  <conditionalFormatting sqref="C1277:C1292">
    <cfRule type="containsText" dxfId="2306" priority="15525" operator="containsText" text="Short Buildup">
      <formula>NOT(ISERROR(SEARCH("Short Buildup",C1277)))</formula>
    </cfRule>
    <cfRule type="containsText" dxfId="2305" priority="15526" operator="containsText" text="Long Liquidation">
      <formula>NOT(ISERROR(SEARCH("Long Liquidation",C1277)))</formula>
    </cfRule>
    <cfRule type="containsText" dxfId="2304" priority="15527" operator="containsText" text="Short covering">
      <formula>NOT(ISERROR(SEARCH("Short covering",C1277)))</formula>
    </cfRule>
    <cfRule type="containsText" dxfId="2303" priority="15528" operator="containsText" text="Long Buildup">
      <formula>NOT(ISERROR(SEARCH("Long Buildup",C1277)))</formula>
    </cfRule>
  </conditionalFormatting>
  <conditionalFormatting sqref="H1277:H1293">
    <cfRule type="colorScale" priority="15520">
      <colorScale>
        <cfvo type="min"/>
        <cfvo type="percentile" val="20"/>
        <cfvo type="max"/>
        <color rgb="FF92D050"/>
        <color theme="5" tint="0.79998168889431442"/>
        <color rgb="FFFF0000"/>
      </colorScale>
    </cfRule>
    <cfRule type="colorScale" priority="15521">
      <colorScale>
        <cfvo type="min"/>
        <cfvo type="max"/>
        <color rgb="FFFF0000"/>
        <color rgb="FF92D050"/>
      </colorScale>
    </cfRule>
    <cfRule type="colorScale" priority="15522">
      <colorScale>
        <cfvo type="min"/>
        <cfvo type="percentile" val="50"/>
        <cfvo type="max"/>
        <color rgb="FF5A8AC6"/>
        <color rgb="FFFCFCFF"/>
        <color rgb="FFF8696B"/>
      </colorScale>
    </cfRule>
    <cfRule type="colorScale" priority="15523">
      <colorScale>
        <cfvo type="formula" val="&quot;&gt;20&quot;"/>
        <cfvo type="formula" val="35"/>
        <color rgb="FFF8696B"/>
        <color rgb="FFFCFCFF"/>
      </colorScale>
    </cfRule>
    <cfRule type="colorScale" priority="15524">
      <colorScale>
        <cfvo type="min"/>
        <cfvo type="max"/>
        <color rgb="FFFFEF9C"/>
        <color rgb="FF63BE7B"/>
      </colorScale>
    </cfRule>
  </conditionalFormatting>
  <conditionalFormatting sqref="N1277:N1293">
    <cfRule type="colorScale" priority="15515">
      <colorScale>
        <cfvo type="min"/>
        <cfvo type="percentile" val="20"/>
        <cfvo type="max"/>
        <color rgb="FF92D050"/>
        <color theme="5" tint="0.79998168889431442"/>
        <color rgb="FFFF0000"/>
      </colorScale>
    </cfRule>
    <cfRule type="colorScale" priority="15516">
      <colorScale>
        <cfvo type="min"/>
        <cfvo type="max"/>
        <color rgb="FFFF0000"/>
        <color rgb="FF92D050"/>
      </colorScale>
    </cfRule>
    <cfRule type="colorScale" priority="15517">
      <colorScale>
        <cfvo type="min"/>
        <cfvo type="percentile" val="50"/>
        <cfvo type="max"/>
        <color rgb="FF5A8AC6"/>
        <color rgb="FFFCFCFF"/>
        <color rgb="FFF8696B"/>
      </colorScale>
    </cfRule>
    <cfRule type="colorScale" priority="15518">
      <colorScale>
        <cfvo type="formula" val="&quot;&gt;20&quot;"/>
        <cfvo type="formula" val="35"/>
        <color rgb="FFF8696B"/>
        <color rgb="FFFCFCFF"/>
      </colorScale>
    </cfRule>
    <cfRule type="colorScale" priority="15519">
      <colorScale>
        <cfvo type="min"/>
        <cfvo type="max"/>
        <color rgb="FFFFEF9C"/>
        <color rgb="FF63BE7B"/>
      </colorScale>
    </cfRule>
  </conditionalFormatting>
  <conditionalFormatting sqref="S1277:S1293">
    <cfRule type="containsText" dxfId="2302" priority="15511" operator="containsText" text="Short Buildup">
      <formula>NOT(ISERROR(SEARCH("Short Buildup",S1277)))</formula>
    </cfRule>
    <cfRule type="containsText" dxfId="2301" priority="15512" operator="containsText" text="Long Liquidation">
      <formula>NOT(ISERROR(SEARCH("Long Liquidation",S1277)))</formula>
    </cfRule>
    <cfRule type="containsText" dxfId="2300" priority="15513" operator="containsText" text="Short covering">
      <formula>NOT(ISERROR(SEARCH("Short covering",S1277)))</formula>
    </cfRule>
    <cfRule type="containsText" dxfId="2299" priority="15514" operator="containsText" text="Long Buildup">
      <formula>NOT(ISERROR(SEARCH("Long Buildup",S1277)))</formula>
    </cfRule>
  </conditionalFormatting>
  <conditionalFormatting sqref="R1294:R1310 D1294:D1309 C1310">
    <cfRule type="containsText" dxfId="2298" priority="15497" operator="containsText" text="DOWN">
      <formula>NOT(ISERROR(SEARCH("DOWN",C1294)))</formula>
    </cfRule>
  </conditionalFormatting>
  <conditionalFormatting sqref="R1294:R1310 D1294:D1309 C1310">
    <cfRule type="containsText" dxfId="2297" priority="15496" operator="containsText" text="UP">
      <formula>NOT(ISERROR(SEARCH("UP",C1294)))</formula>
    </cfRule>
  </conditionalFormatting>
  <conditionalFormatting sqref="I1294:I1310">
    <cfRule type="colorScale" priority="15498">
      <colorScale>
        <cfvo type="min"/>
        <cfvo type="max"/>
        <color rgb="FFFFEF9C"/>
        <color rgb="FF63BE7B"/>
      </colorScale>
    </cfRule>
  </conditionalFormatting>
  <conditionalFormatting sqref="M1294:M1310">
    <cfRule type="colorScale" priority="15499">
      <colorScale>
        <cfvo type="min"/>
        <cfvo type="max"/>
        <color rgb="FFFF7128"/>
        <color rgb="FFFFEF9C"/>
      </colorScale>
    </cfRule>
  </conditionalFormatting>
  <conditionalFormatting sqref="Q1294:Q1310">
    <cfRule type="dataBar" priority="15500">
      <dataBar>
        <cfvo type="min"/>
        <cfvo type="max"/>
        <color rgb="FFFF555A"/>
      </dataBar>
    </cfRule>
  </conditionalFormatting>
  <conditionalFormatting sqref="E1294:E1310">
    <cfRule type="dataBar" priority="15501">
      <dataBar>
        <cfvo type="min"/>
        <cfvo type="max"/>
        <color rgb="FFFF555A"/>
      </dataBar>
    </cfRule>
  </conditionalFormatting>
  <conditionalFormatting sqref="F1294:F1310">
    <cfRule type="top10" dxfId="2296" priority="15502" rank="1"/>
  </conditionalFormatting>
  <conditionalFormatting sqref="P1294:P1309">
    <cfRule type="top10" dxfId="2295" priority="15503" rank="1"/>
  </conditionalFormatting>
  <conditionalFormatting sqref="G1294:G1310 O1294:O1309 P1310">
    <cfRule type="cellIs" dxfId="2294" priority="15504" operator="equal">
      <formula>$G$135</formula>
    </cfRule>
  </conditionalFormatting>
  <conditionalFormatting sqref="O1294:O1309 P1310">
    <cfRule type="cellIs" dxfId="2293" priority="15505" operator="equal">
      <formula>$J$135</formula>
    </cfRule>
  </conditionalFormatting>
  <conditionalFormatting sqref="G1294:G1310 O1294:O1309 P1310">
    <cfRule type="cellIs" dxfId="2292" priority="15506" operator="equal">
      <formula>#REF!</formula>
    </cfRule>
  </conditionalFormatting>
  <conditionalFormatting sqref="G1294:G1310">
    <cfRule type="top10" dxfId="2291" priority="15507" rank="1"/>
    <cfRule type="cellIs" dxfId="2290" priority="15508" operator="equal">
      <formula>$G$133</formula>
    </cfRule>
  </conditionalFormatting>
  <conditionalFormatting sqref="O1294:O1309 P1310">
    <cfRule type="top10" dxfId="2289" priority="15509" rank="1"/>
    <cfRule type="cellIs" dxfId="2288" priority="15510" operator="equal">
      <formula>$G$133</formula>
    </cfRule>
  </conditionalFormatting>
  <conditionalFormatting sqref="C1294:C1309">
    <cfRule type="containsText" dxfId="2287" priority="15492" operator="containsText" text="Short Buildup">
      <formula>NOT(ISERROR(SEARCH("Short Buildup",C1294)))</formula>
    </cfRule>
    <cfRule type="containsText" dxfId="2286" priority="15493" operator="containsText" text="Long Liquidation">
      <formula>NOT(ISERROR(SEARCH("Long Liquidation",C1294)))</formula>
    </cfRule>
    <cfRule type="containsText" dxfId="2285" priority="15494" operator="containsText" text="Short covering">
      <formula>NOT(ISERROR(SEARCH("Short covering",C1294)))</formula>
    </cfRule>
    <cfRule type="containsText" dxfId="2284" priority="15495" operator="containsText" text="Long Buildup">
      <formula>NOT(ISERROR(SEARCH("Long Buildup",C1294)))</formula>
    </cfRule>
  </conditionalFormatting>
  <conditionalFormatting sqref="H1294:H1310">
    <cfRule type="colorScale" priority="15487">
      <colorScale>
        <cfvo type="min"/>
        <cfvo type="percentile" val="20"/>
        <cfvo type="max"/>
        <color rgb="FF92D050"/>
        <color theme="5" tint="0.79998168889431442"/>
        <color rgb="FFFF0000"/>
      </colorScale>
    </cfRule>
    <cfRule type="colorScale" priority="15488">
      <colorScale>
        <cfvo type="min"/>
        <cfvo type="max"/>
        <color rgb="FFFF0000"/>
        <color rgb="FF92D050"/>
      </colorScale>
    </cfRule>
    <cfRule type="colorScale" priority="15489">
      <colorScale>
        <cfvo type="min"/>
        <cfvo type="percentile" val="50"/>
        <cfvo type="max"/>
        <color rgb="FF5A8AC6"/>
        <color rgb="FFFCFCFF"/>
        <color rgb="FFF8696B"/>
      </colorScale>
    </cfRule>
    <cfRule type="colorScale" priority="15490">
      <colorScale>
        <cfvo type="formula" val="&quot;&gt;20&quot;"/>
        <cfvo type="formula" val="35"/>
        <color rgb="FFF8696B"/>
        <color rgb="FFFCFCFF"/>
      </colorScale>
    </cfRule>
    <cfRule type="colorScale" priority="15491">
      <colorScale>
        <cfvo type="min"/>
        <cfvo type="max"/>
        <color rgb="FFFFEF9C"/>
        <color rgb="FF63BE7B"/>
      </colorScale>
    </cfRule>
  </conditionalFormatting>
  <conditionalFormatting sqref="N1294:N1310">
    <cfRule type="colorScale" priority="15482">
      <colorScale>
        <cfvo type="min"/>
        <cfvo type="percentile" val="20"/>
        <cfvo type="max"/>
        <color rgb="FF92D050"/>
        <color theme="5" tint="0.79998168889431442"/>
        <color rgb="FFFF0000"/>
      </colorScale>
    </cfRule>
    <cfRule type="colorScale" priority="15483">
      <colorScale>
        <cfvo type="min"/>
        <cfvo type="max"/>
        <color rgb="FFFF0000"/>
        <color rgb="FF92D050"/>
      </colorScale>
    </cfRule>
    <cfRule type="colorScale" priority="15484">
      <colorScale>
        <cfvo type="min"/>
        <cfvo type="percentile" val="50"/>
        <cfvo type="max"/>
        <color rgb="FF5A8AC6"/>
        <color rgb="FFFCFCFF"/>
        <color rgb="FFF8696B"/>
      </colorScale>
    </cfRule>
    <cfRule type="colorScale" priority="15485">
      <colorScale>
        <cfvo type="formula" val="&quot;&gt;20&quot;"/>
        <cfvo type="formula" val="35"/>
        <color rgb="FFF8696B"/>
        <color rgb="FFFCFCFF"/>
      </colorScale>
    </cfRule>
    <cfRule type="colorScale" priority="15486">
      <colorScale>
        <cfvo type="min"/>
        <cfvo type="max"/>
        <color rgb="FFFFEF9C"/>
        <color rgb="FF63BE7B"/>
      </colorScale>
    </cfRule>
  </conditionalFormatting>
  <conditionalFormatting sqref="S1294:S1310">
    <cfRule type="containsText" dxfId="2283" priority="15478" operator="containsText" text="Short Buildup">
      <formula>NOT(ISERROR(SEARCH("Short Buildup",S1294)))</formula>
    </cfRule>
    <cfRule type="containsText" dxfId="2282" priority="15479" operator="containsText" text="Long Liquidation">
      <formula>NOT(ISERROR(SEARCH("Long Liquidation",S1294)))</formula>
    </cfRule>
    <cfRule type="containsText" dxfId="2281" priority="15480" operator="containsText" text="Short covering">
      <formula>NOT(ISERROR(SEARCH("Short covering",S1294)))</formula>
    </cfRule>
    <cfRule type="containsText" dxfId="2280" priority="15481" operator="containsText" text="Long Buildup">
      <formula>NOT(ISERROR(SEARCH("Long Buildup",S1294)))</formula>
    </cfRule>
  </conditionalFormatting>
  <conditionalFormatting sqref="R1311:R1327 D1311:D1326 C1327">
    <cfRule type="containsText" dxfId="2279" priority="15464" operator="containsText" text="DOWN">
      <formula>NOT(ISERROR(SEARCH("DOWN",C1311)))</formula>
    </cfRule>
  </conditionalFormatting>
  <conditionalFormatting sqref="R1311:R1327 D1311:D1326 C1327">
    <cfRule type="containsText" dxfId="2278" priority="15463" operator="containsText" text="UP">
      <formula>NOT(ISERROR(SEARCH("UP",C1311)))</formula>
    </cfRule>
  </conditionalFormatting>
  <conditionalFormatting sqref="I1311:I1327">
    <cfRule type="colorScale" priority="15465">
      <colorScale>
        <cfvo type="min"/>
        <cfvo type="max"/>
        <color rgb="FFFFEF9C"/>
        <color rgb="FF63BE7B"/>
      </colorScale>
    </cfRule>
  </conditionalFormatting>
  <conditionalFormatting sqref="M1311:M1327">
    <cfRule type="colorScale" priority="15466">
      <colorScale>
        <cfvo type="min"/>
        <cfvo type="max"/>
        <color rgb="FFFF7128"/>
        <color rgb="FFFFEF9C"/>
      </colorScale>
    </cfRule>
  </conditionalFormatting>
  <conditionalFormatting sqref="Q1311:Q1327">
    <cfRule type="dataBar" priority="15467">
      <dataBar>
        <cfvo type="min"/>
        <cfvo type="max"/>
        <color rgb="FFFF555A"/>
      </dataBar>
    </cfRule>
  </conditionalFormatting>
  <conditionalFormatting sqref="E1311:E1327">
    <cfRule type="dataBar" priority="15468">
      <dataBar>
        <cfvo type="min"/>
        <cfvo type="max"/>
        <color rgb="FFFF555A"/>
      </dataBar>
    </cfRule>
  </conditionalFormatting>
  <conditionalFormatting sqref="F1311:F1327">
    <cfRule type="top10" dxfId="2277" priority="15469" rank="1"/>
  </conditionalFormatting>
  <conditionalFormatting sqref="P1311:P1326">
    <cfRule type="top10" dxfId="2276" priority="15470" rank="1"/>
  </conditionalFormatting>
  <conditionalFormatting sqref="G1311:G1327 O1311:O1326 P1327">
    <cfRule type="cellIs" dxfId="2275" priority="15471" operator="equal">
      <formula>$G$135</formula>
    </cfRule>
  </conditionalFormatting>
  <conditionalFormatting sqref="O1311:O1326 P1327">
    <cfRule type="cellIs" dxfId="2274" priority="15472" operator="equal">
      <formula>$J$135</formula>
    </cfRule>
  </conditionalFormatting>
  <conditionalFormatting sqref="G1311:G1327 O1311:O1326 P1327">
    <cfRule type="cellIs" dxfId="2273" priority="15473" operator="equal">
      <formula>#REF!</formula>
    </cfRule>
  </conditionalFormatting>
  <conditionalFormatting sqref="G1311:G1327">
    <cfRule type="top10" dxfId="2272" priority="15474" rank="1"/>
    <cfRule type="cellIs" dxfId="2271" priority="15475" operator="equal">
      <formula>$G$133</formula>
    </cfRule>
  </conditionalFormatting>
  <conditionalFormatting sqref="O1311:O1326 P1327">
    <cfRule type="top10" dxfId="2270" priority="15476" rank="1"/>
    <cfRule type="cellIs" dxfId="2269" priority="15477" operator="equal">
      <formula>$G$133</formula>
    </cfRule>
  </conditionalFormatting>
  <conditionalFormatting sqref="C1311:C1326">
    <cfRule type="containsText" dxfId="2268" priority="15459" operator="containsText" text="Short Buildup">
      <formula>NOT(ISERROR(SEARCH("Short Buildup",C1311)))</formula>
    </cfRule>
    <cfRule type="containsText" dxfId="2267" priority="15460" operator="containsText" text="Long Liquidation">
      <formula>NOT(ISERROR(SEARCH("Long Liquidation",C1311)))</formula>
    </cfRule>
    <cfRule type="containsText" dxfId="2266" priority="15461" operator="containsText" text="Short covering">
      <formula>NOT(ISERROR(SEARCH("Short covering",C1311)))</formula>
    </cfRule>
    <cfRule type="containsText" dxfId="2265" priority="15462" operator="containsText" text="Long Buildup">
      <formula>NOT(ISERROR(SEARCH("Long Buildup",C1311)))</formula>
    </cfRule>
  </conditionalFormatting>
  <conditionalFormatting sqref="H1311:H1327">
    <cfRule type="colorScale" priority="15454">
      <colorScale>
        <cfvo type="min"/>
        <cfvo type="percentile" val="20"/>
        <cfvo type="max"/>
        <color rgb="FF92D050"/>
        <color theme="5" tint="0.79998168889431442"/>
        <color rgb="FFFF0000"/>
      </colorScale>
    </cfRule>
    <cfRule type="colorScale" priority="15455">
      <colorScale>
        <cfvo type="min"/>
        <cfvo type="max"/>
        <color rgb="FFFF0000"/>
        <color rgb="FF92D050"/>
      </colorScale>
    </cfRule>
    <cfRule type="colorScale" priority="15456">
      <colorScale>
        <cfvo type="min"/>
        <cfvo type="percentile" val="50"/>
        <cfvo type="max"/>
        <color rgb="FF5A8AC6"/>
        <color rgb="FFFCFCFF"/>
        <color rgb="FFF8696B"/>
      </colorScale>
    </cfRule>
    <cfRule type="colorScale" priority="15457">
      <colorScale>
        <cfvo type="formula" val="&quot;&gt;20&quot;"/>
        <cfvo type="formula" val="35"/>
        <color rgb="FFF8696B"/>
        <color rgb="FFFCFCFF"/>
      </colorScale>
    </cfRule>
    <cfRule type="colorScale" priority="15458">
      <colorScale>
        <cfvo type="min"/>
        <cfvo type="max"/>
        <color rgb="FFFFEF9C"/>
        <color rgb="FF63BE7B"/>
      </colorScale>
    </cfRule>
  </conditionalFormatting>
  <conditionalFormatting sqref="N1311:N1327">
    <cfRule type="colorScale" priority="15449">
      <colorScale>
        <cfvo type="min"/>
        <cfvo type="percentile" val="20"/>
        <cfvo type="max"/>
        <color rgb="FF92D050"/>
        <color theme="5" tint="0.79998168889431442"/>
        <color rgb="FFFF0000"/>
      </colorScale>
    </cfRule>
    <cfRule type="colorScale" priority="15450">
      <colorScale>
        <cfvo type="min"/>
        <cfvo type="max"/>
        <color rgb="FFFF0000"/>
        <color rgb="FF92D050"/>
      </colorScale>
    </cfRule>
    <cfRule type="colorScale" priority="15451">
      <colorScale>
        <cfvo type="min"/>
        <cfvo type="percentile" val="50"/>
        <cfvo type="max"/>
        <color rgb="FF5A8AC6"/>
        <color rgb="FFFCFCFF"/>
        <color rgb="FFF8696B"/>
      </colorScale>
    </cfRule>
    <cfRule type="colorScale" priority="15452">
      <colorScale>
        <cfvo type="formula" val="&quot;&gt;20&quot;"/>
        <cfvo type="formula" val="35"/>
        <color rgb="FFF8696B"/>
        <color rgb="FFFCFCFF"/>
      </colorScale>
    </cfRule>
    <cfRule type="colorScale" priority="15453">
      <colorScale>
        <cfvo type="min"/>
        <cfvo type="max"/>
        <color rgb="FFFFEF9C"/>
        <color rgb="FF63BE7B"/>
      </colorScale>
    </cfRule>
  </conditionalFormatting>
  <conditionalFormatting sqref="S1311:S1327">
    <cfRule type="containsText" dxfId="2264" priority="15445" operator="containsText" text="Short Buildup">
      <formula>NOT(ISERROR(SEARCH("Short Buildup",S1311)))</formula>
    </cfRule>
    <cfRule type="containsText" dxfId="2263" priority="15446" operator="containsText" text="Long Liquidation">
      <formula>NOT(ISERROR(SEARCH("Long Liquidation",S1311)))</formula>
    </cfRule>
    <cfRule type="containsText" dxfId="2262" priority="15447" operator="containsText" text="Short covering">
      <formula>NOT(ISERROR(SEARCH("Short covering",S1311)))</formula>
    </cfRule>
    <cfRule type="containsText" dxfId="2261" priority="15448" operator="containsText" text="Long Buildup">
      <formula>NOT(ISERROR(SEARCH("Long Buildup",S1311)))</formula>
    </cfRule>
  </conditionalFormatting>
  <conditionalFormatting sqref="R1328:R1344 D1328:D1343 C1344">
    <cfRule type="containsText" dxfId="2260" priority="15431" operator="containsText" text="DOWN">
      <formula>NOT(ISERROR(SEARCH("DOWN",C1328)))</formula>
    </cfRule>
  </conditionalFormatting>
  <conditionalFormatting sqref="R1328:R1344 D1328:D1343 C1344">
    <cfRule type="containsText" dxfId="2259" priority="15430" operator="containsText" text="UP">
      <formula>NOT(ISERROR(SEARCH("UP",C1328)))</formula>
    </cfRule>
  </conditionalFormatting>
  <conditionalFormatting sqref="I1328:I1344">
    <cfRule type="colorScale" priority="15432">
      <colorScale>
        <cfvo type="min"/>
        <cfvo type="max"/>
        <color rgb="FFFFEF9C"/>
        <color rgb="FF63BE7B"/>
      </colorScale>
    </cfRule>
  </conditionalFormatting>
  <conditionalFormatting sqref="M1328:M1344">
    <cfRule type="colorScale" priority="15433">
      <colorScale>
        <cfvo type="min"/>
        <cfvo type="max"/>
        <color rgb="FFFF7128"/>
        <color rgb="FFFFEF9C"/>
      </colorScale>
    </cfRule>
  </conditionalFormatting>
  <conditionalFormatting sqref="Q1328:Q1344">
    <cfRule type="dataBar" priority="15434">
      <dataBar>
        <cfvo type="min"/>
        <cfvo type="max"/>
        <color rgb="FFFF555A"/>
      </dataBar>
    </cfRule>
  </conditionalFormatting>
  <conditionalFormatting sqref="E1328:E1344">
    <cfRule type="dataBar" priority="15435">
      <dataBar>
        <cfvo type="min"/>
        <cfvo type="max"/>
        <color rgb="FFFF555A"/>
      </dataBar>
    </cfRule>
  </conditionalFormatting>
  <conditionalFormatting sqref="F1328:F1344">
    <cfRule type="top10" dxfId="2258" priority="15436" rank="1"/>
  </conditionalFormatting>
  <conditionalFormatting sqref="P1328:P1343">
    <cfRule type="top10" dxfId="2257" priority="15437" rank="1"/>
  </conditionalFormatting>
  <conditionalFormatting sqref="G1328:G1344 O1328:O1343 P1344">
    <cfRule type="cellIs" dxfId="2256" priority="15438" operator="equal">
      <formula>$G$135</formula>
    </cfRule>
  </conditionalFormatting>
  <conditionalFormatting sqref="O1328:O1343 P1344">
    <cfRule type="cellIs" dxfId="2255" priority="15439" operator="equal">
      <formula>$J$135</formula>
    </cfRule>
  </conditionalFormatting>
  <conditionalFormatting sqref="G1328:G1344 O1328:O1343 P1344">
    <cfRule type="cellIs" dxfId="2254" priority="15440" operator="equal">
      <formula>#REF!</formula>
    </cfRule>
  </conditionalFormatting>
  <conditionalFormatting sqref="G1328:G1344">
    <cfRule type="top10" dxfId="2253" priority="15441" rank="1"/>
    <cfRule type="cellIs" dxfId="2252" priority="15442" operator="equal">
      <formula>$G$133</formula>
    </cfRule>
  </conditionalFormatting>
  <conditionalFormatting sqref="O1328:O1343 P1344">
    <cfRule type="top10" dxfId="2251" priority="15443" rank="1"/>
    <cfRule type="cellIs" dxfId="2250" priority="15444" operator="equal">
      <formula>$G$133</formula>
    </cfRule>
  </conditionalFormatting>
  <conditionalFormatting sqref="C1328:C1343">
    <cfRule type="containsText" dxfId="2249" priority="15426" operator="containsText" text="Short Buildup">
      <formula>NOT(ISERROR(SEARCH("Short Buildup",C1328)))</formula>
    </cfRule>
    <cfRule type="containsText" dxfId="2248" priority="15427" operator="containsText" text="Long Liquidation">
      <formula>NOT(ISERROR(SEARCH("Long Liquidation",C1328)))</formula>
    </cfRule>
    <cfRule type="containsText" dxfId="2247" priority="15428" operator="containsText" text="Short covering">
      <formula>NOT(ISERROR(SEARCH("Short covering",C1328)))</formula>
    </cfRule>
    <cfRule type="containsText" dxfId="2246" priority="15429" operator="containsText" text="Long Buildup">
      <formula>NOT(ISERROR(SEARCH("Long Buildup",C1328)))</formula>
    </cfRule>
  </conditionalFormatting>
  <conditionalFormatting sqref="H1328:H1344">
    <cfRule type="colorScale" priority="15421">
      <colorScale>
        <cfvo type="min"/>
        <cfvo type="percentile" val="20"/>
        <cfvo type="max"/>
        <color rgb="FF92D050"/>
        <color theme="5" tint="0.79998168889431442"/>
        <color rgb="FFFF0000"/>
      </colorScale>
    </cfRule>
    <cfRule type="colorScale" priority="15422">
      <colorScale>
        <cfvo type="min"/>
        <cfvo type="max"/>
        <color rgb="FFFF0000"/>
        <color rgb="FF92D050"/>
      </colorScale>
    </cfRule>
    <cfRule type="colorScale" priority="15423">
      <colorScale>
        <cfvo type="min"/>
        <cfvo type="percentile" val="50"/>
        <cfvo type="max"/>
        <color rgb="FF5A8AC6"/>
        <color rgb="FFFCFCFF"/>
        <color rgb="FFF8696B"/>
      </colorScale>
    </cfRule>
    <cfRule type="colorScale" priority="15424">
      <colorScale>
        <cfvo type="formula" val="&quot;&gt;20&quot;"/>
        <cfvo type="formula" val="35"/>
        <color rgb="FFF8696B"/>
        <color rgb="FFFCFCFF"/>
      </colorScale>
    </cfRule>
    <cfRule type="colorScale" priority="15425">
      <colorScale>
        <cfvo type="min"/>
        <cfvo type="max"/>
        <color rgb="FFFFEF9C"/>
        <color rgb="FF63BE7B"/>
      </colorScale>
    </cfRule>
  </conditionalFormatting>
  <conditionalFormatting sqref="N1328:N1344">
    <cfRule type="colorScale" priority="15416">
      <colorScale>
        <cfvo type="min"/>
        <cfvo type="percentile" val="20"/>
        <cfvo type="max"/>
        <color rgb="FF92D050"/>
        <color theme="5" tint="0.79998168889431442"/>
        <color rgb="FFFF0000"/>
      </colorScale>
    </cfRule>
    <cfRule type="colorScale" priority="15417">
      <colorScale>
        <cfvo type="min"/>
        <cfvo type="max"/>
        <color rgb="FFFF0000"/>
        <color rgb="FF92D050"/>
      </colorScale>
    </cfRule>
    <cfRule type="colorScale" priority="15418">
      <colorScale>
        <cfvo type="min"/>
        <cfvo type="percentile" val="50"/>
        <cfvo type="max"/>
        <color rgb="FF5A8AC6"/>
        <color rgb="FFFCFCFF"/>
        <color rgb="FFF8696B"/>
      </colorScale>
    </cfRule>
    <cfRule type="colorScale" priority="15419">
      <colorScale>
        <cfvo type="formula" val="&quot;&gt;20&quot;"/>
        <cfvo type="formula" val="35"/>
        <color rgb="FFF8696B"/>
        <color rgb="FFFCFCFF"/>
      </colorScale>
    </cfRule>
    <cfRule type="colorScale" priority="15420">
      <colorScale>
        <cfvo type="min"/>
        <cfvo type="max"/>
        <color rgb="FFFFEF9C"/>
        <color rgb="FF63BE7B"/>
      </colorScale>
    </cfRule>
  </conditionalFormatting>
  <conditionalFormatting sqref="S1328:S1344">
    <cfRule type="containsText" dxfId="2245" priority="15412" operator="containsText" text="Short Buildup">
      <formula>NOT(ISERROR(SEARCH("Short Buildup",S1328)))</formula>
    </cfRule>
    <cfRule type="containsText" dxfId="2244" priority="15413" operator="containsText" text="Long Liquidation">
      <formula>NOT(ISERROR(SEARCH("Long Liquidation",S1328)))</formula>
    </cfRule>
    <cfRule type="containsText" dxfId="2243" priority="15414" operator="containsText" text="Short covering">
      <formula>NOT(ISERROR(SEARCH("Short covering",S1328)))</formula>
    </cfRule>
    <cfRule type="containsText" dxfId="2242" priority="15415" operator="containsText" text="Long Buildup">
      <formula>NOT(ISERROR(SEARCH("Long Buildup",S1328)))</formula>
    </cfRule>
  </conditionalFormatting>
  <conditionalFormatting sqref="R1345:R1361 D1345:D1360 C1361">
    <cfRule type="containsText" dxfId="2241" priority="15398" operator="containsText" text="DOWN">
      <formula>NOT(ISERROR(SEARCH("DOWN",C1345)))</formula>
    </cfRule>
  </conditionalFormatting>
  <conditionalFormatting sqref="R1345:R1361 D1345:D1360 C1361">
    <cfRule type="containsText" dxfId="2240" priority="15397" operator="containsText" text="UP">
      <formula>NOT(ISERROR(SEARCH("UP",C1345)))</formula>
    </cfRule>
  </conditionalFormatting>
  <conditionalFormatting sqref="I1345:I1361">
    <cfRule type="colorScale" priority="15399">
      <colorScale>
        <cfvo type="min"/>
        <cfvo type="max"/>
        <color rgb="FFFFEF9C"/>
        <color rgb="FF63BE7B"/>
      </colorScale>
    </cfRule>
  </conditionalFormatting>
  <conditionalFormatting sqref="M1345:M1361">
    <cfRule type="colorScale" priority="15400">
      <colorScale>
        <cfvo type="min"/>
        <cfvo type="max"/>
        <color rgb="FFFF7128"/>
        <color rgb="FFFFEF9C"/>
      </colorScale>
    </cfRule>
  </conditionalFormatting>
  <conditionalFormatting sqref="Q1345:Q1361">
    <cfRule type="dataBar" priority="15401">
      <dataBar>
        <cfvo type="min"/>
        <cfvo type="max"/>
        <color rgb="FFFF555A"/>
      </dataBar>
    </cfRule>
  </conditionalFormatting>
  <conditionalFormatting sqref="E1345:E1361">
    <cfRule type="dataBar" priority="15402">
      <dataBar>
        <cfvo type="min"/>
        <cfvo type="max"/>
        <color rgb="FFFF555A"/>
      </dataBar>
    </cfRule>
  </conditionalFormatting>
  <conditionalFormatting sqref="F1345:F1361">
    <cfRule type="top10" dxfId="2239" priority="15403" rank="1"/>
  </conditionalFormatting>
  <conditionalFormatting sqref="P1345:P1360">
    <cfRule type="top10" dxfId="2238" priority="15404" rank="1"/>
  </conditionalFormatting>
  <conditionalFormatting sqref="G1345:G1361 O1345:O1360 P1361">
    <cfRule type="cellIs" dxfId="2237" priority="15405" operator="equal">
      <formula>$G$135</formula>
    </cfRule>
  </conditionalFormatting>
  <conditionalFormatting sqref="O1345:O1360 P1361">
    <cfRule type="cellIs" dxfId="2236" priority="15406" operator="equal">
      <formula>$J$135</formula>
    </cfRule>
  </conditionalFormatting>
  <conditionalFormatting sqref="G1345:G1361 O1345:O1360 P1361">
    <cfRule type="cellIs" dxfId="2235" priority="15407" operator="equal">
      <formula>#REF!</formula>
    </cfRule>
  </conditionalFormatting>
  <conditionalFormatting sqref="G1345:G1361">
    <cfRule type="top10" dxfId="2234" priority="15408" rank="1"/>
    <cfRule type="cellIs" dxfId="2233" priority="15409" operator="equal">
      <formula>$G$133</formula>
    </cfRule>
  </conditionalFormatting>
  <conditionalFormatting sqref="O1345:O1360 P1361">
    <cfRule type="top10" dxfId="2232" priority="15410" rank="1"/>
    <cfRule type="cellIs" dxfId="2231" priority="15411" operator="equal">
      <formula>$G$133</formula>
    </cfRule>
  </conditionalFormatting>
  <conditionalFormatting sqref="C1345:C1360">
    <cfRule type="containsText" dxfId="2230" priority="15393" operator="containsText" text="Short Buildup">
      <formula>NOT(ISERROR(SEARCH("Short Buildup",C1345)))</formula>
    </cfRule>
    <cfRule type="containsText" dxfId="2229" priority="15394" operator="containsText" text="Long Liquidation">
      <formula>NOT(ISERROR(SEARCH("Long Liquidation",C1345)))</formula>
    </cfRule>
    <cfRule type="containsText" dxfId="2228" priority="15395" operator="containsText" text="Short covering">
      <formula>NOT(ISERROR(SEARCH("Short covering",C1345)))</formula>
    </cfRule>
    <cfRule type="containsText" dxfId="2227" priority="15396" operator="containsText" text="Long Buildup">
      <formula>NOT(ISERROR(SEARCH("Long Buildup",C1345)))</formula>
    </cfRule>
  </conditionalFormatting>
  <conditionalFormatting sqref="H1345:H1361">
    <cfRule type="colorScale" priority="15388">
      <colorScale>
        <cfvo type="min"/>
        <cfvo type="percentile" val="20"/>
        <cfvo type="max"/>
        <color rgb="FF92D050"/>
        <color theme="5" tint="0.79998168889431442"/>
        <color rgb="FFFF0000"/>
      </colorScale>
    </cfRule>
    <cfRule type="colorScale" priority="15389">
      <colorScale>
        <cfvo type="min"/>
        <cfvo type="max"/>
        <color rgb="FFFF0000"/>
        <color rgb="FF92D050"/>
      </colorScale>
    </cfRule>
    <cfRule type="colorScale" priority="15390">
      <colorScale>
        <cfvo type="min"/>
        <cfvo type="percentile" val="50"/>
        <cfvo type="max"/>
        <color rgb="FF5A8AC6"/>
        <color rgb="FFFCFCFF"/>
        <color rgb="FFF8696B"/>
      </colorScale>
    </cfRule>
    <cfRule type="colorScale" priority="15391">
      <colorScale>
        <cfvo type="formula" val="&quot;&gt;20&quot;"/>
        <cfvo type="formula" val="35"/>
        <color rgb="FFF8696B"/>
        <color rgb="FFFCFCFF"/>
      </colorScale>
    </cfRule>
    <cfRule type="colorScale" priority="15392">
      <colorScale>
        <cfvo type="min"/>
        <cfvo type="max"/>
        <color rgb="FFFFEF9C"/>
        <color rgb="FF63BE7B"/>
      </colorScale>
    </cfRule>
  </conditionalFormatting>
  <conditionalFormatting sqref="N1345:N1361">
    <cfRule type="colorScale" priority="15383">
      <colorScale>
        <cfvo type="min"/>
        <cfvo type="percentile" val="20"/>
        <cfvo type="max"/>
        <color rgb="FF92D050"/>
        <color theme="5" tint="0.79998168889431442"/>
        <color rgb="FFFF0000"/>
      </colorScale>
    </cfRule>
    <cfRule type="colorScale" priority="15384">
      <colorScale>
        <cfvo type="min"/>
        <cfvo type="max"/>
        <color rgb="FFFF0000"/>
        <color rgb="FF92D050"/>
      </colorScale>
    </cfRule>
    <cfRule type="colorScale" priority="15385">
      <colorScale>
        <cfvo type="min"/>
        <cfvo type="percentile" val="50"/>
        <cfvo type="max"/>
        <color rgb="FF5A8AC6"/>
        <color rgb="FFFCFCFF"/>
        <color rgb="FFF8696B"/>
      </colorScale>
    </cfRule>
    <cfRule type="colorScale" priority="15386">
      <colorScale>
        <cfvo type="formula" val="&quot;&gt;20&quot;"/>
        <cfvo type="formula" val="35"/>
        <color rgb="FFF8696B"/>
        <color rgb="FFFCFCFF"/>
      </colorScale>
    </cfRule>
    <cfRule type="colorScale" priority="15387">
      <colorScale>
        <cfvo type="min"/>
        <cfvo type="max"/>
        <color rgb="FFFFEF9C"/>
        <color rgb="FF63BE7B"/>
      </colorScale>
    </cfRule>
  </conditionalFormatting>
  <conditionalFormatting sqref="S1345:S1361">
    <cfRule type="containsText" dxfId="2226" priority="15379" operator="containsText" text="Short Buildup">
      <formula>NOT(ISERROR(SEARCH("Short Buildup",S1345)))</formula>
    </cfRule>
    <cfRule type="containsText" dxfId="2225" priority="15380" operator="containsText" text="Long Liquidation">
      <formula>NOT(ISERROR(SEARCH("Long Liquidation",S1345)))</formula>
    </cfRule>
    <cfRule type="containsText" dxfId="2224" priority="15381" operator="containsText" text="Short covering">
      <formula>NOT(ISERROR(SEARCH("Short covering",S1345)))</formula>
    </cfRule>
    <cfRule type="containsText" dxfId="2223" priority="15382" operator="containsText" text="Long Buildup">
      <formula>NOT(ISERROR(SEARCH("Long Buildup",S1345)))</formula>
    </cfRule>
  </conditionalFormatting>
  <conditionalFormatting sqref="R1362:R1378 D1362:D1377 C1378">
    <cfRule type="containsText" dxfId="2222" priority="15365" operator="containsText" text="DOWN">
      <formula>NOT(ISERROR(SEARCH("DOWN",C1362)))</formula>
    </cfRule>
  </conditionalFormatting>
  <conditionalFormatting sqref="R1362:R1378 D1362:D1377 C1378">
    <cfRule type="containsText" dxfId="2221" priority="15364" operator="containsText" text="UP">
      <formula>NOT(ISERROR(SEARCH("UP",C1362)))</formula>
    </cfRule>
  </conditionalFormatting>
  <conditionalFormatting sqref="I1362:I1378">
    <cfRule type="colorScale" priority="15366">
      <colorScale>
        <cfvo type="min"/>
        <cfvo type="max"/>
        <color rgb="FFFFEF9C"/>
        <color rgb="FF63BE7B"/>
      </colorScale>
    </cfRule>
  </conditionalFormatting>
  <conditionalFormatting sqref="M1362:M1378">
    <cfRule type="colorScale" priority="15367">
      <colorScale>
        <cfvo type="min"/>
        <cfvo type="max"/>
        <color rgb="FFFF7128"/>
        <color rgb="FFFFEF9C"/>
      </colorScale>
    </cfRule>
  </conditionalFormatting>
  <conditionalFormatting sqref="Q1362:Q1378">
    <cfRule type="dataBar" priority="15368">
      <dataBar>
        <cfvo type="min"/>
        <cfvo type="max"/>
        <color rgb="FFFF555A"/>
      </dataBar>
    </cfRule>
  </conditionalFormatting>
  <conditionalFormatting sqref="E1362:E1378">
    <cfRule type="dataBar" priority="15369">
      <dataBar>
        <cfvo type="min"/>
        <cfvo type="max"/>
        <color rgb="FFFF555A"/>
      </dataBar>
    </cfRule>
  </conditionalFormatting>
  <conditionalFormatting sqref="F1362:F1378">
    <cfRule type="top10" dxfId="2220" priority="15370" rank="1"/>
  </conditionalFormatting>
  <conditionalFormatting sqref="P1362:P1377">
    <cfRule type="top10" dxfId="2219" priority="15371" rank="1"/>
  </conditionalFormatting>
  <conditionalFormatting sqref="G1362:G1378 O1362:O1377 P1378">
    <cfRule type="cellIs" dxfId="2218" priority="15372" operator="equal">
      <formula>$G$135</formula>
    </cfRule>
  </conditionalFormatting>
  <conditionalFormatting sqref="O1362:O1377 P1378">
    <cfRule type="cellIs" dxfId="2217" priority="15373" operator="equal">
      <formula>$J$135</formula>
    </cfRule>
  </conditionalFormatting>
  <conditionalFormatting sqref="G1362:G1378 O1362:O1377 P1378">
    <cfRule type="cellIs" dxfId="2216" priority="15374" operator="equal">
      <formula>#REF!</formula>
    </cfRule>
  </conditionalFormatting>
  <conditionalFormatting sqref="G1362:G1378">
    <cfRule type="top10" dxfId="2215" priority="15375" rank="1"/>
    <cfRule type="cellIs" dxfId="2214" priority="15376" operator="equal">
      <formula>$G$133</formula>
    </cfRule>
  </conditionalFormatting>
  <conditionalFormatting sqref="O1362:O1377 P1378">
    <cfRule type="top10" dxfId="2213" priority="15377" rank="1"/>
    <cfRule type="cellIs" dxfId="2212" priority="15378" operator="equal">
      <formula>$G$133</formula>
    </cfRule>
  </conditionalFormatting>
  <conditionalFormatting sqref="C1362:C1377">
    <cfRule type="containsText" dxfId="2211" priority="15360" operator="containsText" text="Short Buildup">
      <formula>NOT(ISERROR(SEARCH("Short Buildup",C1362)))</formula>
    </cfRule>
    <cfRule type="containsText" dxfId="2210" priority="15361" operator="containsText" text="Long Liquidation">
      <formula>NOT(ISERROR(SEARCH("Long Liquidation",C1362)))</formula>
    </cfRule>
    <cfRule type="containsText" dxfId="2209" priority="15362" operator="containsText" text="Short covering">
      <formula>NOT(ISERROR(SEARCH("Short covering",C1362)))</formula>
    </cfRule>
    <cfRule type="containsText" dxfId="2208" priority="15363" operator="containsText" text="Long Buildup">
      <formula>NOT(ISERROR(SEARCH("Long Buildup",C1362)))</formula>
    </cfRule>
  </conditionalFormatting>
  <conditionalFormatting sqref="H1362:H1378">
    <cfRule type="colorScale" priority="15355">
      <colorScale>
        <cfvo type="min"/>
        <cfvo type="percentile" val="20"/>
        <cfvo type="max"/>
        <color rgb="FF92D050"/>
        <color theme="5" tint="0.79998168889431442"/>
        <color rgb="FFFF0000"/>
      </colorScale>
    </cfRule>
    <cfRule type="colorScale" priority="15356">
      <colorScale>
        <cfvo type="min"/>
        <cfvo type="max"/>
        <color rgb="FFFF0000"/>
        <color rgb="FF92D050"/>
      </colorScale>
    </cfRule>
    <cfRule type="colorScale" priority="15357">
      <colorScale>
        <cfvo type="min"/>
        <cfvo type="percentile" val="50"/>
        <cfvo type="max"/>
        <color rgb="FF5A8AC6"/>
        <color rgb="FFFCFCFF"/>
        <color rgb="FFF8696B"/>
      </colorScale>
    </cfRule>
    <cfRule type="colorScale" priority="15358">
      <colorScale>
        <cfvo type="formula" val="&quot;&gt;20&quot;"/>
        <cfvo type="formula" val="35"/>
        <color rgb="FFF8696B"/>
        <color rgb="FFFCFCFF"/>
      </colorScale>
    </cfRule>
    <cfRule type="colorScale" priority="15359">
      <colorScale>
        <cfvo type="min"/>
        <cfvo type="max"/>
        <color rgb="FFFFEF9C"/>
        <color rgb="FF63BE7B"/>
      </colorScale>
    </cfRule>
  </conditionalFormatting>
  <conditionalFormatting sqref="N1362:N1378">
    <cfRule type="colorScale" priority="15350">
      <colorScale>
        <cfvo type="min"/>
        <cfvo type="percentile" val="20"/>
        <cfvo type="max"/>
        <color rgb="FF92D050"/>
        <color theme="5" tint="0.79998168889431442"/>
        <color rgb="FFFF0000"/>
      </colorScale>
    </cfRule>
    <cfRule type="colorScale" priority="15351">
      <colorScale>
        <cfvo type="min"/>
        <cfvo type="max"/>
        <color rgb="FFFF0000"/>
        <color rgb="FF92D050"/>
      </colorScale>
    </cfRule>
    <cfRule type="colorScale" priority="15352">
      <colorScale>
        <cfvo type="min"/>
        <cfvo type="percentile" val="50"/>
        <cfvo type="max"/>
        <color rgb="FF5A8AC6"/>
        <color rgb="FFFCFCFF"/>
        <color rgb="FFF8696B"/>
      </colorScale>
    </cfRule>
    <cfRule type="colorScale" priority="15353">
      <colorScale>
        <cfvo type="formula" val="&quot;&gt;20&quot;"/>
        <cfvo type="formula" val="35"/>
        <color rgb="FFF8696B"/>
        <color rgb="FFFCFCFF"/>
      </colorScale>
    </cfRule>
    <cfRule type="colorScale" priority="15354">
      <colorScale>
        <cfvo type="min"/>
        <cfvo type="max"/>
        <color rgb="FFFFEF9C"/>
        <color rgb="FF63BE7B"/>
      </colorScale>
    </cfRule>
  </conditionalFormatting>
  <conditionalFormatting sqref="S1362:S1378">
    <cfRule type="containsText" dxfId="2207" priority="15346" operator="containsText" text="Short Buildup">
      <formula>NOT(ISERROR(SEARCH("Short Buildup",S1362)))</formula>
    </cfRule>
    <cfRule type="containsText" dxfId="2206" priority="15347" operator="containsText" text="Long Liquidation">
      <formula>NOT(ISERROR(SEARCH("Long Liquidation",S1362)))</formula>
    </cfRule>
    <cfRule type="containsText" dxfId="2205" priority="15348" operator="containsText" text="Short covering">
      <formula>NOT(ISERROR(SEARCH("Short covering",S1362)))</formula>
    </cfRule>
    <cfRule type="containsText" dxfId="2204" priority="15349" operator="containsText" text="Long Buildup">
      <formula>NOT(ISERROR(SEARCH("Long Buildup",S1362)))</formula>
    </cfRule>
  </conditionalFormatting>
  <conditionalFormatting sqref="R1379:R1395 D1379:D1394 C1395">
    <cfRule type="containsText" dxfId="2203" priority="15332" operator="containsText" text="DOWN">
      <formula>NOT(ISERROR(SEARCH("DOWN",C1379)))</formula>
    </cfRule>
  </conditionalFormatting>
  <conditionalFormatting sqref="R1379:R1395 D1379:D1394 C1395">
    <cfRule type="containsText" dxfId="2202" priority="15331" operator="containsText" text="UP">
      <formula>NOT(ISERROR(SEARCH("UP",C1379)))</formula>
    </cfRule>
  </conditionalFormatting>
  <conditionalFormatting sqref="I1379:I1395">
    <cfRule type="colorScale" priority="15333">
      <colorScale>
        <cfvo type="min"/>
        <cfvo type="max"/>
        <color rgb="FFFFEF9C"/>
        <color rgb="FF63BE7B"/>
      </colorScale>
    </cfRule>
  </conditionalFormatting>
  <conditionalFormatting sqref="M1379:M1395">
    <cfRule type="colorScale" priority="15334">
      <colorScale>
        <cfvo type="min"/>
        <cfvo type="max"/>
        <color rgb="FFFF7128"/>
        <color rgb="FFFFEF9C"/>
      </colorScale>
    </cfRule>
  </conditionalFormatting>
  <conditionalFormatting sqref="Q1379:Q1395">
    <cfRule type="dataBar" priority="15335">
      <dataBar>
        <cfvo type="min"/>
        <cfvo type="max"/>
        <color rgb="FFFF555A"/>
      </dataBar>
    </cfRule>
  </conditionalFormatting>
  <conditionalFormatting sqref="E1379:E1395">
    <cfRule type="dataBar" priority="15336">
      <dataBar>
        <cfvo type="min"/>
        <cfvo type="max"/>
        <color rgb="FFFF555A"/>
      </dataBar>
    </cfRule>
  </conditionalFormatting>
  <conditionalFormatting sqref="F1379:F1395">
    <cfRule type="top10" dxfId="2201" priority="15337" rank="1"/>
  </conditionalFormatting>
  <conditionalFormatting sqref="P1379:P1394">
    <cfRule type="top10" dxfId="2200" priority="15338" rank="1"/>
  </conditionalFormatting>
  <conditionalFormatting sqref="G1379:G1395 O1379:O1394 P1395">
    <cfRule type="cellIs" dxfId="2199" priority="15339" operator="equal">
      <formula>$G$135</formula>
    </cfRule>
  </conditionalFormatting>
  <conditionalFormatting sqref="O1379:O1394 P1395">
    <cfRule type="cellIs" dxfId="2198" priority="15340" operator="equal">
      <formula>$J$135</formula>
    </cfRule>
  </conditionalFormatting>
  <conditionalFormatting sqref="G1379:G1395 O1379:O1394 P1395">
    <cfRule type="cellIs" dxfId="2197" priority="15341" operator="equal">
      <formula>#REF!</formula>
    </cfRule>
  </conditionalFormatting>
  <conditionalFormatting sqref="G1379:G1395">
    <cfRule type="top10" dxfId="2196" priority="15342" rank="1"/>
    <cfRule type="cellIs" dxfId="2195" priority="15343" operator="equal">
      <formula>$G$133</formula>
    </cfRule>
  </conditionalFormatting>
  <conditionalFormatting sqref="O1379:O1394 P1395">
    <cfRule type="top10" dxfId="2194" priority="15344" rank="1"/>
    <cfRule type="cellIs" dxfId="2193" priority="15345" operator="equal">
      <formula>$G$133</formula>
    </cfRule>
  </conditionalFormatting>
  <conditionalFormatting sqref="C1379:C1394">
    <cfRule type="containsText" dxfId="2192" priority="15327" operator="containsText" text="Short Buildup">
      <formula>NOT(ISERROR(SEARCH("Short Buildup",C1379)))</formula>
    </cfRule>
    <cfRule type="containsText" dxfId="2191" priority="15328" operator="containsText" text="Long Liquidation">
      <formula>NOT(ISERROR(SEARCH("Long Liquidation",C1379)))</formula>
    </cfRule>
    <cfRule type="containsText" dxfId="2190" priority="15329" operator="containsText" text="Short covering">
      <formula>NOT(ISERROR(SEARCH("Short covering",C1379)))</formula>
    </cfRule>
    <cfRule type="containsText" dxfId="2189" priority="15330" operator="containsText" text="Long Buildup">
      <formula>NOT(ISERROR(SEARCH("Long Buildup",C1379)))</formula>
    </cfRule>
  </conditionalFormatting>
  <conditionalFormatting sqref="H1379:H1395">
    <cfRule type="colorScale" priority="15322">
      <colorScale>
        <cfvo type="min"/>
        <cfvo type="percentile" val="20"/>
        <cfvo type="max"/>
        <color rgb="FF92D050"/>
        <color theme="5" tint="0.79998168889431442"/>
        <color rgb="FFFF0000"/>
      </colorScale>
    </cfRule>
    <cfRule type="colorScale" priority="15323">
      <colorScale>
        <cfvo type="min"/>
        <cfvo type="max"/>
        <color rgb="FFFF0000"/>
        <color rgb="FF92D050"/>
      </colorScale>
    </cfRule>
    <cfRule type="colorScale" priority="15324">
      <colorScale>
        <cfvo type="min"/>
        <cfvo type="percentile" val="50"/>
        <cfvo type="max"/>
        <color rgb="FF5A8AC6"/>
        <color rgb="FFFCFCFF"/>
        <color rgb="FFF8696B"/>
      </colorScale>
    </cfRule>
    <cfRule type="colorScale" priority="15325">
      <colorScale>
        <cfvo type="formula" val="&quot;&gt;20&quot;"/>
        <cfvo type="formula" val="35"/>
        <color rgb="FFF8696B"/>
        <color rgb="FFFCFCFF"/>
      </colorScale>
    </cfRule>
    <cfRule type="colorScale" priority="15326">
      <colorScale>
        <cfvo type="min"/>
        <cfvo type="max"/>
        <color rgb="FFFFEF9C"/>
        <color rgb="FF63BE7B"/>
      </colorScale>
    </cfRule>
  </conditionalFormatting>
  <conditionalFormatting sqref="N1379:N1395">
    <cfRule type="colorScale" priority="15317">
      <colorScale>
        <cfvo type="min"/>
        <cfvo type="percentile" val="20"/>
        <cfvo type="max"/>
        <color rgb="FF92D050"/>
        <color theme="5" tint="0.79998168889431442"/>
        <color rgb="FFFF0000"/>
      </colorScale>
    </cfRule>
    <cfRule type="colorScale" priority="15318">
      <colorScale>
        <cfvo type="min"/>
        <cfvo type="max"/>
        <color rgb="FFFF0000"/>
        <color rgb="FF92D050"/>
      </colorScale>
    </cfRule>
    <cfRule type="colorScale" priority="15319">
      <colorScale>
        <cfvo type="min"/>
        <cfvo type="percentile" val="50"/>
        <cfvo type="max"/>
        <color rgb="FF5A8AC6"/>
        <color rgb="FFFCFCFF"/>
        <color rgb="FFF8696B"/>
      </colorScale>
    </cfRule>
    <cfRule type="colorScale" priority="15320">
      <colorScale>
        <cfvo type="formula" val="&quot;&gt;20&quot;"/>
        <cfvo type="formula" val="35"/>
        <color rgb="FFF8696B"/>
        <color rgb="FFFCFCFF"/>
      </colorScale>
    </cfRule>
    <cfRule type="colorScale" priority="15321">
      <colorScale>
        <cfvo type="min"/>
        <cfvo type="max"/>
        <color rgb="FFFFEF9C"/>
        <color rgb="FF63BE7B"/>
      </colorScale>
    </cfRule>
  </conditionalFormatting>
  <conditionalFormatting sqref="S1379:S1395">
    <cfRule type="containsText" dxfId="2188" priority="15313" operator="containsText" text="Short Buildup">
      <formula>NOT(ISERROR(SEARCH("Short Buildup",S1379)))</formula>
    </cfRule>
    <cfRule type="containsText" dxfId="2187" priority="15314" operator="containsText" text="Long Liquidation">
      <formula>NOT(ISERROR(SEARCH("Long Liquidation",S1379)))</formula>
    </cfRule>
    <cfRule type="containsText" dxfId="2186" priority="15315" operator="containsText" text="Short covering">
      <formula>NOT(ISERROR(SEARCH("Short covering",S1379)))</formula>
    </cfRule>
    <cfRule type="containsText" dxfId="2185" priority="15316" operator="containsText" text="Long Buildup">
      <formula>NOT(ISERROR(SEARCH("Long Buildup",S1379)))</formula>
    </cfRule>
  </conditionalFormatting>
  <conditionalFormatting sqref="R1396:R1412 D1396:D1411 C1412">
    <cfRule type="containsText" dxfId="2184" priority="15299" operator="containsText" text="DOWN">
      <formula>NOT(ISERROR(SEARCH("DOWN",C1396)))</formula>
    </cfRule>
  </conditionalFormatting>
  <conditionalFormatting sqref="R1396:R1412 D1396:D1411 C1412">
    <cfRule type="containsText" dxfId="2183" priority="15298" operator="containsText" text="UP">
      <formula>NOT(ISERROR(SEARCH("UP",C1396)))</formula>
    </cfRule>
  </conditionalFormatting>
  <conditionalFormatting sqref="I1396:I1412">
    <cfRule type="colorScale" priority="15300">
      <colorScale>
        <cfvo type="min"/>
        <cfvo type="max"/>
        <color rgb="FFFFEF9C"/>
        <color rgb="FF63BE7B"/>
      </colorScale>
    </cfRule>
  </conditionalFormatting>
  <conditionalFormatting sqref="M1396:M1412">
    <cfRule type="colorScale" priority="15301">
      <colorScale>
        <cfvo type="min"/>
        <cfvo type="max"/>
        <color rgb="FFFF7128"/>
        <color rgb="FFFFEF9C"/>
      </colorScale>
    </cfRule>
  </conditionalFormatting>
  <conditionalFormatting sqref="Q1396:Q1412">
    <cfRule type="dataBar" priority="15302">
      <dataBar>
        <cfvo type="min"/>
        <cfvo type="max"/>
        <color rgb="FFFF555A"/>
      </dataBar>
    </cfRule>
  </conditionalFormatting>
  <conditionalFormatting sqref="E1396:E1412">
    <cfRule type="dataBar" priority="15303">
      <dataBar>
        <cfvo type="min"/>
        <cfvo type="max"/>
        <color rgb="FFFF555A"/>
      </dataBar>
    </cfRule>
  </conditionalFormatting>
  <conditionalFormatting sqref="F1396:F1412">
    <cfRule type="top10" dxfId="2182" priority="15304" rank="1"/>
  </conditionalFormatting>
  <conditionalFormatting sqref="P1396:P1411">
    <cfRule type="top10" dxfId="2181" priority="15305" rank="1"/>
  </conditionalFormatting>
  <conditionalFormatting sqref="G1396:G1412 O1396:O1411 P1412">
    <cfRule type="cellIs" dxfId="2180" priority="15306" operator="equal">
      <formula>$G$135</formula>
    </cfRule>
  </conditionalFormatting>
  <conditionalFormatting sqref="O1396:O1411 P1412">
    <cfRule type="cellIs" dxfId="2179" priority="15307" operator="equal">
      <formula>$J$135</formula>
    </cfRule>
  </conditionalFormatting>
  <conditionalFormatting sqref="G1396:G1412 O1396:O1411 P1412">
    <cfRule type="cellIs" dxfId="2178" priority="15308" operator="equal">
      <formula>#REF!</formula>
    </cfRule>
  </conditionalFormatting>
  <conditionalFormatting sqref="G1396:G1412">
    <cfRule type="top10" dxfId="2177" priority="15309" rank="1"/>
    <cfRule type="cellIs" dxfId="2176" priority="15310" operator="equal">
      <formula>$G$133</formula>
    </cfRule>
  </conditionalFormatting>
  <conditionalFormatting sqref="O1396:O1411 P1412">
    <cfRule type="top10" dxfId="2175" priority="15311" rank="1"/>
    <cfRule type="cellIs" dxfId="2174" priority="15312" operator="equal">
      <formula>$G$133</formula>
    </cfRule>
  </conditionalFormatting>
  <conditionalFormatting sqref="C1396:C1411">
    <cfRule type="containsText" dxfId="2173" priority="15294" operator="containsText" text="Short Buildup">
      <formula>NOT(ISERROR(SEARCH("Short Buildup",C1396)))</formula>
    </cfRule>
    <cfRule type="containsText" dxfId="2172" priority="15295" operator="containsText" text="Long Liquidation">
      <formula>NOT(ISERROR(SEARCH("Long Liquidation",C1396)))</formula>
    </cfRule>
    <cfRule type="containsText" dxfId="2171" priority="15296" operator="containsText" text="Short covering">
      <formula>NOT(ISERROR(SEARCH("Short covering",C1396)))</formula>
    </cfRule>
    <cfRule type="containsText" dxfId="2170" priority="15297" operator="containsText" text="Long Buildup">
      <formula>NOT(ISERROR(SEARCH("Long Buildup",C1396)))</formula>
    </cfRule>
  </conditionalFormatting>
  <conditionalFormatting sqref="H1396:H1412">
    <cfRule type="colorScale" priority="15289">
      <colorScale>
        <cfvo type="min"/>
        <cfvo type="percentile" val="20"/>
        <cfvo type="max"/>
        <color rgb="FF92D050"/>
        <color theme="5" tint="0.79998168889431442"/>
        <color rgb="FFFF0000"/>
      </colorScale>
    </cfRule>
    <cfRule type="colorScale" priority="15290">
      <colorScale>
        <cfvo type="min"/>
        <cfvo type="max"/>
        <color rgb="FFFF0000"/>
        <color rgb="FF92D050"/>
      </colorScale>
    </cfRule>
    <cfRule type="colorScale" priority="15291">
      <colorScale>
        <cfvo type="min"/>
        <cfvo type="percentile" val="50"/>
        <cfvo type="max"/>
        <color rgb="FF5A8AC6"/>
        <color rgb="FFFCFCFF"/>
        <color rgb="FFF8696B"/>
      </colorScale>
    </cfRule>
    <cfRule type="colorScale" priority="15292">
      <colorScale>
        <cfvo type="formula" val="&quot;&gt;20&quot;"/>
        <cfvo type="formula" val="35"/>
        <color rgb="FFF8696B"/>
        <color rgb="FFFCFCFF"/>
      </colorScale>
    </cfRule>
    <cfRule type="colorScale" priority="15293">
      <colorScale>
        <cfvo type="min"/>
        <cfvo type="max"/>
        <color rgb="FFFFEF9C"/>
        <color rgb="FF63BE7B"/>
      </colorScale>
    </cfRule>
  </conditionalFormatting>
  <conditionalFormatting sqref="N1396:N1412">
    <cfRule type="colorScale" priority="15284">
      <colorScale>
        <cfvo type="min"/>
        <cfvo type="percentile" val="20"/>
        <cfvo type="max"/>
        <color rgb="FF92D050"/>
        <color theme="5" tint="0.79998168889431442"/>
        <color rgb="FFFF0000"/>
      </colorScale>
    </cfRule>
    <cfRule type="colorScale" priority="15285">
      <colorScale>
        <cfvo type="min"/>
        <cfvo type="max"/>
        <color rgb="FFFF0000"/>
        <color rgb="FF92D050"/>
      </colorScale>
    </cfRule>
    <cfRule type="colorScale" priority="15286">
      <colorScale>
        <cfvo type="min"/>
        <cfvo type="percentile" val="50"/>
        <cfvo type="max"/>
        <color rgb="FF5A8AC6"/>
        <color rgb="FFFCFCFF"/>
        <color rgb="FFF8696B"/>
      </colorScale>
    </cfRule>
    <cfRule type="colorScale" priority="15287">
      <colorScale>
        <cfvo type="formula" val="&quot;&gt;20&quot;"/>
        <cfvo type="formula" val="35"/>
        <color rgb="FFF8696B"/>
        <color rgb="FFFCFCFF"/>
      </colorScale>
    </cfRule>
    <cfRule type="colorScale" priority="15288">
      <colorScale>
        <cfvo type="min"/>
        <cfvo type="max"/>
        <color rgb="FFFFEF9C"/>
        <color rgb="FF63BE7B"/>
      </colorScale>
    </cfRule>
  </conditionalFormatting>
  <conditionalFormatting sqref="S1396:S1412">
    <cfRule type="containsText" dxfId="2169" priority="15280" operator="containsText" text="Short Buildup">
      <formula>NOT(ISERROR(SEARCH("Short Buildup",S1396)))</formula>
    </cfRule>
    <cfRule type="containsText" dxfId="2168" priority="15281" operator="containsText" text="Long Liquidation">
      <formula>NOT(ISERROR(SEARCH("Long Liquidation",S1396)))</formula>
    </cfRule>
    <cfRule type="containsText" dxfId="2167" priority="15282" operator="containsText" text="Short covering">
      <formula>NOT(ISERROR(SEARCH("Short covering",S1396)))</formula>
    </cfRule>
    <cfRule type="containsText" dxfId="2166" priority="15283" operator="containsText" text="Long Buildup">
      <formula>NOT(ISERROR(SEARCH("Long Buildup",S1396)))</formula>
    </cfRule>
  </conditionalFormatting>
  <conditionalFormatting sqref="R1413:R1429 D1413:D1428 C1429">
    <cfRule type="containsText" dxfId="2165" priority="15266" operator="containsText" text="DOWN">
      <formula>NOT(ISERROR(SEARCH("DOWN",C1413)))</formula>
    </cfRule>
  </conditionalFormatting>
  <conditionalFormatting sqref="R1413:R1429 D1413:D1428 C1429">
    <cfRule type="containsText" dxfId="2164" priority="15265" operator="containsText" text="UP">
      <formula>NOT(ISERROR(SEARCH("UP",C1413)))</formula>
    </cfRule>
  </conditionalFormatting>
  <conditionalFormatting sqref="I1413:I1429">
    <cfRule type="colorScale" priority="15267">
      <colorScale>
        <cfvo type="min"/>
        <cfvo type="max"/>
        <color rgb="FFFFEF9C"/>
        <color rgb="FF63BE7B"/>
      </colorScale>
    </cfRule>
  </conditionalFormatting>
  <conditionalFormatting sqref="M1413:M1429">
    <cfRule type="colorScale" priority="15268">
      <colorScale>
        <cfvo type="min"/>
        <cfvo type="max"/>
        <color rgb="FFFF7128"/>
        <color rgb="FFFFEF9C"/>
      </colorScale>
    </cfRule>
  </conditionalFormatting>
  <conditionalFormatting sqref="Q1413:Q1429">
    <cfRule type="dataBar" priority="15269">
      <dataBar>
        <cfvo type="min"/>
        <cfvo type="max"/>
        <color rgb="FFFF555A"/>
      </dataBar>
    </cfRule>
  </conditionalFormatting>
  <conditionalFormatting sqref="E1413:E1429">
    <cfRule type="dataBar" priority="15270">
      <dataBar>
        <cfvo type="min"/>
        <cfvo type="max"/>
        <color rgb="FFFF555A"/>
      </dataBar>
    </cfRule>
  </conditionalFormatting>
  <conditionalFormatting sqref="F1413:F1429">
    <cfRule type="top10" dxfId="2163" priority="15271" rank="1"/>
  </conditionalFormatting>
  <conditionalFormatting sqref="P1413:P1428">
    <cfRule type="top10" dxfId="2162" priority="15272" rank="1"/>
  </conditionalFormatting>
  <conditionalFormatting sqref="G1413:G1429 O1413:O1428 P1429">
    <cfRule type="cellIs" dxfId="2161" priority="15273" operator="equal">
      <formula>$G$135</formula>
    </cfRule>
  </conditionalFormatting>
  <conditionalFormatting sqref="O1413:O1428 P1429">
    <cfRule type="cellIs" dxfId="2160" priority="15274" operator="equal">
      <formula>$J$135</formula>
    </cfRule>
  </conditionalFormatting>
  <conditionalFormatting sqref="G1413:G1429 O1413:O1428 P1429">
    <cfRule type="cellIs" dxfId="2159" priority="15275" operator="equal">
      <formula>#REF!</formula>
    </cfRule>
  </conditionalFormatting>
  <conditionalFormatting sqref="G1413:G1429">
    <cfRule type="top10" dxfId="2158" priority="15276" rank="1"/>
    <cfRule type="cellIs" dxfId="2157" priority="15277" operator="equal">
      <formula>$G$133</formula>
    </cfRule>
  </conditionalFormatting>
  <conditionalFormatting sqref="O1413:O1428 P1429">
    <cfRule type="top10" dxfId="2156" priority="15278" rank="1"/>
    <cfRule type="cellIs" dxfId="2155" priority="15279" operator="equal">
      <formula>$G$133</formula>
    </cfRule>
  </conditionalFormatting>
  <conditionalFormatting sqref="C1413:C1428">
    <cfRule type="containsText" dxfId="2154" priority="15261" operator="containsText" text="Short Buildup">
      <formula>NOT(ISERROR(SEARCH("Short Buildup",C1413)))</formula>
    </cfRule>
    <cfRule type="containsText" dxfId="2153" priority="15262" operator="containsText" text="Long Liquidation">
      <formula>NOT(ISERROR(SEARCH("Long Liquidation",C1413)))</formula>
    </cfRule>
    <cfRule type="containsText" dxfId="2152" priority="15263" operator="containsText" text="Short covering">
      <formula>NOT(ISERROR(SEARCH("Short covering",C1413)))</formula>
    </cfRule>
    <cfRule type="containsText" dxfId="2151" priority="15264" operator="containsText" text="Long Buildup">
      <formula>NOT(ISERROR(SEARCH("Long Buildup",C1413)))</formula>
    </cfRule>
  </conditionalFormatting>
  <conditionalFormatting sqref="H1413:H1429">
    <cfRule type="colorScale" priority="15256">
      <colorScale>
        <cfvo type="min"/>
        <cfvo type="percentile" val="20"/>
        <cfvo type="max"/>
        <color rgb="FF92D050"/>
        <color theme="5" tint="0.79998168889431442"/>
        <color rgb="FFFF0000"/>
      </colorScale>
    </cfRule>
    <cfRule type="colorScale" priority="15257">
      <colorScale>
        <cfvo type="min"/>
        <cfvo type="max"/>
        <color rgb="FFFF0000"/>
        <color rgb="FF92D050"/>
      </colorScale>
    </cfRule>
    <cfRule type="colorScale" priority="15258">
      <colorScale>
        <cfvo type="min"/>
        <cfvo type="percentile" val="50"/>
        <cfvo type="max"/>
        <color rgb="FF5A8AC6"/>
        <color rgb="FFFCFCFF"/>
        <color rgb="FFF8696B"/>
      </colorScale>
    </cfRule>
    <cfRule type="colorScale" priority="15259">
      <colorScale>
        <cfvo type="formula" val="&quot;&gt;20&quot;"/>
        <cfvo type="formula" val="35"/>
        <color rgb="FFF8696B"/>
        <color rgb="FFFCFCFF"/>
      </colorScale>
    </cfRule>
    <cfRule type="colorScale" priority="15260">
      <colorScale>
        <cfvo type="min"/>
        <cfvo type="max"/>
        <color rgb="FFFFEF9C"/>
        <color rgb="FF63BE7B"/>
      </colorScale>
    </cfRule>
  </conditionalFormatting>
  <conditionalFormatting sqref="N1413:N1429">
    <cfRule type="colorScale" priority="15251">
      <colorScale>
        <cfvo type="min"/>
        <cfvo type="percentile" val="20"/>
        <cfvo type="max"/>
        <color rgb="FF92D050"/>
        <color theme="5" tint="0.79998168889431442"/>
        <color rgb="FFFF0000"/>
      </colorScale>
    </cfRule>
    <cfRule type="colorScale" priority="15252">
      <colorScale>
        <cfvo type="min"/>
        <cfvo type="max"/>
        <color rgb="FFFF0000"/>
        <color rgb="FF92D050"/>
      </colorScale>
    </cfRule>
    <cfRule type="colorScale" priority="15253">
      <colorScale>
        <cfvo type="min"/>
        <cfvo type="percentile" val="50"/>
        <cfvo type="max"/>
        <color rgb="FF5A8AC6"/>
        <color rgb="FFFCFCFF"/>
        <color rgb="FFF8696B"/>
      </colorScale>
    </cfRule>
    <cfRule type="colorScale" priority="15254">
      <colorScale>
        <cfvo type="formula" val="&quot;&gt;20&quot;"/>
        <cfvo type="formula" val="35"/>
        <color rgb="FFF8696B"/>
        <color rgb="FFFCFCFF"/>
      </colorScale>
    </cfRule>
    <cfRule type="colorScale" priority="15255">
      <colorScale>
        <cfvo type="min"/>
        <cfvo type="max"/>
        <color rgb="FFFFEF9C"/>
        <color rgb="FF63BE7B"/>
      </colorScale>
    </cfRule>
  </conditionalFormatting>
  <conditionalFormatting sqref="S1413:S1429">
    <cfRule type="containsText" dxfId="2150" priority="15247" operator="containsText" text="Short Buildup">
      <formula>NOT(ISERROR(SEARCH("Short Buildup",S1413)))</formula>
    </cfRule>
    <cfRule type="containsText" dxfId="2149" priority="15248" operator="containsText" text="Long Liquidation">
      <formula>NOT(ISERROR(SEARCH("Long Liquidation",S1413)))</formula>
    </cfRule>
    <cfRule type="containsText" dxfId="2148" priority="15249" operator="containsText" text="Short covering">
      <formula>NOT(ISERROR(SEARCH("Short covering",S1413)))</formula>
    </cfRule>
    <cfRule type="containsText" dxfId="2147" priority="15250" operator="containsText" text="Long Buildup">
      <formula>NOT(ISERROR(SEARCH("Long Buildup",S1413)))</formula>
    </cfRule>
  </conditionalFormatting>
  <conditionalFormatting sqref="R1430:R1446 D1430:D1445 C1446">
    <cfRule type="containsText" dxfId="2146" priority="15233" operator="containsText" text="DOWN">
      <formula>NOT(ISERROR(SEARCH("DOWN",C1430)))</formula>
    </cfRule>
  </conditionalFormatting>
  <conditionalFormatting sqref="R1430:R1446 D1430:D1445 C1446">
    <cfRule type="containsText" dxfId="2145" priority="15232" operator="containsText" text="UP">
      <formula>NOT(ISERROR(SEARCH("UP",C1430)))</formula>
    </cfRule>
  </conditionalFormatting>
  <conditionalFormatting sqref="I1430:I1446">
    <cfRule type="colorScale" priority="15234">
      <colorScale>
        <cfvo type="min"/>
        <cfvo type="max"/>
        <color rgb="FFFFEF9C"/>
        <color rgb="FF63BE7B"/>
      </colorScale>
    </cfRule>
  </conditionalFormatting>
  <conditionalFormatting sqref="M1430:M1446">
    <cfRule type="colorScale" priority="15235">
      <colorScale>
        <cfvo type="min"/>
        <cfvo type="max"/>
        <color rgb="FFFF7128"/>
        <color rgb="FFFFEF9C"/>
      </colorScale>
    </cfRule>
  </conditionalFormatting>
  <conditionalFormatting sqref="Q1430:Q1446">
    <cfRule type="dataBar" priority="15236">
      <dataBar>
        <cfvo type="min"/>
        <cfvo type="max"/>
        <color rgb="FFFF555A"/>
      </dataBar>
    </cfRule>
  </conditionalFormatting>
  <conditionalFormatting sqref="E1430:E1446">
    <cfRule type="dataBar" priority="15237">
      <dataBar>
        <cfvo type="min"/>
        <cfvo type="max"/>
        <color rgb="FFFF555A"/>
      </dataBar>
    </cfRule>
  </conditionalFormatting>
  <conditionalFormatting sqref="F1430:F1446">
    <cfRule type="top10" dxfId="2144" priority="15238" rank="1"/>
  </conditionalFormatting>
  <conditionalFormatting sqref="P1430:P1445">
    <cfRule type="top10" dxfId="2143" priority="15239" rank="1"/>
  </conditionalFormatting>
  <conditionalFormatting sqref="G1430:G1446 O1430:O1445 P1446">
    <cfRule type="cellIs" dxfId="2142" priority="15240" operator="equal">
      <formula>$G$135</formula>
    </cfRule>
  </conditionalFormatting>
  <conditionalFormatting sqref="O1430:O1445 P1446">
    <cfRule type="cellIs" dxfId="2141" priority="15241" operator="equal">
      <formula>$J$135</formula>
    </cfRule>
  </conditionalFormatting>
  <conditionalFormatting sqref="G1430:G1446 O1430:O1445 P1446">
    <cfRule type="cellIs" dxfId="2140" priority="15242" operator="equal">
      <formula>#REF!</formula>
    </cfRule>
  </conditionalFormatting>
  <conditionalFormatting sqref="G1430:G1446">
    <cfRule type="top10" dxfId="2139" priority="15243" rank="1"/>
    <cfRule type="cellIs" dxfId="2138" priority="15244" operator="equal">
      <formula>$G$133</formula>
    </cfRule>
  </conditionalFormatting>
  <conditionalFormatting sqref="O1430:O1445 P1446">
    <cfRule type="top10" dxfId="2137" priority="15245" rank="1"/>
    <cfRule type="cellIs" dxfId="2136" priority="15246" operator="equal">
      <formula>$G$133</formula>
    </cfRule>
  </conditionalFormatting>
  <conditionalFormatting sqref="C1430:C1445">
    <cfRule type="containsText" dxfId="2135" priority="15228" operator="containsText" text="Short Buildup">
      <formula>NOT(ISERROR(SEARCH("Short Buildup",C1430)))</formula>
    </cfRule>
    <cfRule type="containsText" dxfId="2134" priority="15229" operator="containsText" text="Long Liquidation">
      <formula>NOT(ISERROR(SEARCH("Long Liquidation",C1430)))</formula>
    </cfRule>
    <cfRule type="containsText" dxfId="2133" priority="15230" operator="containsText" text="Short covering">
      <formula>NOT(ISERROR(SEARCH("Short covering",C1430)))</formula>
    </cfRule>
    <cfRule type="containsText" dxfId="2132" priority="15231" operator="containsText" text="Long Buildup">
      <formula>NOT(ISERROR(SEARCH("Long Buildup",C1430)))</formula>
    </cfRule>
  </conditionalFormatting>
  <conditionalFormatting sqref="H1430:H1446">
    <cfRule type="colorScale" priority="15223">
      <colorScale>
        <cfvo type="min"/>
        <cfvo type="percentile" val="20"/>
        <cfvo type="max"/>
        <color rgb="FF92D050"/>
        <color theme="5" tint="0.79998168889431442"/>
        <color rgb="FFFF0000"/>
      </colorScale>
    </cfRule>
    <cfRule type="colorScale" priority="15224">
      <colorScale>
        <cfvo type="min"/>
        <cfvo type="max"/>
        <color rgb="FFFF0000"/>
        <color rgb="FF92D050"/>
      </colorScale>
    </cfRule>
    <cfRule type="colorScale" priority="15225">
      <colorScale>
        <cfvo type="min"/>
        <cfvo type="percentile" val="50"/>
        <cfvo type="max"/>
        <color rgb="FF5A8AC6"/>
        <color rgb="FFFCFCFF"/>
        <color rgb="FFF8696B"/>
      </colorScale>
    </cfRule>
    <cfRule type="colorScale" priority="15226">
      <colorScale>
        <cfvo type="formula" val="&quot;&gt;20&quot;"/>
        <cfvo type="formula" val="35"/>
        <color rgb="FFF8696B"/>
        <color rgb="FFFCFCFF"/>
      </colorScale>
    </cfRule>
    <cfRule type="colorScale" priority="15227">
      <colorScale>
        <cfvo type="min"/>
        <cfvo type="max"/>
        <color rgb="FFFFEF9C"/>
        <color rgb="FF63BE7B"/>
      </colorScale>
    </cfRule>
  </conditionalFormatting>
  <conditionalFormatting sqref="N1430:N1446">
    <cfRule type="colorScale" priority="15218">
      <colorScale>
        <cfvo type="min"/>
        <cfvo type="percentile" val="20"/>
        <cfvo type="max"/>
        <color rgb="FF92D050"/>
        <color theme="5" tint="0.79998168889431442"/>
        <color rgb="FFFF0000"/>
      </colorScale>
    </cfRule>
    <cfRule type="colorScale" priority="15219">
      <colorScale>
        <cfvo type="min"/>
        <cfvo type="max"/>
        <color rgb="FFFF0000"/>
        <color rgb="FF92D050"/>
      </colorScale>
    </cfRule>
    <cfRule type="colorScale" priority="15220">
      <colorScale>
        <cfvo type="min"/>
        <cfvo type="percentile" val="50"/>
        <cfvo type="max"/>
        <color rgb="FF5A8AC6"/>
        <color rgb="FFFCFCFF"/>
        <color rgb="FFF8696B"/>
      </colorScale>
    </cfRule>
    <cfRule type="colorScale" priority="15221">
      <colorScale>
        <cfvo type="formula" val="&quot;&gt;20&quot;"/>
        <cfvo type="formula" val="35"/>
        <color rgb="FFF8696B"/>
        <color rgb="FFFCFCFF"/>
      </colorScale>
    </cfRule>
    <cfRule type="colorScale" priority="15222">
      <colorScale>
        <cfvo type="min"/>
        <cfvo type="max"/>
        <color rgb="FFFFEF9C"/>
        <color rgb="FF63BE7B"/>
      </colorScale>
    </cfRule>
  </conditionalFormatting>
  <conditionalFormatting sqref="S1430:S1446">
    <cfRule type="containsText" dxfId="2131" priority="15214" operator="containsText" text="Short Buildup">
      <formula>NOT(ISERROR(SEARCH("Short Buildup",S1430)))</formula>
    </cfRule>
    <cfRule type="containsText" dxfId="2130" priority="15215" operator="containsText" text="Long Liquidation">
      <formula>NOT(ISERROR(SEARCH("Long Liquidation",S1430)))</formula>
    </cfRule>
    <cfRule type="containsText" dxfId="2129" priority="15216" operator="containsText" text="Short covering">
      <formula>NOT(ISERROR(SEARCH("Short covering",S1430)))</formula>
    </cfRule>
    <cfRule type="containsText" dxfId="2128" priority="15217" operator="containsText" text="Long Buildup">
      <formula>NOT(ISERROR(SEARCH("Long Buildup",S1430)))</formula>
    </cfRule>
  </conditionalFormatting>
  <conditionalFormatting sqref="R1447:R1463 D1447:D1462 C1463">
    <cfRule type="containsText" dxfId="2127" priority="15200" operator="containsText" text="DOWN">
      <formula>NOT(ISERROR(SEARCH("DOWN",C1447)))</formula>
    </cfRule>
  </conditionalFormatting>
  <conditionalFormatting sqref="R1447:R1463 D1447:D1462 C1463">
    <cfRule type="containsText" dxfId="2126" priority="15199" operator="containsText" text="UP">
      <formula>NOT(ISERROR(SEARCH("UP",C1447)))</formula>
    </cfRule>
  </conditionalFormatting>
  <conditionalFormatting sqref="I1447:I1463">
    <cfRule type="colorScale" priority="15201">
      <colorScale>
        <cfvo type="min"/>
        <cfvo type="max"/>
        <color rgb="FFFFEF9C"/>
        <color rgb="FF63BE7B"/>
      </colorScale>
    </cfRule>
  </conditionalFormatting>
  <conditionalFormatting sqref="M1447:M1463">
    <cfRule type="colorScale" priority="15202">
      <colorScale>
        <cfvo type="min"/>
        <cfvo type="max"/>
        <color rgb="FFFF7128"/>
        <color rgb="FFFFEF9C"/>
      </colorScale>
    </cfRule>
  </conditionalFormatting>
  <conditionalFormatting sqref="Q1447:Q1463">
    <cfRule type="dataBar" priority="15203">
      <dataBar>
        <cfvo type="min"/>
        <cfvo type="max"/>
        <color rgb="FFFF555A"/>
      </dataBar>
    </cfRule>
  </conditionalFormatting>
  <conditionalFormatting sqref="E1447:E1463">
    <cfRule type="dataBar" priority="15204">
      <dataBar>
        <cfvo type="min"/>
        <cfvo type="max"/>
        <color rgb="FFFF555A"/>
      </dataBar>
    </cfRule>
  </conditionalFormatting>
  <conditionalFormatting sqref="F1447:F1463">
    <cfRule type="top10" dxfId="2125" priority="15205" rank="1"/>
  </conditionalFormatting>
  <conditionalFormatting sqref="P1447:P1462">
    <cfRule type="top10" dxfId="2124" priority="15206" rank="1"/>
  </conditionalFormatting>
  <conditionalFormatting sqref="G1447:G1463 O1447:O1462 P1463">
    <cfRule type="cellIs" dxfId="2123" priority="15207" operator="equal">
      <formula>$G$135</formula>
    </cfRule>
  </conditionalFormatting>
  <conditionalFormatting sqref="O1447:O1462 P1463">
    <cfRule type="cellIs" dxfId="2122" priority="15208" operator="equal">
      <formula>$J$135</formula>
    </cfRule>
  </conditionalFormatting>
  <conditionalFormatting sqref="G1447:G1463 O1447:O1462 P1463">
    <cfRule type="cellIs" dxfId="2121" priority="15209" operator="equal">
      <formula>#REF!</formula>
    </cfRule>
  </conditionalFormatting>
  <conditionalFormatting sqref="G1447:G1463">
    <cfRule type="top10" dxfId="2120" priority="15210" rank="1"/>
    <cfRule type="cellIs" dxfId="2119" priority="15211" operator="equal">
      <formula>$G$133</formula>
    </cfRule>
  </conditionalFormatting>
  <conditionalFormatting sqref="O1447:O1462 P1463">
    <cfRule type="top10" dxfId="2118" priority="15212" rank="1"/>
    <cfRule type="cellIs" dxfId="2117" priority="15213" operator="equal">
      <formula>$G$133</formula>
    </cfRule>
  </conditionalFormatting>
  <conditionalFormatting sqref="C1447:C1462">
    <cfRule type="containsText" dxfId="2116" priority="15195" operator="containsText" text="Short Buildup">
      <formula>NOT(ISERROR(SEARCH("Short Buildup",C1447)))</formula>
    </cfRule>
    <cfRule type="containsText" dxfId="2115" priority="15196" operator="containsText" text="Long Liquidation">
      <formula>NOT(ISERROR(SEARCH("Long Liquidation",C1447)))</formula>
    </cfRule>
    <cfRule type="containsText" dxfId="2114" priority="15197" operator="containsText" text="Short covering">
      <formula>NOT(ISERROR(SEARCH("Short covering",C1447)))</formula>
    </cfRule>
    <cfRule type="containsText" dxfId="2113" priority="15198" operator="containsText" text="Long Buildup">
      <formula>NOT(ISERROR(SEARCH("Long Buildup",C1447)))</formula>
    </cfRule>
  </conditionalFormatting>
  <conditionalFormatting sqref="H1447:H1463">
    <cfRule type="colorScale" priority="15190">
      <colorScale>
        <cfvo type="min"/>
        <cfvo type="percentile" val="20"/>
        <cfvo type="max"/>
        <color rgb="FF92D050"/>
        <color theme="5" tint="0.79998168889431442"/>
        <color rgb="FFFF0000"/>
      </colorScale>
    </cfRule>
    <cfRule type="colorScale" priority="15191">
      <colorScale>
        <cfvo type="min"/>
        <cfvo type="max"/>
        <color rgb="FFFF0000"/>
        <color rgb="FF92D050"/>
      </colorScale>
    </cfRule>
    <cfRule type="colorScale" priority="15192">
      <colorScale>
        <cfvo type="min"/>
        <cfvo type="percentile" val="50"/>
        <cfvo type="max"/>
        <color rgb="FF5A8AC6"/>
        <color rgb="FFFCFCFF"/>
        <color rgb="FFF8696B"/>
      </colorScale>
    </cfRule>
    <cfRule type="colorScale" priority="15193">
      <colorScale>
        <cfvo type="formula" val="&quot;&gt;20&quot;"/>
        <cfvo type="formula" val="35"/>
        <color rgb="FFF8696B"/>
        <color rgb="FFFCFCFF"/>
      </colorScale>
    </cfRule>
    <cfRule type="colorScale" priority="15194">
      <colorScale>
        <cfvo type="min"/>
        <cfvo type="max"/>
        <color rgb="FFFFEF9C"/>
        <color rgb="FF63BE7B"/>
      </colorScale>
    </cfRule>
  </conditionalFormatting>
  <conditionalFormatting sqref="N1447:N1463">
    <cfRule type="colorScale" priority="15185">
      <colorScale>
        <cfvo type="min"/>
        <cfvo type="percentile" val="20"/>
        <cfvo type="max"/>
        <color rgb="FF92D050"/>
        <color theme="5" tint="0.79998168889431442"/>
        <color rgb="FFFF0000"/>
      </colorScale>
    </cfRule>
    <cfRule type="colorScale" priority="15186">
      <colorScale>
        <cfvo type="min"/>
        <cfvo type="max"/>
        <color rgb="FFFF0000"/>
        <color rgb="FF92D050"/>
      </colorScale>
    </cfRule>
    <cfRule type="colorScale" priority="15187">
      <colorScale>
        <cfvo type="min"/>
        <cfvo type="percentile" val="50"/>
        <cfvo type="max"/>
        <color rgb="FF5A8AC6"/>
        <color rgb="FFFCFCFF"/>
        <color rgb="FFF8696B"/>
      </colorScale>
    </cfRule>
    <cfRule type="colorScale" priority="15188">
      <colorScale>
        <cfvo type="formula" val="&quot;&gt;20&quot;"/>
        <cfvo type="formula" val="35"/>
        <color rgb="FFF8696B"/>
        <color rgb="FFFCFCFF"/>
      </colorScale>
    </cfRule>
    <cfRule type="colorScale" priority="15189">
      <colorScale>
        <cfvo type="min"/>
        <cfvo type="max"/>
        <color rgb="FFFFEF9C"/>
        <color rgb="FF63BE7B"/>
      </colorScale>
    </cfRule>
  </conditionalFormatting>
  <conditionalFormatting sqref="S1447:S1463">
    <cfRule type="containsText" dxfId="2112" priority="15181" operator="containsText" text="Short Buildup">
      <formula>NOT(ISERROR(SEARCH("Short Buildup",S1447)))</formula>
    </cfRule>
    <cfRule type="containsText" dxfId="2111" priority="15182" operator="containsText" text="Long Liquidation">
      <formula>NOT(ISERROR(SEARCH("Long Liquidation",S1447)))</formula>
    </cfRule>
    <cfRule type="containsText" dxfId="2110" priority="15183" operator="containsText" text="Short covering">
      <formula>NOT(ISERROR(SEARCH("Short covering",S1447)))</formula>
    </cfRule>
    <cfRule type="containsText" dxfId="2109" priority="15184" operator="containsText" text="Long Buildup">
      <formula>NOT(ISERROR(SEARCH("Long Buildup",S1447)))</formula>
    </cfRule>
  </conditionalFormatting>
  <conditionalFormatting sqref="R1464:R1480 D1464:D1479 C1480">
    <cfRule type="containsText" dxfId="2108" priority="15167" operator="containsText" text="DOWN">
      <formula>NOT(ISERROR(SEARCH("DOWN",C1464)))</formula>
    </cfRule>
  </conditionalFormatting>
  <conditionalFormatting sqref="R1464:R1480 D1464:D1479 C1480">
    <cfRule type="containsText" dxfId="2107" priority="15166" operator="containsText" text="UP">
      <formula>NOT(ISERROR(SEARCH("UP",C1464)))</formula>
    </cfRule>
  </conditionalFormatting>
  <conditionalFormatting sqref="I1464:I1480">
    <cfRule type="colorScale" priority="15168">
      <colorScale>
        <cfvo type="min"/>
        <cfvo type="max"/>
        <color rgb="FFFFEF9C"/>
        <color rgb="FF63BE7B"/>
      </colorScale>
    </cfRule>
  </conditionalFormatting>
  <conditionalFormatting sqref="M1464:M1480">
    <cfRule type="colorScale" priority="15169">
      <colorScale>
        <cfvo type="min"/>
        <cfvo type="max"/>
        <color rgb="FFFF7128"/>
        <color rgb="FFFFEF9C"/>
      </colorScale>
    </cfRule>
  </conditionalFormatting>
  <conditionalFormatting sqref="Q1464:Q1480">
    <cfRule type="dataBar" priority="15170">
      <dataBar>
        <cfvo type="min"/>
        <cfvo type="max"/>
        <color rgb="FFFF555A"/>
      </dataBar>
    </cfRule>
  </conditionalFormatting>
  <conditionalFormatting sqref="E1464:E1480">
    <cfRule type="dataBar" priority="15171">
      <dataBar>
        <cfvo type="min"/>
        <cfvo type="max"/>
        <color rgb="FFFF555A"/>
      </dataBar>
    </cfRule>
  </conditionalFormatting>
  <conditionalFormatting sqref="F1464:F1480">
    <cfRule type="top10" dxfId="2106" priority="15172" rank="1"/>
  </conditionalFormatting>
  <conditionalFormatting sqref="P1464:P1479">
    <cfRule type="top10" dxfId="2105" priority="15173" rank="1"/>
  </conditionalFormatting>
  <conditionalFormatting sqref="G1464:G1480 O1464:O1479 P1480">
    <cfRule type="cellIs" dxfId="2104" priority="15174" operator="equal">
      <formula>$G$135</formula>
    </cfRule>
  </conditionalFormatting>
  <conditionalFormatting sqref="O1464:O1479 P1480">
    <cfRule type="cellIs" dxfId="2103" priority="15175" operator="equal">
      <formula>$J$135</formula>
    </cfRule>
  </conditionalFormatting>
  <conditionalFormatting sqref="G1464:G1480 O1464:O1479 P1480">
    <cfRule type="cellIs" dxfId="2102" priority="15176" operator="equal">
      <formula>#REF!</formula>
    </cfRule>
  </conditionalFormatting>
  <conditionalFormatting sqref="G1464:G1480">
    <cfRule type="top10" dxfId="2101" priority="15177" rank="1"/>
    <cfRule type="cellIs" dxfId="2100" priority="15178" operator="equal">
      <formula>$G$133</formula>
    </cfRule>
  </conditionalFormatting>
  <conditionalFormatting sqref="O1464:O1479 P1480">
    <cfRule type="top10" dxfId="2099" priority="15179" rank="1"/>
    <cfRule type="cellIs" dxfId="2098" priority="15180" operator="equal">
      <formula>$G$133</formula>
    </cfRule>
  </conditionalFormatting>
  <conditionalFormatting sqref="C1464:C1479">
    <cfRule type="containsText" dxfId="2097" priority="15162" operator="containsText" text="Short Buildup">
      <formula>NOT(ISERROR(SEARCH("Short Buildup",C1464)))</formula>
    </cfRule>
    <cfRule type="containsText" dxfId="2096" priority="15163" operator="containsText" text="Long Liquidation">
      <formula>NOT(ISERROR(SEARCH("Long Liquidation",C1464)))</formula>
    </cfRule>
    <cfRule type="containsText" dxfId="2095" priority="15164" operator="containsText" text="Short covering">
      <formula>NOT(ISERROR(SEARCH("Short covering",C1464)))</formula>
    </cfRule>
    <cfRule type="containsText" dxfId="2094" priority="15165" operator="containsText" text="Long Buildup">
      <formula>NOT(ISERROR(SEARCH("Long Buildup",C1464)))</formula>
    </cfRule>
  </conditionalFormatting>
  <conditionalFormatting sqref="H1464:H1480">
    <cfRule type="colorScale" priority="15157">
      <colorScale>
        <cfvo type="min"/>
        <cfvo type="percentile" val="20"/>
        <cfvo type="max"/>
        <color rgb="FF92D050"/>
        <color theme="5" tint="0.79998168889431442"/>
        <color rgb="FFFF0000"/>
      </colorScale>
    </cfRule>
    <cfRule type="colorScale" priority="15158">
      <colorScale>
        <cfvo type="min"/>
        <cfvo type="max"/>
        <color rgb="FFFF0000"/>
        <color rgb="FF92D050"/>
      </colorScale>
    </cfRule>
    <cfRule type="colorScale" priority="15159">
      <colorScale>
        <cfvo type="min"/>
        <cfvo type="percentile" val="50"/>
        <cfvo type="max"/>
        <color rgb="FF5A8AC6"/>
        <color rgb="FFFCFCFF"/>
        <color rgb="FFF8696B"/>
      </colorScale>
    </cfRule>
    <cfRule type="colorScale" priority="15160">
      <colorScale>
        <cfvo type="formula" val="&quot;&gt;20&quot;"/>
        <cfvo type="formula" val="35"/>
        <color rgb="FFF8696B"/>
        <color rgb="FFFCFCFF"/>
      </colorScale>
    </cfRule>
    <cfRule type="colorScale" priority="15161">
      <colorScale>
        <cfvo type="min"/>
        <cfvo type="max"/>
        <color rgb="FFFFEF9C"/>
        <color rgb="FF63BE7B"/>
      </colorScale>
    </cfRule>
  </conditionalFormatting>
  <conditionalFormatting sqref="N1464:N1480">
    <cfRule type="colorScale" priority="15152">
      <colorScale>
        <cfvo type="min"/>
        <cfvo type="percentile" val="20"/>
        <cfvo type="max"/>
        <color rgb="FF92D050"/>
        <color theme="5" tint="0.79998168889431442"/>
        <color rgb="FFFF0000"/>
      </colorScale>
    </cfRule>
    <cfRule type="colorScale" priority="15153">
      <colorScale>
        <cfvo type="min"/>
        <cfvo type="max"/>
        <color rgb="FFFF0000"/>
        <color rgb="FF92D050"/>
      </colorScale>
    </cfRule>
    <cfRule type="colorScale" priority="15154">
      <colorScale>
        <cfvo type="min"/>
        <cfvo type="percentile" val="50"/>
        <cfvo type="max"/>
        <color rgb="FF5A8AC6"/>
        <color rgb="FFFCFCFF"/>
        <color rgb="FFF8696B"/>
      </colorScale>
    </cfRule>
    <cfRule type="colorScale" priority="15155">
      <colorScale>
        <cfvo type="formula" val="&quot;&gt;20&quot;"/>
        <cfvo type="formula" val="35"/>
        <color rgb="FFF8696B"/>
        <color rgb="FFFCFCFF"/>
      </colorScale>
    </cfRule>
    <cfRule type="colorScale" priority="15156">
      <colorScale>
        <cfvo type="min"/>
        <cfvo type="max"/>
        <color rgb="FFFFEF9C"/>
        <color rgb="FF63BE7B"/>
      </colorScale>
    </cfRule>
  </conditionalFormatting>
  <conditionalFormatting sqref="S1464:S1480">
    <cfRule type="containsText" dxfId="2093" priority="15148" operator="containsText" text="Short Buildup">
      <formula>NOT(ISERROR(SEARCH("Short Buildup",S1464)))</formula>
    </cfRule>
    <cfRule type="containsText" dxfId="2092" priority="15149" operator="containsText" text="Long Liquidation">
      <formula>NOT(ISERROR(SEARCH("Long Liquidation",S1464)))</formula>
    </cfRule>
    <cfRule type="containsText" dxfId="2091" priority="15150" operator="containsText" text="Short covering">
      <formula>NOT(ISERROR(SEARCH("Short covering",S1464)))</formula>
    </cfRule>
    <cfRule type="containsText" dxfId="2090" priority="15151" operator="containsText" text="Long Buildup">
      <formula>NOT(ISERROR(SEARCH("Long Buildup",S1464)))</formula>
    </cfRule>
  </conditionalFormatting>
  <conditionalFormatting sqref="R1481:R1497 D1481:D1496 C1497">
    <cfRule type="containsText" dxfId="2089" priority="15134" operator="containsText" text="DOWN">
      <formula>NOT(ISERROR(SEARCH("DOWN",C1481)))</formula>
    </cfRule>
  </conditionalFormatting>
  <conditionalFormatting sqref="R1481:R1497 D1481:D1496 C1497">
    <cfRule type="containsText" dxfId="2088" priority="15133" operator="containsText" text="UP">
      <formula>NOT(ISERROR(SEARCH("UP",C1481)))</formula>
    </cfRule>
  </conditionalFormatting>
  <conditionalFormatting sqref="I1481:I1497">
    <cfRule type="colorScale" priority="15135">
      <colorScale>
        <cfvo type="min"/>
        <cfvo type="max"/>
        <color rgb="FFFFEF9C"/>
        <color rgb="FF63BE7B"/>
      </colorScale>
    </cfRule>
  </conditionalFormatting>
  <conditionalFormatting sqref="M1481:M1497">
    <cfRule type="colorScale" priority="15136">
      <colorScale>
        <cfvo type="min"/>
        <cfvo type="max"/>
        <color rgb="FFFF7128"/>
        <color rgb="FFFFEF9C"/>
      </colorScale>
    </cfRule>
  </conditionalFormatting>
  <conditionalFormatting sqref="Q1481:Q1497">
    <cfRule type="dataBar" priority="15137">
      <dataBar>
        <cfvo type="min"/>
        <cfvo type="max"/>
        <color rgb="FFFF555A"/>
      </dataBar>
    </cfRule>
  </conditionalFormatting>
  <conditionalFormatting sqref="E1481:E1497">
    <cfRule type="dataBar" priority="15138">
      <dataBar>
        <cfvo type="min"/>
        <cfvo type="max"/>
        <color rgb="FFFF555A"/>
      </dataBar>
    </cfRule>
  </conditionalFormatting>
  <conditionalFormatting sqref="F1481:F1497">
    <cfRule type="top10" dxfId="2087" priority="15139" rank="1"/>
  </conditionalFormatting>
  <conditionalFormatting sqref="P1481:P1496">
    <cfRule type="top10" dxfId="2086" priority="15140" rank="1"/>
  </conditionalFormatting>
  <conditionalFormatting sqref="G1481:G1497 O1481:O1496 P1497">
    <cfRule type="cellIs" dxfId="2085" priority="15141" operator="equal">
      <formula>$G$135</formula>
    </cfRule>
  </conditionalFormatting>
  <conditionalFormatting sqref="O1481:O1496 P1497">
    <cfRule type="cellIs" dxfId="2084" priority="15142" operator="equal">
      <formula>$J$135</formula>
    </cfRule>
  </conditionalFormatting>
  <conditionalFormatting sqref="G1481:G1497 O1481:O1496 P1497">
    <cfRule type="cellIs" dxfId="2083" priority="15143" operator="equal">
      <formula>#REF!</formula>
    </cfRule>
  </conditionalFormatting>
  <conditionalFormatting sqref="G1481:G1497">
    <cfRule type="top10" dxfId="2082" priority="15144" rank="1"/>
    <cfRule type="cellIs" dxfId="2081" priority="15145" operator="equal">
      <formula>$G$133</formula>
    </cfRule>
  </conditionalFormatting>
  <conditionalFormatting sqref="O1481:O1496 P1497">
    <cfRule type="top10" dxfId="2080" priority="15146" rank="1"/>
    <cfRule type="cellIs" dxfId="2079" priority="15147" operator="equal">
      <formula>$G$133</formula>
    </cfRule>
  </conditionalFormatting>
  <conditionalFormatting sqref="C1481:C1496">
    <cfRule type="containsText" dxfId="2078" priority="15129" operator="containsText" text="Short Buildup">
      <formula>NOT(ISERROR(SEARCH("Short Buildup",C1481)))</formula>
    </cfRule>
    <cfRule type="containsText" dxfId="2077" priority="15130" operator="containsText" text="Long Liquidation">
      <formula>NOT(ISERROR(SEARCH("Long Liquidation",C1481)))</formula>
    </cfRule>
    <cfRule type="containsText" dxfId="2076" priority="15131" operator="containsText" text="Short covering">
      <formula>NOT(ISERROR(SEARCH("Short covering",C1481)))</formula>
    </cfRule>
    <cfRule type="containsText" dxfId="2075" priority="15132" operator="containsText" text="Long Buildup">
      <formula>NOT(ISERROR(SEARCH("Long Buildup",C1481)))</formula>
    </cfRule>
  </conditionalFormatting>
  <conditionalFormatting sqref="H1481:H1497">
    <cfRule type="colorScale" priority="15124">
      <colorScale>
        <cfvo type="min"/>
        <cfvo type="percentile" val="20"/>
        <cfvo type="max"/>
        <color rgb="FF92D050"/>
        <color theme="5" tint="0.79998168889431442"/>
        <color rgb="FFFF0000"/>
      </colorScale>
    </cfRule>
    <cfRule type="colorScale" priority="15125">
      <colorScale>
        <cfvo type="min"/>
        <cfvo type="max"/>
        <color rgb="FFFF0000"/>
        <color rgb="FF92D050"/>
      </colorScale>
    </cfRule>
    <cfRule type="colorScale" priority="15126">
      <colorScale>
        <cfvo type="min"/>
        <cfvo type="percentile" val="50"/>
        <cfvo type="max"/>
        <color rgb="FF5A8AC6"/>
        <color rgb="FFFCFCFF"/>
        <color rgb="FFF8696B"/>
      </colorScale>
    </cfRule>
    <cfRule type="colorScale" priority="15127">
      <colorScale>
        <cfvo type="formula" val="&quot;&gt;20&quot;"/>
        <cfvo type="formula" val="35"/>
        <color rgb="FFF8696B"/>
        <color rgb="FFFCFCFF"/>
      </colorScale>
    </cfRule>
    <cfRule type="colorScale" priority="15128">
      <colorScale>
        <cfvo type="min"/>
        <cfvo type="max"/>
        <color rgb="FFFFEF9C"/>
        <color rgb="FF63BE7B"/>
      </colorScale>
    </cfRule>
  </conditionalFormatting>
  <conditionalFormatting sqref="N1481:N1497">
    <cfRule type="colorScale" priority="15119">
      <colorScale>
        <cfvo type="min"/>
        <cfvo type="percentile" val="20"/>
        <cfvo type="max"/>
        <color rgb="FF92D050"/>
        <color theme="5" tint="0.79998168889431442"/>
        <color rgb="FFFF0000"/>
      </colorScale>
    </cfRule>
    <cfRule type="colorScale" priority="15120">
      <colorScale>
        <cfvo type="min"/>
        <cfvo type="max"/>
        <color rgb="FFFF0000"/>
        <color rgb="FF92D050"/>
      </colorScale>
    </cfRule>
    <cfRule type="colorScale" priority="15121">
      <colorScale>
        <cfvo type="min"/>
        <cfvo type="percentile" val="50"/>
        <cfvo type="max"/>
        <color rgb="FF5A8AC6"/>
        <color rgb="FFFCFCFF"/>
        <color rgb="FFF8696B"/>
      </colorScale>
    </cfRule>
    <cfRule type="colorScale" priority="15122">
      <colorScale>
        <cfvo type="formula" val="&quot;&gt;20&quot;"/>
        <cfvo type="formula" val="35"/>
        <color rgb="FFF8696B"/>
        <color rgb="FFFCFCFF"/>
      </colorScale>
    </cfRule>
    <cfRule type="colorScale" priority="15123">
      <colorScale>
        <cfvo type="min"/>
        <cfvo type="max"/>
        <color rgb="FFFFEF9C"/>
        <color rgb="FF63BE7B"/>
      </colorScale>
    </cfRule>
  </conditionalFormatting>
  <conditionalFormatting sqref="S1481:S1497">
    <cfRule type="containsText" dxfId="2074" priority="15115" operator="containsText" text="Short Buildup">
      <formula>NOT(ISERROR(SEARCH("Short Buildup",S1481)))</formula>
    </cfRule>
    <cfRule type="containsText" dxfId="2073" priority="15116" operator="containsText" text="Long Liquidation">
      <formula>NOT(ISERROR(SEARCH("Long Liquidation",S1481)))</formula>
    </cfRule>
    <cfRule type="containsText" dxfId="2072" priority="15117" operator="containsText" text="Short covering">
      <formula>NOT(ISERROR(SEARCH("Short covering",S1481)))</formula>
    </cfRule>
    <cfRule type="containsText" dxfId="2071" priority="15118" operator="containsText" text="Long Buildup">
      <formula>NOT(ISERROR(SEARCH("Long Buildup",S1481)))</formula>
    </cfRule>
  </conditionalFormatting>
  <conditionalFormatting sqref="R1498:R1514 D1498:D1513 C1514">
    <cfRule type="containsText" dxfId="2070" priority="15101" operator="containsText" text="DOWN">
      <formula>NOT(ISERROR(SEARCH("DOWN",C1498)))</formula>
    </cfRule>
  </conditionalFormatting>
  <conditionalFormatting sqref="R1498:R1514 D1498:D1513 C1514">
    <cfRule type="containsText" dxfId="2069" priority="15100" operator="containsText" text="UP">
      <formula>NOT(ISERROR(SEARCH("UP",C1498)))</formula>
    </cfRule>
  </conditionalFormatting>
  <conditionalFormatting sqref="I1498:I1514">
    <cfRule type="colorScale" priority="15102">
      <colorScale>
        <cfvo type="min"/>
        <cfvo type="max"/>
        <color rgb="FFFFEF9C"/>
        <color rgb="FF63BE7B"/>
      </colorScale>
    </cfRule>
  </conditionalFormatting>
  <conditionalFormatting sqref="M1498:M1514">
    <cfRule type="colorScale" priority="15103">
      <colorScale>
        <cfvo type="min"/>
        <cfvo type="max"/>
        <color rgb="FFFF7128"/>
        <color rgb="FFFFEF9C"/>
      </colorScale>
    </cfRule>
  </conditionalFormatting>
  <conditionalFormatting sqref="Q1498:Q1514">
    <cfRule type="dataBar" priority="15104">
      <dataBar>
        <cfvo type="min"/>
        <cfvo type="max"/>
        <color rgb="FFFF555A"/>
      </dataBar>
    </cfRule>
  </conditionalFormatting>
  <conditionalFormatting sqref="E1498:E1514">
    <cfRule type="dataBar" priority="15105">
      <dataBar>
        <cfvo type="min"/>
        <cfvo type="max"/>
        <color rgb="FFFF555A"/>
      </dataBar>
    </cfRule>
  </conditionalFormatting>
  <conditionalFormatting sqref="F1498:F1514">
    <cfRule type="top10" dxfId="2068" priority="15106" rank="1"/>
  </conditionalFormatting>
  <conditionalFormatting sqref="P1498:P1513">
    <cfRule type="top10" dxfId="2067" priority="15107" rank="1"/>
  </conditionalFormatting>
  <conditionalFormatting sqref="G1498:G1514 O1498:O1513 P1514">
    <cfRule type="cellIs" dxfId="2066" priority="15108" operator="equal">
      <formula>$G$135</formula>
    </cfRule>
  </conditionalFormatting>
  <conditionalFormatting sqref="O1498:O1513 P1514">
    <cfRule type="cellIs" dxfId="2065" priority="15109" operator="equal">
      <formula>$J$135</formula>
    </cfRule>
  </conditionalFormatting>
  <conditionalFormatting sqref="G1498:G1514 O1498:O1513 P1514">
    <cfRule type="cellIs" dxfId="2064" priority="15110" operator="equal">
      <formula>#REF!</formula>
    </cfRule>
  </conditionalFormatting>
  <conditionalFormatting sqref="G1498:G1514">
    <cfRule type="top10" dxfId="2063" priority="15111" rank="1"/>
    <cfRule type="cellIs" dxfId="2062" priority="15112" operator="equal">
      <formula>$G$133</formula>
    </cfRule>
  </conditionalFormatting>
  <conditionalFormatting sqref="O1498:O1513 P1514">
    <cfRule type="top10" dxfId="2061" priority="15113" rank="1"/>
    <cfRule type="cellIs" dxfId="2060" priority="15114" operator="equal">
      <formula>$G$133</formula>
    </cfRule>
  </conditionalFormatting>
  <conditionalFormatting sqref="C1498:C1513">
    <cfRule type="containsText" dxfId="2059" priority="15096" operator="containsText" text="Short Buildup">
      <formula>NOT(ISERROR(SEARCH("Short Buildup",C1498)))</formula>
    </cfRule>
    <cfRule type="containsText" dxfId="2058" priority="15097" operator="containsText" text="Long Liquidation">
      <formula>NOT(ISERROR(SEARCH("Long Liquidation",C1498)))</formula>
    </cfRule>
    <cfRule type="containsText" dxfId="2057" priority="15098" operator="containsText" text="Short covering">
      <formula>NOT(ISERROR(SEARCH("Short covering",C1498)))</formula>
    </cfRule>
    <cfRule type="containsText" dxfId="2056" priority="15099" operator="containsText" text="Long Buildup">
      <formula>NOT(ISERROR(SEARCH("Long Buildup",C1498)))</formula>
    </cfRule>
  </conditionalFormatting>
  <conditionalFormatting sqref="H1498:H1514">
    <cfRule type="colorScale" priority="15091">
      <colorScale>
        <cfvo type="min"/>
        <cfvo type="percentile" val="20"/>
        <cfvo type="max"/>
        <color rgb="FF92D050"/>
        <color theme="5" tint="0.79998168889431442"/>
        <color rgb="FFFF0000"/>
      </colorScale>
    </cfRule>
    <cfRule type="colorScale" priority="15092">
      <colorScale>
        <cfvo type="min"/>
        <cfvo type="max"/>
        <color rgb="FFFF0000"/>
        <color rgb="FF92D050"/>
      </colorScale>
    </cfRule>
    <cfRule type="colorScale" priority="15093">
      <colorScale>
        <cfvo type="min"/>
        <cfvo type="percentile" val="50"/>
        <cfvo type="max"/>
        <color rgb="FF5A8AC6"/>
        <color rgb="FFFCFCFF"/>
        <color rgb="FFF8696B"/>
      </colorScale>
    </cfRule>
    <cfRule type="colorScale" priority="15094">
      <colorScale>
        <cfvo type="formula" val="&quot;&gt;20&quot;"/>
        <cfvo type="formula" val="35"/>
        <color rgb="FFF8696B"/>
        <color rgb="FFFCFCFF"/>
      </colorScale>
    </cfRule>
    <cfRule type="colorScale" priority="15095">
      <colorScale>
        <cfvo type="min"/>
        <cfvo type="max"/>
        <color rgb="FFFFEF9C"/>
        <color rgb="FF63BE7B"/>
      </colorScale>
    </cfRule>
  </conditionalFormatting>
  <conditionalFormatting sqref="N1498:N1514">
    <cfRule type="colorScale" priority="15086">
      <colorScale>
        <cfvo type="min"/>
        <cfvo type="percentile" val="20"/>
        <cfvo type="max"/>
        <color rgb="FF92D050"/>
        <color theme="5" tint="0.79998168889431442"/>
        <color rgb="FFFF0000"/>
      </colorScale>
    </cfRule>
    <cfRule type="colorScale" priority="15087">
      <colorScale>
        <cfvo type="min"/>
        <cfvo type="max"/>
        <color rgb="FFFF0000"/>
        <color rgb="FF92D050"/>
      </colorScale>
    </cfRule>
    <cfRule type="colorScale" priority="15088">
      <colorScale>
        <cfvo type="min"/>
        <cfvo type="percentile" val="50"/>
        <cfvo type="max"/>
        <color rgb="FF5A8AC6"/>
        <color rgb="FFFCFCFF"/>
        <color rgb="FFF8696B"/>
      </colorScale>
    </cfRule>
    <cfRule type="colorScale" priority="15089">
      <colorScale>
        <cfvo type="formula" val="&quot;&gt;20&quot;"/>
        <cfvo type="formula" val="35"/>
        <color rgb="FFF8696B"/>
        <color rgb="FFFCFCFF"/>
      </colorScale>
    </cfRule>
    <cfRule type="colorScale" priority="15090">
      <colorScale>
        <cfvo type="min"/>
        <cfvo type="max"/>
        <color rgb="FFFFEF9C"/>
        <color rgb="FF63BE7B"/>
      </colorScale>
    </cfRule>
  </conditionalFormatting>
  <conditionalFormatting sqref="S1498:S1514">
    <cfRule type="containsText" dxfId="2055" priority="15082" operator="containsText" text="Short Buildup">
      <formula>NOT(ISERROR(SEARCH("Short Buildup",S1498)))</formula>
    </cfRule>
    <cfRule type="containsText" dxfId="2054" priority="15083" operator="containsText" text="Long Liquidation">
      <formula>NOT(ISERROR(SEARCH("Long Liquidation",S1498)))</formula>
    </cfRule>
    <cfRule type="containsText" dxfId="2053" priority="15084" operator="containsText" text="Short covering">
      <formula>NOT(ISERROR(SEARCH("Short covering",S1498)))</formula>
    </cfRule>
    <cfRule type="containsText" dxfId="2052" priority="15085" operator="containsText" text="Long Buildup">
      <formula>NOT(ISERROR(SEARCH("Long Buildup",S1498)))</formula>
    </cfRule>
  </conditionalFormatting>
  <conditionalFormatting sqref="R937:R953 D937:D952 C953">
    <cfRule type="containsText" dxfId="2051" priority="12065" operator="containsText" text="DOWN">
      <formula>NOT(ISERROR(SEARCH("DOWN",C937)))</formula>
    </cfRule>
  </conditionalFormatting>
  <conditionalFormatting sqref="R937:R953 D937:D952 C953">
    <cfRule type="containsText" dxfId="2050" priority="12064" operator="containsText" text="UP">
      <formula>NOT(ISERROR(SEARCH("UP",C937)))</formula>
    </cfRule>
  </conditionalFormatting>
  <conditionalFormatting sqref="I937:I953">
    <cfRule type="colorScale" priority="12066">
      <colorScale>
        <cfvo type="min"/>
        <cfvo type="max"/>
        <color rgb="FFFFEF9C"/>
        <color rgb="FF63BE7B"/>
      </colorScale>
    </cfRule>
  </conditionalFormatting>
  <conditionalFormatting sqref="M937:M953">
    <cfRule type="colorScale" priority="12067">
      <colorScale>
        <cfvo type="min"/>
        <cfvo type="max"/>
        <color rgb="FFFF7128"/>
        <color rgb="FFFFEF9C"/>
      </colorScale>
    </cfRule>
  </conditionalFormatting>
  <conditionalFormatting sqref="Q937:Q953">
    <cfRule type="dataBar" priority="12068">
      <dataBar>
        <cfvo type="min"/>
        <cfvo type="max"/>
        <color rgb="FFFF555A"/>
      </dataBar>
    </cfRule>
  </conditionalFormatting>
  <conditionalFormatting sqref="E937:E953">
    <cfRule type="dataBar" priority="12069">
      <dataBar>
        <cfvo type="min"/>
        <cfvo type="max"/>
        <color rgb="FFFF555A"/>
      </dataBar>
    </cfRule>
  </conditionalFormatting>
  <conditionalFormatting sqref="F937:F953">
    <cfRule type="top10" dxfId="2049" priority="12070" rank="1"/>
  </conditionalFormatting>
  <conditionalFormatting sqref="P937:P952">
    <cfRule type="top10" dxfId="2048" priority="12071" rank="1"/>
  </conditionalFormatting>
  <conditionalFormatting sqref="G937:G953 O937:O952 P953">
    <cfRule type="cellIs" dxfId="2047" priority="12072" operator="equal">
      <formula>$G$135</formula>
    </cfRule>
  </conditionalFormatting>
  <conditionalFormatting sqref="O937:O952 P953">
    <cfRule type="cellIs" dxfId="2046" priority="12073" operator="equal">
      <formula>$J$135</formula>
    </cfRule>
  </conditionalFormatting>
  <conditionalFormatting sqref="G937:G953 O937:O952 P953">
    <cfRule type="cellIs" dxfId="2045" priority="12074" operator="equal">
      <formula>#REF!</formula>
    </cfRule>
  </conditionalFormatting>
  <conditionalFormatting sqref="G937:G953">
    <cfRule type="top10" dxfId="2044" priority="12075" rank="1"/>
    <cfRule type="cellIs" dxfId="2043" priority="12076" operator="equal">
      <formula>$G$133</formula>
    </cfRule>
  </conditionalFormatting>
  <conditionalFormatting sqref="O937:O952 P953">
    <cfRule type="top10" dxfId="2042" priority="12077" rank="1"/>
    <cfRule type="cellIs" dxfId="2041" priority="12078" operator="equal">
      <formula>$G$133</formula>
    </cfRule>
  </conditionalFormatting>
  <conditionalFormatting sqref="C937:C952">
    <cfRule type="containsText" dxfId="2040" priority="12060" operator="containsText" text="Short Buildup">
      <formula>NOT(ISERROR(SEARCH("Short Buildup",C937)))</formula>
    </cfRule>
    <cfRule type="containsText" dxfId="2039" priority="12061" operator="containsText" text="Long Liquidation">
      <formula>NOT(ISERROR(SEARCH("Long Liquidation",C937)))</formula>
    </cfRule>
    <cfRule type="containsText" dxfId="2038" priority="12062" operator="containsText" text="Short covering">
      <formula>NOT(ISERROR(SEARCH("Short covering",C937)))</formula>
    </cfRule>
    <cfRule type="containsText" dxfId="2037" priority="12063" operator="containsText" text="Long Buildup">
      <formula>NOT(ISERROR(SEARCH("Long Buildup",C937)))</formula>
    </cfRule>
  </conditionalFormatting>
  <conditionalFormatting sqref="H937:H953">
    <cfRule type="colorScale" priority="12055">
      <colorScale>
        <cfvo type="min"/>
        <cfvo type="percentile" val="20"/>
        <cfvo type="max"/>
        <color rgb="FF92D050"/>
        <color theme="5" tint="0.79998168889431442"/>
        <color rgb="FFFF0000"/>
      </colorScale>
    </cfRule>
    <cfRule type="colorScale" priority="12056">
      <colorScale>
        <cfvo type="min"/>
        <cfvo type="max"/>
        <color rgb="FFFF0000"/>
        <color rgb="FF92D050"/>
      </colorScale>
    </cfRule>
    <cfRule type="colorScale" priority="12057">
      <colorScale>
        <cfvo type="min"/>
        <cfvo type="percentile" val="50"/>
        <cfvo type="max"/>
        <color rgb="FF5A8AC6"/>
        <color rgb="FFFCFCFF"/>
        <color rgb="FFF8696B"/>
      </colorScale>
    </cfRule>
    <cfRule type="colorScale" priority="12058">
      <colorScale>
        <cfvo type="formula" val="&quot;&gt;20&quot;"/>
        <cfvo type="formula" val="35"/>
        <color rgb="FFF8696B"/>
        <color rgb="FFFCFCFF"/>
      </colorScale>
    </cfRule>
    <cfRule type="colorScale" priority="12059">
      <colorScale>
        <cfvo type="min"/>
        <cfvo type="max"/>
        <color rgb="FFFFEF9C"/>
        <color rgb="FF63BE7B"/>
      </colorScale>
    </cfRule>
  </conditionalFormatting>
  <conditionalFormatting sqref="N937:N953">
    <cfRule type="colorScale" priority="12050">
      <colorScale>
        <cfvo type="min"/>
        <cfvo type="percentile" val="20"/>
        <cfvo type="max"/>
        <color rgb="FF92D050"/>
        <color theme="5" tint="0.79998168889431442"/>
        <color rgb="FFFF0000"/>
      </colorScale>
    </cfRule>
    <cfRule type="colorScale" priority="12051">
      <colorScale>
        <cfvo type="min"/>
        <cfvo type="max"/>
        <color rgb="FFFF0000"/>
        <color rgb="FF92D050"/>
      </colorScale>
    </cfRule>
    <cfRule type="colorScale" priority="12052">
      <colorScale>
        <cfvo type="min"/>
        <cfvo type="percentile" val="50"/>
        <cfvo type="max"/>
        <color rgb="FF5A8AC6"/>
        <color rgb="FFFCFCFF"/>
        <color rgb="FFF8696B"/>
      </colorScale>
    </cfRule>
    <cfRule type="colorScale" priority="12053">
      <colorScale>
        <cfvo type="formula" val="&quot;&gt;20&quot;"/>
        <cfvo type="formula" val="35"/>
        <color rgb="FFF8696B"/>
        <color rgb="FFFCFCFF"/>
      </colorScale>
    </cfRule>
    <cfRule type="colorScale" priority="12054">
      <colorScale>
        <cfvo type="min"/>
        <cfvo type="max"/>
        <color rgb="FFFFEF9C"/>
        <color rgb="FF63BE7B"/>
      </colorScale>
    </cfRule>
  </conditionalFormatting>
  <conditionalFormatting sqref="S937:S953">
    <cfRule type="containsText" dxfId="2036" priority="12046" operator="containsText" text="Short Buildup">
      <formula>NOT(ISERROR(SEARCH("Short Buildup",S937)))</formula>
    </cfRule>
    <cfRule type="containsText" dxfId="2035" priority="12047" operator="containsText" text="Long Liquidation">
      <formula>NOT(ISERROR(SEARCH("Long Liquidation",S937)))</formula>
    </cfRule>
    <cfRule type="containsText" dxfId="2034" priority="12048" operator="containsText" text="Short covering">
      <formula>NOT(ISERROR(SEARCH("Short covering",S937)))</formula>
    </cfRule>
    <cfRule type="containsText" dxfId="2033" priority="12049" operator="containsText" text="Long Buildup">
      <formula>NOT(ISERROR(SEARCH("Long Buildup",S937)))</formula>
    </cfRule>
  </conditionalFormatting>
  <conditionalFormatting sqref="R954:R970 D954:D969 C970">
    <cfRule type="containsText" dxfId="2032" priority="12032" operator="containsText" text="DOWN">
      <formula>NOT(ISERROR(SEARCH("DOWN",C954)))</formula>
    </cfRule>
  </conditionalFormatting>
  <conditionalFormatting sqref="R954:R970 D954:D969 C970">
    <cfRule type="containsText" dxfId="2031" priority="12031" operator="containsText" text="UP">
      <formula>NOT(ISERROR(SEARCH("UP",C954)))</formula>
    </cfRule>
  </conditionalFormatting>
  <conditionalFormatting sqref="I954:I970">
    <cfRule type="colorScale" priority="12033">
      <colorScale>
        <cfvo type="min"/>
        <cfvo type="max"/>
        <color rgb="FFFFEF9C"/>
        <color rgb="FF63BE7B"/>
      </colorScale>
    </cfRule>
  </conditionalFormatting>
  <conditionalFormatting sqref="M954:M970">
    <cfRule type="colorScale" priority="12034">
      <colorScale>
        <cfvo type="min"/>
        <cfvo type="max"/>
        <color rgb="FFFF7128"/>
        <color rgb="FFFFEF9C"/>
      </colorScale>
    </cfRule>
  </conditionalFormatting>
  <conditionalFormatting sqref="Q954:Q970">
    <cfRule type="dataBar" priority="12035">
      <dataBar>
        <cfvo type="min"/>
        <cfvo type="max"/>
        <color rgb="FFFF555A"/>
      </dataBar>
    </cfRule>
  </conditionalFormatting>
  <conditionalFormatting sqref="E954:E970">
    <cfRule type="dataBar" priority="12036">
      <dataBar>
        <cfvo type="min"/>
        <cfvo type="max"/>
        <color rgb="FFFF555A"/>
      </dataBar>
    </cfRule>
  </conditionalFormatting>
  <conditionalFormatting sqref="F954:F970">
    <cfRule type="top10" dxfId="2030" priority="12037" rank="1"/>
  </conditionalFormatting>
  <conditionalFormatting sqref="P954:P969">
    <cfRule type="top10" dxfId="2029" priority="12038" rank="1"/>
  </conditionalFormatting>
  <conditionalFormatting sqref="G954:G970 O954:O969 P970">
    <cfRule type="cellIs" dxfId="2028" priority="12039" operator="equal">
      <formula>$G$135</formula>
    </cfRule>
  </conditionalFormatting>
  <conditionalFormatting sqref="O954:O969 P970">
    <cfRule type="cellIs" dxfId="2027" priority="12040" operator="equal">
      <formula>$J$135</formula>
    </cfRule>
  </conditionalFormatting>
  <conditionalFormatting sqref="G954:G970 O954:O969 P970">
    <cfRule type="cellIs" dxfId="2026" priority="12041" operator="equal">
      <formula>#REF!</formula>
    </cfRule>
  </conditionalFormatting>
  <conditionalFormatting sqref="G954:G970">
    <cfRule type="top10" dxfId="2025" priority="12042" rank="1"/>
    <cfRule type="cellIs" dxfId="2024" priority="12043" operator="equal">
      <formula>$G$133</formula>
    </cfRule>
  </conditionalFormatting>
  <conditionalFormatting sqref="O954:O969 P970">
    <cfRule type="top10" dxfId="2023" priority="12044" rank="1"/>
    <cfRule type="cellIs" dxfId="2022" priority="12045" operator="equal">
      <formula>$G$133</formula>
    </cfRule>
  </conditionalFormatting>
  <conditionalFormatting sqref="C954:C969">
    <cfRule type="containsText" dxfId="2021" priority="12027" operator="containsText" text="Short Buildup">
      <formula>NOT(ISERROR(SEARCH("Short Buildup",C954)))</formula>
    </cfRule>
    <cfRule type="containsText" dxfId="2020" priority="12028" operator="containsText" text="Long Liquidation">
      <formula>NOT(ISERROR(SEARCH("Long Liquidation",C954)))</formula>
    </cfRule>
    <cfRule type="containsText" dxfId="2019" priority="12029" operator="containsText" text="Short covering">
      <formula>NOT(ISERROR(SEARCH("Short covering",C954)))</formula>
    </cfRule>
    <cfRule type="containsText" dxfId="2018" priority="12030" operator="containsText" text="Long Buildup">
      <formula>NOT(ISERROR(SEARCH("Long Buildup",C954)))</formula>
    </cfRule>
  </conditionalFormatting>
  <conditionalFormatting sqref="H954:H970">
    <cfRule type="colorScale" priority="12022">
      <colorScale>
        <cfvo type="min"/>
        <cfvo type="percentile" val="20"/>
        <cfvo type="max"/>
        <color rgb="FF92D050"/>
        <color theme="5" tint="0.79998168889431442"/>
        <color rgb="FFFF0000"/>
      </colorScale>
    </cfRule>
    <cfRule type="colorScale" priority="12023">
      <colorScale>
        <cfvo type="min"/>
        <cfvo type="max"/>
        <color rgb="FFFF0000"/>
        <color rgb="FF92D050"/>
      </colorScale>
    </cfRule>
    <cfRule type="colorScale" priority="12024">
      <colorScale>
        <cfvo type="min"/>
        <cfvo type="percentile" val="50"/>
        <cfvo type="max"/>
        <color rgb="FF5A8AC6"/>
        <color rgb="FFFCFCFF"/>
        <color rgb="FFF8696B"/>
      </colorScale>
    </cfRule>
    <cfRule type="colorScale" priority="12025">
      <colorScale>
        <cfvo type="formula" val="&quot;&gt;20&quot;"/>
        <cfvo type="formula" val="35"/>
        <color rgb="FFF8696B"/>
        <color rgb="FFFCFCFF"/>
      </colorScale>
    </cfRule>
    <cfRule type="colorScale" priority="12026">
      <colorScale>
        <cfvo type="min"/>
        <cfvo type="max"/>
        <color rgb="FFFFEF9C"/>
        <color rgb="FF63BE7B"/>
      </colorScale>
    </cfRule>
  </conditionalFormatting>
  <conditionalFormatting sqref="N954:N970">
    <cfRule type="colorScale" priority="12017">
      <colorScale>
        <cfvo type="min"/>
        <cfvo type="percentile" val="20"/>
        <cfvo type="max"/>
        <color rgb="FF92D050"/>
        <color theme="5" tint="0.79998168889431442"/>
        <color rgb="FFFF0000"/>
      </colorScale>
    </cfRule>
    <cfRule type="colorScale" priority="12018">
      <colorScale>
        <cfvo type="min"/>
        <cfvo type="max"/>
        <color rgb="FFFF0000"/>
        <color rgb="FF92D050"/>
      </colorScale>
    </cfRule>
    <cfRule type="colorScale" priority="12019">
      <colorScale>
        <cfvo type="min"/>
        <cfvo type="percentile" val="50"/>
        <cfvo type="max"/>
        <color rgb="FF5A8AC6"/>
        <color rgb="FFFCFCFF"/>
        <color rgb="FFF8696B"/>
      </colorScale>
    </cfRule>
    <cfRule type="colorScale" priority="12020">
      <colorScale>
        <cfvo type="formula" val="&quot;&gt;20&quot;"/>
        <cfvo type="formula" val="35"/>
        <color rgb="FFF8696B"/>
        <color rgb="FFFCFCFF"/>
      </colorScale>
    </cfRule>
    <cfRule type="colorScale" priority="12021">
      <colorScale>
        <cfvo type="min"/>
        <cfvo type="max"/>
        <color rgb="FFFFEF9C"/>
        <color rgb="FF63BE7B"/>
      </colorScale>
    </cfRule>
  </conditionalFormatting>
  <conditionalFormatting sqref="S954:S970">
    <cfRule type="containsText" dxfId="2017" priority="12013" operator="containsText" text="Short Buildup">
      <formula>NOT(ISERROR(SEARCH("Short Buildup",S954)))</formula>
    </cfRule>
    <cfRule type="containsText" dxfId="2016" priority="12014" operator="containsText" text="Long Liquidation">
      <formula>NOT(ISERROR(SEARCH("Long Liquidation",S954)))</formula>
    </cfRule>
    <cfRule type="containsText" dxfId="2015" priority="12015" operator="containsText" text="Short covering">
      <formula>NOT(ISERROR(SEARCH("Short covering",S954)))</formula>
    </cfRule>
    <cfRule type="containsText" dxfId="2014" priority="12016" operator="containsText" text="Long Buildup">
      <formula>NOT(ISERROR(SEARCH("Long Buildup",S954)))</formula>
    </cfRule>
  </conditionalFormatting>
  <conditionalFormatting sqref="R971:R987 D971:D986 C987">
    <cfRule type="containsText" dxfId="2013" priority="11999" operator="containsText" text="DOWN">
      <formula>NOT(ISERROR(SEARCH("DOWN",C971)))</formula>
    </cfRule>
  </conditionalFormatting>
  <conditionalFormatting sqref="R971:R987 D971:D986 C987">
    <cfRule type="containsText" dxfId="2012" priority="11998" operator="containsText" text="UP">
      <formula>NOT(ISERROR(SEARCH("UP",C971)))</formula>
    </cfRule>
  </conditionalFormatting>
  <conditionalFormatting sqref="I971:I987">
    <cfRule type="colorScale" priority="12000">
      <colorScale>
        <cfvo type="min"/>
        <cfvo type="max"/>
        <color rgb="FFFFEF9C"/>
        <color rgb="FF63BE7B"/>
      </colorScale>
    </cfRule>
  </conditionalFormatting>
  <conditionalFormatting sqref="M971:M987">
    <cfRule type="colorScale" priority="12001">
      <colorScale>
        <cfvo type="min"/>
        <cfvo type="max"/>
        <color rgb="FFFF7128"/>
        <color rgb="FFFFEF9C"/>
      </colorScale>
    </cfRule>
  </conditionalFormatting>
  <conditionalFormatting sqref="Q971:Q987">
    <cfRule type="dataBar" priority="12002">
      <dataBar>
        <cfvo type="min"/>
        <cfvo type="max"/>
        <color rgb="FFFF555A"/>
      </dataBar>
    </cfRule>
  </conditionalFormatting>
  <conditionalFormatting sqref="E971:E987">
    <cfRule type="dataBar" priority="12003">
      <dataBar>
        <cfvo type="min"/>
        <cfvo type="max"/>
        <color rgb="FFFF555A"/>
      </dataBar>
    </cfRule>
  </conditionalFormatting>
  <conditionalFormatting sqref="F971:F987">
    <cfRule type="top10" dxfId="2011" priority="12004" rank="1"/>
  </conditionalFormatting>
  <conditionalFormatting sqref="P971:P986">
    <cfRule type="top10" dxfId="2010" priority="12005" rank="1"/>
  </conditionalFormatting>
  <conditionalFormatting sqref="G971:G987 O971:O986 P987">
    <cfRule type="cellIs" dxfId="2009" priority="12006" operator="equal">
      <formula>$G$135</formula>
    </cfRule>
  </conditionalFormatting>
  <conditionalFormatting sqref="O971:O986 P987">
    <cfRule type="cellIs" dxfId="2008" priority="12007" operator="equal">
      <formula>$J$135</formula>
    </cfRule>
  </conditionalFormatting>
  <conditionalFormatting sqref="G971:G987 O971:O986 P987">
    <cfRule type="cellIs" dxfId="2007" priority="12008" operator="equal">
      <formula>#REF!</formula>
    </cfRule>
  </conditionalFormatting>
  <conditionalFormatting sqref="G971:G987">
    <cfRule type="top10" dxfId="2006" priority="12009" rank="1"/>
    <cfRule type="cellIs" dxfId="2005" priority="12010" operator="equal">
      <formula>$G$133</formula>
    </cfRule>
  </conditionalFormatting>
  <conditionalFormatting sqref="O971:O986 P987">
    <cfRule type="top10" dxfId="2004" priority="12011" rank="1"/>
    <cfRule type="cellIs" dxfId="2003" priority="12012" operator="equal">
      <formula>$G$133</formula>
    </cfRule>
  </conditionalFormatting>
  <conditionalFormatting sqref="C971:C986">
    <cfRule type="containsText" dxfId="2002" priority="11994" operator="containsText" text="Short Buildup">
      <formula>NOT(ISERROR(SEARCH("Short Buildup",C971)))</formula>
    </cfRule>
    <cfRule type="containsText" dxfId="2001" priority="11995" operator="containsText" text="Long Liquidation">
      <formula>NOT(ISERROR(SEARCH("Long Liquidation",C971)))</formula>
    </cfRule>
    <cfRule type="containsText" dxfId="2000" priority="11996" operator="containsText" text="Short covering">
      <formula>NOT(ISERROR(SEARCH("Short covering",C971)))</formula>
    </cfRule>
    <cfRule type="containsText" dxfId="1999" priority="11997" operator="containsText" text="Long Buildup">
      <formula>NOT(ISERROR(SEARCH("Long Buildup",C971)))</formula>
    </cfRule>
  </conditionalFormatting>
  <conditionalFormatting sqref="H971:H987">
    <cfRule type="colorScale" priority="11989">
      <colorScale>
        <cfvo type="min"/>
        <cfvo type="percentile" val="20"/>
        <cfvo type="max"/>
        <color rgb="FF92D050"/>
        <color theme="5" tint="0.79998168889431442"/>
        <color rgb="FFFF0000"/>
      </colorScale>
    </cfRule>
    <cfRule type="colorScale" priority="11990">
      <colorScale>
        <cfvo type="min"/>
        <cfvo type="max"/>
        <color rgb="FFFF0000"/>
        <color rgb="FF92D050"/>
      </colorScale>
    </cfRule>
    <cfRule type="colorScale" priority="11991">
      <colorScale>
        <cfvo type="min"/>
        <cfvo type="percentile" val="50"/>
        <cfvo type="max"/>
        <color rgb="FF5A8AC6"/>
        <color rgb="FFFCFCFF"/>
        <color rgb="FFF8696B"/>
      </colorScale>
    </cfRule>
    <cfRule type="colorScale" priority="11992">
      <colorScale>
        <cfvo type="formula" val="&quot;&gt;20&quot;"/>
        <cfvo type="formula" val="35"/>
        <color rgb="FFF8696B"/>
        <color rgb="FFFCFCFF"/>
      </colorScale>
    </cfRule>
    <cfRule type="colorScale" priority="11993">
      <colorScale>
        <cfvo type="min"/>
        <cfvo type="max"/>
        <color rgb="FFFFEF9C"/>
        <color rgb="FF63BE7B"/>
      </colorScale>
    </cfRule>
  </conditionalFormatting>
  <conditionalFormatting sqref="N971:N987">
    <cfRule type="colorScale" priority="11984">
      <colorScale>
        <cfvo type="min"/>
        <cfvo type="percentile" val="20"/>
        <cfvo type="max"/>
        <color rgb="FF92D050"/>
        <color theme="5" tint="0.79998168889431442"/>
        <color rgb="FFFF0000"/>
      </colorScale>
    </cfRule>
    <cfRule type="colorScale" priority="11985">
      <colorScale>
        <cfvo type="min"/>
        <cfvo type="max"/>
        <color rgb="FFFF0000"/>
        <color rgb="FF92D050"/>
      </colorScale>
    </cfRule>
    <cfRule type="colorScale" priority="11986">
      <colorScale>
        <cfvo type="min"/>
        <cfvo type="percentile" val="50"/>
        <cfvo type="max"/>
        <color rgb="FF5A8AC6"/>
        <color rgb="FFFCFCFF"/>
        <color rgb="FFF8696B"/>
      </colorScale>
    </cfRule>
    <cfRule type="colorScale" priority="11987">
      <colorScale>
        <cfvo type="formula" val="&quot;&gt;20&quot;"/>
        <cfvo type="formula" val="35"/>
        <color rgb="FFF8696B"/>
        <color rgb="FFFCFCFF"/>
      </colorScale>
    </cfRule>
    <cfRule type="colorScale" priority="11988">
      <colorScale>
        <cfvo type="min"/>
        <cfvo type="max"/>
        <color rgb="FFFFEF9C"/>
        <color rgb="FF63BE7B"/>
      </colorScale>
    </cfRule>
  </conditionalFormatting>
  <conditionalFormatting sqref="S971:S987">
    <cfRule type="containsText" dxfId="1998" priority="11980" operator="containsText" text="Short Buildup">
      <formula>NOT(ISERROR(SEARCH("Short Buildup",S971)))</formula>
    </cfRule>
    <cfRule type="containsText" dxfId="1997" priority="11981" operator="containsText" text="Long Liquidation">
      <formula>NOT(ISERROR(SEARCH("Long Liquidation",S971)))</formula>
    </cfRule>
    <cfRule type="containsText" dxfId="1996" priority="11982" operator="containsText" text="Short covering">
      <formula>NOT(ISERROR(SEARCH("Short covering",S971)))</formula>
    </cfRule>
    <cfRule type="containsText" dxfId="1995" priority="11983" operator="containsText" text="Long Buildup">
      <formula>NOT(ISERROR(SEARCH("Long Buildup",S971)))</formula>
    </cfRule>
  </conditionalFormatting>
  <conditionalFormatting sqref="R988:R1004 D988:D1003 C1004">
    <cfRule type="containsText" dxfId="1994" priority="11966" operator="containsText" text="DOWN">
      <formula>NOT(ISERROR(SEARCH("DOWN",C988)))</formula>
    </cfRule>
  </conditionalFormatting>
  <conditionalFormatting sqref="R988:R1004 D988:D1003 C1004">
    <cfRule type="containsText" dxfId="1993" priority="11965" operator="containsText" text="UP">
      <formula>NOT(ISERROR(SEARCH("UP",C988)))</formula>
    </cfRule>
  </conditionalFormatting>
  <conditionalFormatting sqref="I988:I1004">
    <cfRule type="colorScale" priority="11967">
      <colorScale>
        <cfvo type="min"/>
        <cfvo type="max"/>
        <color rgb="FFFFEF9C"/>
        <color rgb="FF63BE7B"/>
      </colorScale>
    </cfRule>
  </conditionalFormatting>
  <conditionalFormatting sqref="M988:M1004">
    <cfRule type="colorScale" priority="11968">
      <colorScale>
        <cfvo type="min"/>
        <cfvo type="max"/>
        <color rgb="FFFF7128"/>
        <color rgb="FFFFEF9C"/>
      </colorScale>
    </cfRule>
  </conditionalFormatting>
  <conditionalFormatting sqref="Q988:Q1004">
    <cfRule type="dataBar" priority="11969">
      <dataBar>
        <cfvo type="min"/>
        <cfvo type="max"/>
        <color rgb="FFFF555A"/>
      </dataBar>
    </cfRule>
  </conditionalFormatting>
  <conditionalFormatting sqref="E988:E1004">
    <cfRule type="dataBar" priority="11970">
      <dataBar>
        <cfvo type="min"/>
        <cfvo type="max"/>
        <color rgb="FFFF555A"/>
      </dataBar>
    </cfRule>
  </conditionalFormatting>
  <conditionalFormatting sqref="F988:F1004">
    <cfRule type="top10" dxfId="1992" priority="11971" rank="1"/>
  </conditionalFormatting>
  <conditionalFormatting sqref="P988:P1003">
    <cfRule type="top10" dxfId="1991" priority="11972" rank="1"/>
  </conditionalFormatting>
  <conditionalFormatting sqref="G988:G1004 O988:O1003 P1004">
    <cfRule type="cellIs" dxfId="1990" priority="11973" operator="equal">
      <formula>$G$135</formula>
    </cfRule>
  </conditionalFormatting>
  <conditionalFormatting sqref="O988:O1003 P1004">
    <cfRule type="cellIs" dxfId="1989" priority="11974" operator="equal">
      <formula>$J$135</formula>
    </cfRule>
  </conditionalFormatting>
  <conditionalFormatting sqref="G988:G1004 O988:O1003 P1004">
    <cfRule type="cellIs" dxfId="1988" priority="11975" operator="equal">
      <formula>#REF!</formula>
    </cfRule>
  </conditionalFormatting>
  <conditionalFormatting sqref="G988:G1004">
    <cfRule type="top10" dxfId="1987" priority="11976" rank="1"/>
    <cfRule type="cellIs" dxfId="1986" priority="11977" operator="equal">
      <formula>$G$133</formula>
    </cfRule>
  </conditionalFormatting>
  <conditionalFormatting sqref="O988:O1003 P1004">
    <cfRule type="top10" dxfId="1985" priority="11978" rank="1"/>
    <cfRule type="cellIs" dxfId="1984" priority="11979" operator="equal">
      <formula>$G$133</formula>
    </cfRule>
  </conditionalFormatting>
  <conditionalFormatting sqref="C988:C1003">
    <cfRule type="containsText" dxfId="1983" priority="11961" operator="containsText" text="Short Buildup">
      <formula>NOT(ISERROR(SEARCH("Short Buildup",C988)))</formula>
    </cfRule>
    <cfRule type="containsText" dxfId="1982" priority="11962" operator="containsText" text="Long Liquidation">
      <formula>NOT(ISERROR(SEARCH("Long Liquidation",C988)))</formula>
    </cfRule>
    <cfRule type="containsText" dxfId="1981" priority="11963" operator="containsText" text="Short covering">
      <formula>NOT(ISERROR(SEARCH("Short covering",C988)))</formula>
    </cfRule>
    <cfRule type="containsText" dxfId="1980" priority="11964" operator="containsText" text="Long Buildup">
      <formula>NOT(ISERROR(SEARCH("Long Buildup",C988)))</formula>
    </cfRule>
  </conditionalFormatting>
  <conditionalFormatting sqref="H988:H1004">
    <cfRule type="colorScale" priority="11956">
      <colorScale>
        <cfvo type="min"/>
        <cfvo type="percentile" val="20"/>
        <cfvo type="max"/>
        <color rgb="FF92D050"/>
        <color theme="5" tint="0.79998168889431442"/>
        <color rgb="FFFF0000"/>
      </colorScale>
    </cfRule>
    <cfRule type="colorScale" priority="11957">
      <colorScale>
        <cfvo type="min"/>
        <cfvo type="max"/>
        <color rgb="FFFF0000"/>
        <color rgb="FF92D050"/>
      </colorScale>
    </cfRule>
    <cfRule type="colorScale" priority="11958">
      <colorScale>
        <cfvo type="min"/>
        <cfvo type="percentile" val="50"/>
        <cfvo type="max"/>
        <color rgb="FF5A8AC6"/>
        <color rgb="FFFCFCFF"/>
        <color rgb="FFF8696B"/>
      </colorScale>
    </cfRule>
    <cfRule type="colorScale" priority="11959">
      <colorScale>
        <cfvo type="formula" val="&quot;&gt;20&quot;"/>
        <cfvo type="formula" val="35"/>
        <color rgb="FFF8696B"/>
        <color rgb="FFFCFCFF"/>
      </colorScale>
    </cfRule>
    <cfRule type="colorScale" priority="11960">
      <colorScale>
        <cfvo type="min"/>
        <cfvo type="max"/>
        <color rgb="FFFFEF9C"/>
        <color rgb="FF63BE7B"/>
      </colorScale>
    </cfRule>
  </conditionalFormatting>
  <conditionalFormatting sqref="N988:N1004">
    <cfRule type="colorScale" priority="11951">
      <colorScale>
        <cfvo type="min"/>
        <cfvo type="percentile" val="20"/>
        <cfvo type="max"/>
        <color rgb="FF92D050"/>
        <color theme="5" tint="0.79998168889431442"/>
        <color rgb="FFFF0000"/>
      </colorScale>
    </cfRule>
    <cfRule type="colorScale" priority="11952">
      <colorScale>
        <cfvo type="min"/>
        <cfvo type="max"/>
        <color rgb="FFFF0000"/>
        <color rgb="FF92D050"/>
      </colorScale>
    </cfRule>
    <cfRule type="colorScale" priority="11953">
      <colorScale>
        <cfvo type="min"/>
        <cfvo type="percentile" val="50"/>
        <cfvo type="max"/>
        <color rgb="FF5A8AC6"/>
        <color rgb="FFFCFCFF"/>
        <color rgb="FFF8696B"/>
      </colorScale>
    </cfRule>
    <cfRule type="colorScale" priority="11954">
      <colorScale>
        <cfvo type="formula" val="&quot;&gt;20&quot;"/>
        <cfvo type="formula" val="35"/>
        <color rgb="FFF8696B"/>
        <color rgb="FFFCFCFF"/>
      </colorScale>
    </cfRule>
    <cfRule type="colorScale" priority="11955">
      <colorScale>
        <cfvo type="min"/>
        <cfvo type="max"/>
        <color rgb="FFFFEF9C"/>
        <color rgb="FF63BE7B"/>
      </colorScale>
    </cfRule>
  </conditionalFormatting>
  <conditionalFormatting sqref="S988:S1004">
    <cfRule type="containsText" dxfId="1979" priority="11947" operator="containsText" text="Short Buildup">
      <formula>NOT(ISERROR(SEARCH("Short Buildup",S988)))</formula>
    </cfRule>
    <cfRule type="containsText" dxfId="1978" priority="11948" operator="containsText" text="Long Liquidation">
      <formula>NOT(ISERROR(SEARCH("Long Liquidation",S988)))</formula>
    </cfRule>
    <cfRule type="containsText" dxfId="1977" priority="11949" operator="containsText" text="Short covering">
      <formula>NOT(ISERROR(SEARCH("Short covering",S988)))</formula>
    </cfRule>
    <cfRule type="containsText" dxfId="1976" priority="11950" operator="containsText" text="Long Buildup">
      <formula>NOT(ISERROR(SEARCH("Long Buildup",S988)))</formula>
    </cfRule>
  </conditionalFormatting>
  <conditionalFormatting sqref="R1005:R1021 D1005:D1020 C1021">
    <cfRule type="containsText" dxfId="1975" priority="11933" operator="containsText" text="DOWN">
      <formula>NOT(ISERROR(SEARCH("DOWN",C1005)))</formula>
    </cfRule>
  </conditionalFormatting>
  <conditionalFormatting sqref="R1005:R1021 D1005:D1020 C1021">
    <cfRule type="containsText" dxfId="1974" priority="11932" operator="containsText" text="UP">
      <formula>NOT(ISERROR(SEARCH("UP",C1005)))</formula>
    </cfRule>
  </conditionalFormatting>
  <conditionalFormatting sqref="I1005:I1021">
    <cfRule type="colorScale" priority="11934">
      <colorScale>
        <cfvo type="min"/>
        <cfvo type="max"/>
        <color rgb="FFFFEF9C"/>
        <color rgb="FF63BE7B"/>
      </colorScale>
    </cfRule>
  </conditionalFormatting>
  <conditionalFormatting sqref="M1005:M1021">
    <cfRule type="colorScale" priority="11935">
      <colorScale>
        <cfvo type="min"/>
        <cfvo type="max"/>
        <color rgb="FFFF7128"/>
        <color rgb="FFFFEF9C"/>
      </colorScale>
    </cfRule>
  </conditionalFormatting>
  <conditionalFormatting sqref="Q1005:Q1021">
    <cfRule type="dataBar" priority="11936">
      <dataBar>
        <cfvo type="min"/>
        <cfvo type="max"/>
        <color rgb="FFFF555A"/>
      </dataBar>
    </cfRule>
  </conditionalFormatting>
  <conditionalFormatting sqref="E1005:E1021">
    <cfRule type="dataBar" priority="11937">
      <dataBar>
        <cfvo type="min"/>
        <cfvo type="max"/>
        <color rgb="FFFF555A"/>
      </dataBar>
    </cfRule>
  </conditionalFormatting>
  <conditionalFormatting sqref="F1005:F1021">
    <cfRule type="top10" dxfId="1973" priority="11938" rank="1"/>
  </conditionalFormatting>
  <conditionalFormatting sqref="P1005:P1020">
    <cfRule type="top10" dxfId="1972" priority="11939" rank="1"/>
  </conditionalFormatting>
  <conditionalFormatting sqref="G1005:G1021 O1005:O1020 P1021">
    <cfRule type="cellIs" dxfId="1971" priority="11940" operator="equal">
      <formula>$G$135</formula>
    </cfRule>
  </conditionalFormatting>
  <conditionalFormatting sqref="O1005:O1020 P1021">
    <cfRule type="cellIs" dxfId="1970" priority="11941" operator="equal">
      <formula>$J$135</formula>
    </cfRule>
  </conditionalFormatting>
  <conditionalFormatting sqref="G1005:G1021 O1005:O1020 P1021">
    <cfRule type="cellIs" dxfId="1969" priority="11942" operator="equal">
      <formula>#REF!</formula>
    </cfRule>
  </conditionalFormatting>
  <conditionalFormatting sqref="G1005:G1021">
    <cfRule type="top10" dxfId="1968" priority="11943" rank="1"/>
    <cfRule type="cellIs" dxfId="1967" priority="11944" operator="equal">
      <formula>$G$133</formula>
    </cfRule>
  </conditionalFormatting>
  <conditionalFormatting sqref="O1005:O1020 P1021">
    <cfRule type="top10" dxfId="1966" priority="11945" rank="1"/>
    <cfRule type="cellIs" dxfId="1965" priority="11946" operator="equal">
      <formula>$G$133</formula>
    </cfRule>
  </conditionalFormatting>
  <conditionalFormatting sqref="C1005:C1020">
    <cfRule type="containsText" dxfId="1964" priority="11928" operator="containsText" text="Short Buildup">
      <formula>NOT(ISERROR(SEARCH("Short Buildup",C1005)))</formula>
    </cfRule>
    <cfRule type="containsText" dxfId="1963" priority="11929" operator="containsText" text="Long Liquidation">
      <formula>NOT(ISERROR(SEARCH("Long Liquidation",C1005)))</formula>
    </cfRule>
    <cfRule type="containsText" dxfId="1962" priority="11930" operator="containsText" text="Short covering">
      <formula>NOT(ISERROR(SEARCH("Short covering",C1005)))</formula>
    </cfRule>
    <cfRule type="containsText" dxfId="1961" priority="11931" operator="containsText" text="Long Buildup">
      <formula>NOT(ISERROR(SEARCH("Long Buildup",C1005)))</formula>
    </cfRule>
  </conditionalFormatting>
  <conditionalFormatting sqref="H1005:H1021">
    <cfRule type="colorScale" priority="11923">
      <colorScale>
        <cfvo type="min"/>
        <cfvo type="percentile" val="20"/>
        <cfvo type="max"/>
        <color rgb="FF92D050"/>
        <color theme="5" tint="0.79998168889431442"/>
        <color rgb="FFFF0000"/>
      </colorScale>
    </cfRule>
    <cfRule type="colorScale" priority="11924">
      <colorScale>
        <cfvo type="min"/>
        <cfvo type="max"/>
        <color rgb="FFFF0000"/>
        <color rgb="FF92D050"/>
      </colorScale>
    </cfRule>
    <cfRule type="colorScale" priority="11925">
      <colorScale>
        <cfvo type="min"/>
        <cfvo type="percentile" val="50"/>
        <cfvo type="max"/>
        <color rgb="FF5A8AC6"/>
        <color rgb="FFFCFCFF"/>
        <color rgb="FFF8696B"/>
      </colorScale>
    </cfRule>
    <cfRule type="colorScale" priority="11926">
      <colorScale>
        <cfvo type="formula" val="&quot;&gt;20&quot;"/>
        <cfvo type="formula" val="35"/>
        <color rgb="FFF8696B"/>
        <color rgb="FFFCFCFF"/>
      </colorScale>
    </cfRule>
    <cfRule type="colorScale" priority="11927">
      <colorScale>
        <cfvo type="min"/>
        <cfvo type="max"/>
        <color rgb="FFFFEF9C"/>
        <color rgb="FF63BE7B"/>
      </colorScale>
    </cfRule>
  </conditionalFormatting>
  <conditionalFormatting sqref="N1005:N1021">
    <cfRule type="colorScale" priority="11918">
      <colorScale>
        <cfvo type="min"/>
        <cfvo type="percentile" val="20"/>
        <cfvo type="max"/>
        <color rgb="FF92D050"/>
        <color theme="5" tint="0.79998168889431442"/>
        <color rgb="FFFF0000"/>
      </colorScale>
    </cfRule>
    <cfRule type="colorScale" priority="11919">
      <colorScale>
        <cfvo type="min"/>
        <cfvo type="max"/>
        <color rgb="FFFF0000"/>
        <color rgb="FF92D050"/>
      </colorScale>
    </cfRule>
    <cfRule type="colorScale" priority="11920">
      <colorScale>
        <cfvo type="min"/>
        <cfvo type="percentile" val="50"/>
        <cfvo type="max"/>
        <color rgb="FF5A8AC6"/>
        <color rgb="FFFCFCFF"/>
        <color rgb="FFF8696B"/>
      </colorScale>
    </cfRule>
    <cfRule type="colorScale" priority="11921">
      <colorScale>
        <cfvo type="formula" val="&quot;&gt;20&quot;"/>
        <cfvo type="formula" val="35"/>
        <color rgb="FFF8696B"/>
        <color rgb="FFFCFCFF"/>
      </colorScale>
    </cfRule>
    <cfRule type="colorScale" priority="11922">
      <colorScale>
        <cfvo type="min"/>
        <cfvo type="max"/>
        <color rgb="FFFFEF9C"/>
        <color rgb="FF63BE7B"/>
      </colorScale>
    </cfRule>
  </conditionalFormatting>
  <conditionalFormatting sqref="S1005:S1021">
    <cfRule type="containsText" dxfId="1960" priority="11914" operator="containsText" text="Short Buildup">
      <formula>NOT(ISERROR(SEARCH("Short Buildup",S1005)))</formula>
    </cfRule>
    <cfRule type="containsText" dxfId="1959" priority="11915" operator="containsText" text="Long Liquidation">
      <formula>NOT(ISERROR(SEARCH("Long Liquidation",S1005)))</formula>
    </cfRule>
    <cfRule type="containsText" dxfId="1958" priority="11916" operator="containsText" text="Short covering">
      <formula>NOT(ISERROR(SEARCH("Short covering",S1005)))</formula>
    </cfRule>
    <cfRule type="containsText" dxfId="1957" priority="11917" operator="containsText" text="Long Buildup">
      <formula>NOT(ISERROR(SEARCH("Long Buildup",S1005)))</formula>
    </cfRule>
  </conditionalFormatting>
  <conditionalFormatting sqref="R1022:R1038 D1022:D1037 C1038">
    <cfRule type="containsText" dxfId="1956" priority="11900" operator="containsText" text="DOWN">
      <formula>NOT(ISERROR(SEARCH("DOWN",C1022)))</formula>
    </cfRule>
  </conditionalFormatting>
  <conditionalFormatting sqref="R1022:R1038 D1022:D1037 C1038">
    <cfRule type="containsText" dxfId="1955" priority="11899" operator="containsText" text="UP">
      <formula>NOT(ISERROR(SEARCH("UP",C1022)))</formula>
    </cfRule>
  </conditionalFormatting>
  <conditionalFormatting sqref="I1022:I1038">
    <cfRule type="colorScale" priority="11901">
      <colorScale>
        <cfvo type="min"/>
        <cfvo type="max"/>
        <color rgb="FFFFEF9C"/>
        <color rgb="FF63BE7B"/>
      </colorScale>
    </cfRule>
  </conditionalFormatting>
  <conditionalFormatting sqref="M1022:M1038">
    <cfRule type="colorScale" priority="11902">
      <colorScale>
        <cfvo type="min"/>
        <cfvo type="max"/>
        <color rgb="FFFF7128"/>
        <color rgb="FFFFEF9C"/>
      </colorScale>
    </cfRule>
  </conditionalFormatting>
  <conditionalFormatting sqref="Q1022:Q1038">
    <cfRule type="dataBar" priority="11903">
      <dataBar>
        <cfvo type="min"/>
        <cfvo type="max"/>
        <color rgb="FFFF555A"/>
      </dataBar>
    </cfRule>
  </conditionalFormatting>
  <conditionalFormatting sqref="E1022:E1038">
    <cfRule type="dataBar" priority="11904">
      <dataBar>
        <cfvo type="min"/>
        <cfvo type="max"/>
        <color rgb="FFFF555A"/>
      </dataBar>
    </cfRule>
  </conditionalFormatting>
  <conditionalFormatting sqref="F1022:F1038">
    <cfRule type="top10" dxfId="1954" priority="11905" rank="1"/>
  </conditionalFormatting>
  <conditionalFormatting sqref="P1022:P1037">
    <cfRule type="top10" dxfId="1953" priority="11906" rank="1"/>
  </conditionalFormatting>
  <conditionalFormatting sqref="G1022:G1038 O1022:O1037 P1038">
    <cfRule type="cellIs" dxfId="1952" priority="11907" operator="equal">
      <formula>$G$135</formula>
    </cfRule>
  </conditionalFormatting>
  <conditionalFormatting sqref="O1022:O1037 P1038">
    <cfRule type="cellIs" dxfId="1951" priority="11908" operator="equal">
      <formula>$J$135</formula>
    </cfRule>
  </conditionalFormatting>
  <conditionalFormatting sqref="G1022:G1038 O1022:O1037 P1038">
    <cfRule type="cellIs" dxfId="1950" priority="11909" operator="equal">
      <formula>#REF!</formula>
    </cfRule>
  </conditionalFormatting>
  <conditionalFormatting sqref="G1022:G1038">
    <cfRule type="top10" dxfId="1949" priority="11910" rank="1"/>
    <cfRule type="cellIs" dxfId="1948" priority="11911" operator="equal">
      <formula>$G$133</formula>
    </cfRule>
  </conditionalFormatting>
  <conditionalFormatting sqref="O1022:O1037 P1038">
    <cfRule type="top10" dxfId="1947" priority="11912" rank="1"/>
    <cfRule type="cellIs" dxfId="1946" priority="11913" operator="equal">
      <formula>$G$133</formula>
    </cfRule>
  </conditionalFormatting>
  <conditionalFormatting sqref="C1022:C1037">
    <cfRule type="containsText" dxfId="1945" priority="11895" operator="containsText" text="Short Buildup">
      <formula>NOT(ISERROR(SEARCH("Short Buildup",C1022)))</formula>
    </cfRule>
    <cfRule type="containsText" dxfId="1944" priority="11896" operator="containsText" text="Long Liquidation">
      <formula>NOT(ISERROR(SEARCH("Long Liquidation",C1022)))</formula>
    </cfRule>
    <cfRule type="containsText" dxfId="1943" priority="11897" operator="containsText" text="Short covering">
      <formula>NOT(ISERROR(SEARCH("Short covering",C1022)))</formula>
    </cfRule>
    <cfRule type="containsText" dxfId="1942" priority="11898" operator="containsText" text="Long Buildup">
      <formula>NOT(ISERROR(SEARCH("Long Buildup",C1022)))</formula>
    </cfRule>
  </conditionalFormatting>
  <conditionalFormatting sqref="H1022:H1038">
    <cfRule type="colorScale" priority="11890">
      <colorScale>
        <cfvo type="min"/>
        <cfvo type="percentile" val="20"/>
        <cfvo type="max"/>
        <color rgb="FF92D050"/>
        <color theme="5" tint="0.79998168889431442"/>
        <color rgb="FFFF0000"/>
      </colorScale>
    </cfRule>
    <cfRule type="colorScale" priority="11891">
      <colorScale>
        <cfvo type="min"/>
        <cfvo type="max"/>
        <color rgb="FFFF0000"/>
        <color rgb="FF92D050"/>
      </colorScale>
    </cfRule>
    <cfRule type="colorScale" priority="11892">
      <colorScale>
        <cfvo type="min"/>
        <cfvo type="percentile" val="50"/>
        <cfvo type="max"/>
        <color rgb="FF5A8AC6"/>
        <color rgb="FFFCFCFF"/>
        <color rgb="FFF8696B"/>
      </colorScale>
    </cfRule>
    <cfRule type="colorScale" priority="11893">
      <colorScale>
        <cfvo type="formula" val="&quot;&gt;20&quot;"/>
        <cfvo type="formula" val="35"/>
        <color rgb="FFF8696B"/>
        <color rgb="FFFCFCFF"/>
      </colorScale>
    </cfRule>
    <cfRule type="colorScale" priority="11894">
      <colorScale>
        <cfvo type="min"/>
        <cfvo type="max"/>
        <color rgb="FFFFEF9C"/>
        <color rgb="FF63BE7B"/>
      </colorScale>
    </cfRule>
  </conditionalFormatting>
  <conditionalFormatting sqref="N1022:N1038">
    <cfRule type="colorScale" priority="11885">
      <colorScale>
        <cfvo type="min"/>
        <cfvo type="percentile" val="20"/>
        <cfvo type="max"/>
        <color rgb="FF92D050"/>
        <color theme="5" tint="0.79998168889431442"/>
        <color rgb="FFFF0000"/>
      </colorScale>
    </cfRule>
    <cfRule type="colorScale" priority="11886">
      <colorScale>
        <cfvo type="min"/>
        <cfvo type="max"/>
        <color rgb="FFFF0000"/>
        <color rgb="FF92D050"/>
      </colorScale>
    </cfRule>
    <cfRule type="colorScale" priority="11887">
      <colorScale>
        <cfvo type="min"/>
        <cfvo type="percentile" val="50"/>
        <cfvo type="max"/>
        <color rgb="FF5A8AC6"/>
        <color rgb="FFFCFCFF"/>
        <color rgb="FFF8696B"/>
      </colorScale>
    </cfRule>
    <cfRule type="colorScale" priority="11888">
      <colorScale>
        <cfvo type="formula" val="&quot;&gt;20&quot;"/>
        <cfvo type="formula" val="35"/>
        <color rgb="FFF8696B"/>
        <color rgb="FFFCFCFF"/>
      </colorScale>
    </cfRule>
    <cfRule type="colorScale" priority="11889">
      <colorScale>
        <cfvo type="min"/>
        <cfvo type="max"/>
        <color rgb="FFFFEF9C"/>
        <color rgb="FF63BE7B"/>
      </colorScale>
    </cfRule>
  </conditionalFormatting>
  <conditionalFormatting sqref="S1022:S1038">
    <cfRule type="containsText" dxfId="1941" priority="11881" operator="containsText" text="Short Buildup">
      <formula>NOT(ISERROR(SEARCH("Short Buildup",S1022)))</formula>
    </cfRule>
    <cfRule type="containsText" dxfId="1940" priority="11882" operator="containsText" text="Long Liquidation">
      <formula>NOT(ISERROR(SEARCH("Long Liquidation",S1022)))</formula>
    </cfRule>
    <cfRule type="containsText" dxfId="1939" priority="11883" operator="containsText" text="Short covering">
      <formula>NOT(ISERROR(SEARCH("Short covering",S1022)))</formula>
    </cfRule>
    <cfRule type="containsText" dxfId="1938" priority="11884" operator="containsText" text="Long Buildup">
      <formula>NOT(ISERROR(SEARCH("Long Buildup",S1022)))</formula>
    </cfRule>
  </conditionalFormatting>
  <conditionalFormatting sqref="R1039:R1055 D1039:D1054 C1055">
    <cfRule type="containsText" dxfId="1937" priority="11867" operator="containsText" text="DOWN">
      <formula>NOT(ISERROR(SEARCH("DOWN",C1039)))</formula>
    </cfRule>
  </conditionalFormatting>
  <conditionalFormatting sqref="R1039:R1055 D1039:D1054 C1055">
    <cfRule type="containsText" dxfId="1936" priority="11866" operator="containsText" text="UP">
      <formula>NOT(ISERROR(SEARCH("UP",C1039)))</formula>
    </cfRule>
  </conditionalFormatting>
  <conditionalFormatting sqref="I1039:I1055">
    <cfRule type="colorScale" priority="11868">
      <colorScale>
        <cfvo type="min"/>
        <cfvo type="max"/>
        <color rgb="FFFFEF9C"/>
        <color rgb="FF63BE7B"/>
      </colorScale>
    </cfRule>
  </conditionalFormatting>
  <conditionalFormatting sqref="M1039:M1055">
    <cfRule type="colorScale" priority="11869">
      <colorScale>
        <cfvo type="min"/>
        <cfvo type="max"/>
        <color rgb="FFFF7128"/>
        <color rgb="FFFFEF9C"/>
      </colorScale>
    </cfRule>
  </conditionalFormatting>
  <conditionalFormatting sqref="Q1039:Q1055">
    <cfRule type="dataBar" priority="11870">
      <dataBar>
        <cfvo type="min"/>
        <cfvo type="max"/>
        <color rgb="FFFF555A"/>
      </dataBar>
    </cfRule>
  </conditionalFormatting>
  <conditionalFormatting sqref="E1039:E1055">
    <cfRule type="dataBar" priority="11871">
      <dataBar>
        <cfvo type="min"/>
        <cfvo type="max"/>
        <color rgb="FFFF555A"/>
      </dataBar>
    </cfRule>
  </conditionalFormatting>
  <conditionalFormatting sqref="F1039:F1055">
    <cfRule type="top10" dxfId="1935" priority="11872" rank="1"/>
  </conditionalFormatting>
  <conditionalFormatting sqref="P1039:P1054">
    <cfRule type="top10" dxfId="1934" priority="11873" rank="1"/>
  </conditionalFormatting>
  <conditionalFormatting sqref="G1039:G1055 O1039:O1054 P1055">
    <cfRule type="cellIs" dxfId="1933" priority="11874" operator="equal">
      <formula>$G$135</formula>
    </cfRule>
  </conditionalFormatting>
  <conditionalFormatting sqref="O1039:O1054 P1055">
    <cfRule type="cellIs" dxfId="1932" priority="11875" operator="equal">
      <formula>$J$135</formula>
    </cfRule>
  </conditionalFormatting>
  <conditionalFormatting sqref="G1039:G1055 O1039:O1054 P1055">
    <cfRule type="cellIs" dxfId="1931" priority="11876" operator="equal">
      <formula>#REF!</formula>
    </cfRule>
  </conditionalFormatting>
  <conditionalFormatting sqref="G1039:G1055">
    <cfRule type="top10" dxfId="1930" priority="11877" rank="1"/>
    <cfRule type="cellIs" dxfId="1929" priority="11878" operator="equal">
      <formula>$G$133</formula>
    </cfRule>
  </conditionalFormatting>
  <conditionalFormatting sqref="O1039:O1054 P1055">
    <cfRule type="top10" dxfId="1928" priority="11879" rank="1"/>
    <cfRule type="cellIs" dxfId="1927" priority="11880" operator="equal">
      <formula>$G$133</formula>
    </cfRule>
  </conditionalFormatting>
  <conditionalFormatting sqref="C1039:C1054">
    <cfRule type="containsText" dxfId="1926" priority="11862" operator="containsText" text="Short Buildup">
      <formula>NOT(ISERROR(SEARCH("Short Buildup",C1039)))</formula>
    </cfRule>
    <cfRule type="containsText" dxfId="1925" priority="11863" operator="containsText" text="Long Liquidation">
      <formula>NOT(ISERROR(SEARCH("Long Liquidation",C1039)))</formula>
    </cfRule>
    <cfRule type="containsText" dxfId="1924" priority="11864" operator="containsText" text="Short covering">
      <formula>NOT(ISERROR(SEARCH("Short covering",C1039)))</formula>
    </cfRule>
    <cfRule type="containsText" dxfId="1923" priority="11865" operator="containsText" text="Long Buildup">
      <formula>NOT(ISERROR(SEARCH("Long Buildup",C1039)))</formula>
    </cfRule>
  </conditionalFormatting>
  <conditionalFormatting sqref="H1039:H1055">
    <cfRule type="colorScale" priority="11857">
      <colorScale>
        <cfvo type="min"/>
        <cfvo type="percentile" val="20"/>
        <cfvo type="max"/>
        <color rgb="FF92D050"/>
        <color theme="5" tint="0.79998168889431442"/>
        <color rgb="FFFF0000"/>
      </colorScale>
    </cfRule>
    <cfRule type="colorScale" priority="11858">
      <colorScale>
        <cfvo type="min"/>
        <cfvo type="max"/>
        <color rgb="FFFF0000"/>
        <color rgb="FF92D050"/>
      </colorScale>
    </cfRule>
    <cfRule type="colorScale" priority="11859">
      <colorScale>
        <cfvo type="min"/>
        <cfvo type="percentile" val="50"/>
        <cfvo type="max"/>
        <color rgb="FF5A8AC6"/>
        <color rgb="FFFCFCFF"/>
        <color rgb="FFF8696B"/>
      </colorScale>
    </cfRule>
    <cfRule type="colorScale" priority="11860">
      <colorScale>
        <cfvo type="formula" val="&quot;&gt;20&quot;"/>
        <cfvo type="formula" val="35"/>
        <color rgb="FFF8696B"/>
        <color rgb="FFFCFCFF"/>
      </colorScale>
    </cfRule>
    <cfRule type="colorScale" priority="11861">
      <colorScale>
        <cfvo type="min"/>
        <cfvo type="max"/>
        <color rgb="FFFFEF9C"/>
        <color rgb="FF63BE7B"/>
      </colorScale>
    </cfRule>
  </conditionalFormatting>
  <conditionalFormatting sqref="N1039:N1055">
    <cfRule type="colorScale" priority="11852">
      <colorScale>
        <cfvo type="min"/>
        <cfvo type="percentile" val="20"/>
        <cfvo type="max"/>
        <color rgb="FF92D050"/>
        <color theme="5" tint="0.79998168889431442"/>
        <color rgb="FFFF0000"/>
      </colorScale>
    </cfRule>
    <cfRule type="colorScale" priority="11853">
      <colorScale>
        <cfvo type="min"/>
        <cfvo type="max"/>
        <color rgb="FFFF0000"/>
        <color rgb="FF92D050"/>
      </colorScale>
    </cfRule>
    <cfRule type="colorScale" priority="11854">
      <colorScale>
        <cfvo type="min"/>
        <cfvo type="percentile" val="50"/>
        <cfvo type="max"/>
        <color rgb="FF5A8AC6"/>
        <color rgb="FFFCFCFF"/>
        <color rgb="FFF8696B"/>
      </colorScale>
    </cfRule>
    <cfRule type="colorScale" priority="11855">
      <colorScale>
        <cfvo type="formula" val="&quot;&gt;20&quot;"/>
        <cfvo type="formula" val="35"/>
        <color rgb="FFF8696B"/>
        <color rgb="FFFCFCFF"/>
      </colorScale>
    </cfRule>
    <cfRule type="colorScale" priority="11856">
      <colorScale>
        <cfvo type="min"/>
        <cfvo type="max"/>
        <color rgb="FFFFEF9C"/>
        <color rgb="FF63BE7B"/>
      </colorScale>
    </cfRule>
  </conditionalFormatting>
  <conditionalFormatting sqref="S1039:S1055">
    <cfRule type="containsText" dxfId="1922" priority="11848" operator="containsText" text="Short Buildup">
      <formula>NOT(ISERROR(SEARCH("Short Buildup",S1039)))</formula>
    </cfRule>
    <cfRule type="containsText" dxfId="1921" priority="11849" operator="containsText" text="Long Liquidation">
      <formula>NOT(ISERROR(SEARCH("Long Liquidation",S1039)))</formula>
    </cfRule>
    <cfRule type="containsText" dxfId="1920" priority="11850" operator="containsText" text="Short covering">
      <formula>NOT(ISERROR(SEARCH("Short covering",S1039)))</formula>
    </cfRule>
    <cfRule type="containsText" dxfId="1919" priority="11851" operator="containsText" text="Long Buildup">
      <formula>NOT(ISERROR(SEARCH("Long Buildup",S1039)))</formula>
    </cfRule>
  </conditionalFormatting>
  <conditionalFormatting sqref="R1056:R1072 D1056:D1071 C1072">
    <cfRule type="containsText" dxfId="1918" priority="11834" operator="containsText" text="DOWN">
      <formula>NOT(ISERROR(SEARCH("DOWN",C1056)))</formula>
    </cfRule>
  </conditionalFormatting>
  <conditionalFormatting sqref="R1056:R1072 D1056:D1071 C1072">
    <cfRule type="containsText" dxfId="1917" priority="11833" operator="containsText" text="UP">
      <formula>NOT(ISERROR(SEARCH("UP",C1056)))</formula>
    </cfRule>
  </conditionalFormatting>
  <conditionalFormatting sqref="I1056:I1072">
    <cfRule type="colorScale" priority="11835">
      <colorScale>
        <cfvo type="min"/>
        <cfvo type="max"/>
        <color rgb="FFFFEF9C"/>
        <color rgb="FF63BE7B"/>
      </colorScale>
    </cfRule>
  </conditionalFormatting>
  <conditionalFormatting sqref="M1056:M1072">
    <cfRule type="colorScale" priority="11836">
      <colorScale>
        <cfvo type="min"/>
        <cfvo type="max"/>
        <color rgb="FFFF7128"/>
        <color rgb="FFFFEF9C"/>
      </colorScale>
    </cfRule>
  </conditionalFormatting>
  <conditionalFormatting sqref="Q1056:Q1072">
    <cfRule type="dataBar" priority="11837">
      <dataBar>
        <cfvo type="min"/>
        <cfvo type="max"/>
        <color rgb="FFFF555A"/>
      </dataBar>
    </cfRule>
  </conditionalFormatting>
  <conditionalFormatting sqref="E1056:E1072">
    <cfRule type="dataBar" priority="11838">
      <dataBar>
        <cfvo type="min"/>
        <cfvo type="max"/>
        <color rgb="FFFF555A"/>
      </dataBar>
    </cfRule>
  </conditionalFormatting>
  <conditionalFormatting sqref="F1056:F1072">
    <cfRule type="top10" dxfId="1916" priority="11839" rank="1"/>
  </conditionalFormatting>
  <conditionalFormatting sqref="P1056:P1071">
    <cfRule type="top10" dxfId="1915" priority="11840" rank="1"/>
  </conditionalFormatting>
  <conditionalFormatting sqref="G1056:G1072 O1056:O1071 P1072">
    <cfRule type="cellIs" dxfId="1914" priority="11841" operator="equal">
      <formula>$G$135</formula>
    </cfRule>
  </conditionalFormatting>
  <conditionalFormatting sqref="O1056:O1071 P1072">
    <cfRule type="cellIs" dxfId="1913" priority="11842" operator="equal">
      <formula>$J$135</formula>
    </cfRule>
  </conditionalFormatting>
  <conditionalFormatting sqref="G1056:G1072 O1056:O1071 P1072">
    <cfRule type="cellIs" dxfId="1912" priority="11843" operator="equal">
      <formula>#REF!</formula>
    </cfRule>
  </conditionalFormatting>
  <conditionalFormatting sqref="G1056:G1072">
    <cfRule type="top10" dxfId="1911" priority="11844" rank="1"/>
    <cfRule type="cellIs" dxfId="1910" priority="11845" operator="equal">
      <formula>$G$133</formula>
    </cfRule>
  </conditionalFormatting>
  <conditionalFormatting sqref="O1056:O1071 P1072">
    <cfRule type="top10" dxfId="1909" priority="11846" rank="1"/>
    <cfRule type="cellIs" dxfId="1908" priority="11847" operator="equal">
      <formula>$G$133</formula>
    </cfRule>
  </conditionalFormatting>
  <conditionalFormatting sqref="C1056:C1071">
    <cfRule type="containsText" dxfId="1907" priority="11829" operator="containsText" text="Short Buildup">
      <formula>NOT(ISERROR(SEARCH("Short Buildup",C1056)))</formula>
    </cfRule>
    <cfRule type="containsText" dxfId="1906" priority="11830" operator="containsText" text="Long Liquidation">
      <formula>NOT(ISERROR(SEARCH("Long Liquidation",C1056)))</formula>
    </cfRule>
    <cfRule type="containsText" dxfId="1905" priority="11831" operator="containsText" text="Short covering">
      <formula>NOT(ISERROR(SEARCH("Short covering",C1056)))</formula>
    </cfRule>
    <cfRule type="containsText" dxfId="1904" priority="11832" operator="containsText" text="Long Buildup">
      <formula>NOT(ISERROR(SEARCH("Long Buildup",C1056)))</formula>
    </cfRule>
  </conditionalFormatting>
  <conditionalFormatting sqref="H1056:H1072">
    <cfRule type="colorScale" priority="11824">
      <colorScale>
        <cfvo type="min"/>
        <cfvo type="percentile" val="20"/>
        <cfvo type="max"/>
        <color rgb="FF92D050"/>
        <color theme="5" tint="0.79998168889431442"/>
        <color rgb="FFFF0000"/>
      </colorScale>
    </cfRule>
    <cfRule type="colorScale" priority="11825">
      <colorScale>
        <cfvo type="min"/>
        <cfvo type="max"/>
        <color rgb="FFFF0000"/>
        <color rgb="FF92D050"/>
      </colorScale>
    </cfRule>
    <cfRule type="colorScale" priority="11826">
      <colorScale>
        <cfvo type="min"/>
        <cfvo type="percentile" val="50"/>
        <cfvo type="max"/>
        <color rgb="FF5A8AC6"/>
        <color rgb="FFFCFCFF"/>
        <color rgb="FFF8696B"/>
      </colorScale>
    </cfRule>
    <cfRule type="colorScale" priority="11827">
      <colorScale>
        <cfvo type="formula" val="&quot;&gt;20&quot;"/>
        <cfvo type="formula" val="35"/>
        <color rgb="FFF8696B"/>
        <color rgb="FFFCFCFF"/>
      </colorScale>
    </cfRule>
    <cfRule type="colorScale" priority="11828">
      <colorScale>
        <cfvo type="min"/>
        <cfvo type="max"/>
        <color rgb="FFFFEF9C"/>
        <color rgb="FF63BE7B"/>
      </colorScale>
    </cfRule>
  </conditionalFormatting>
  <conditionalFormatting sqref="N1056:N1072">
    <cfRule type="colorScale" priority="11819">
      <colorScale>
        <cfvo type="min"/>
        <cfvo type="percentile" val="20"/>
        <cfvo type="max"/>
        <color rgb="FF92D050"/>
        <color theme="5" tint="0.79998168889431442"/>
        <color rgb="FFFF0000"/>
      </colorScale>
    </cfRule>
    <cfRule type="colorScale" priority="11820">
      <colorScale>
        <cfvo type="min"/>
        <cfvo type="max"/>
        <color rgb="FFFF0000"/>
        <color rgb="FF92D050"/>
      </colorScale>
    </cfRule>
    <cfRule type="colorScale" priority="11821">
      <colorScale>
        <cfvo type="min"/>
        <cfvo type="percentile" val="50"/>
        <cfvo type="max"/>
        <color rgb="FF5A8AC6"/>
        <color rgb="FFFCFCFF"/>
        <color rgb="FFF8696B"/>
      </colorScale>
    </cfRule>
    <cfRule type="colorScale" priority="11822">
      <colorScale>
        <cfvo type="formula" val="&quot;&gt;20&quot;"/>
        <cfvo type="formula" val="35"/>
        <color rgb="FFF8696B"/>
        <color rgb="FFFCFCFF"/>
      </colorScale>
    </cfRule>
    <cfRule type="colorScale" priority="11823">
      <colorScale>
        <cfvo type="min"/>
        <cfvo type="max"/>
        <color rgb="FFFFEF9C"/>
        <color rgb="FF63BE7B"/>
      </colorScale>
    </cfRule>
  </conditionalFormatting>
  <conditionalFormatting sqref="S1056:S1072">
    <cfRule type="containsText" dxfId="1903" priority="11815" operator="containsText" text="Short Buildup">
      <formula>NOT(ISERROR(SEARCH("Short Buildup",S1056)))</formula>
    </cfRule>
    <cfRule type="containsText" dxfId="1902" priority="11816" operator="containsText" text="Long Liquidation">
      <formula>NOT(ISERROR(SEARCH("Long Liquidation",S1056)))</formula>
    </cfRule>
    <cfRule type="containsText" dxfId="1901" priority="11817" operator="containsText" text="Short covering">
      <formula>NOT(ISERROR(SEARCH("Short covering",S1056)))</formula>
    </cfRule>
    <cfRule type="containsText" dxfId="1900" priority="11818" operator="containsText" text="Long Buildup">
      <formula>NOT(ISERROR(SEARCH("Long Buildup",S1056)))</formula>
    </cfRule>
  </conditionalFormatting>
  <conditionalFormatting sqref="R1073:R1089 D1073:D1088 C1089">
    <cfRule type="containsText" dxfId="1899" priority="11801" operator="containsText" text="DOWN">
      <formula>NOT(ISERROR(SEARCH("DOWN",C1073)))</formula>
    </cfRule>
  </conditionalFormatting>
  <conditionalFormatting sqref="R1073:R1089 D1073:D1088 C1089">
    <cfRule type="containsText" dxfId="1898" priority="11800" operator="containsText" text="UP">
      <formula>NOT(ISERROR(SEARCH("UP",C1073)))</formula>
    </cfRule>
  </conditionalFormatting>
  <conditionalFormatting sqref="I1073:I1089">
    <cfRule type="colorScale" priority="11802">
      <colorScale>
        <cfvo type="min"/>
        <cfvo type="max"/>
        <color rgb="FFFFEF9C"/>
        <color rgb="FF63BE7B"/>
      </colorScale>
    </cfRule>
  </conditionalFormatting>
  <conditionalFormatting sqref="M1073:M1089">
    <cfRule type="colorScale" priority="11803">
      <colorScale>
        <cfvo type="min"/>
        <cfvo type="max"/>
        <color rgb="FFFF7128"/>
        <color rgb="FFFFEF9C"/>
      </colorScale>
    </cfRule>
  </conditionalFormatting>
  <conditionalFormatting sqref="Q1073:Q1089">
    <cfRule type="dataBar" priority="11804">
      <dataBar>
        <cfvo type="min"/>
        <cfvo type="max"/>
        <color rgb="FFFF555A"/>
      </dataBar>
    </cfRule>
  </conditionalFormatting>
  <conditionalFormatting sqref="E1073:E1089">
    <cfRule type="dataBar" priority="11805">
      <dataBar>
        <cfvo type="min"/>
        <cfvo type="max"/>
        <color rgb="FFFF555A"/>
      </dataBar>
    </cfRule>
  </conditionalFormatting>
  <conditionalFormatting sqref="F1073:F1089">
    <cfRule type="top10" dxfId="1897" priority="11806" rank="1"/>
  </conditionalFormatting>
  <conditionalFormatting sqref="P1073:P1088">
    <cfRule type="top10" dxfId="1896" priority="11807" rank="1"/>
  </conditionalFormatting>
  <conditionalFormatting sqref="G1073:G1089 O1073:O1088 P1089">
    <cfRule type="cellIs" dxfId="1895" priority="11808" operator="equal">
      <formula>$G$135</formula>
    </cfRule>
  </conditionalFormatting>
  <conditionalFormatting sqref="O1073:O1088 P1089">
    <cfRule type="cellIs" dxfId="1894" priority="11809" operator="equal">
      <formula>$J$135</formula>
    </cfRule>
  </conditionalFormatting>
  <conditionalFormatting sqref="G1073:G1089 O1073:O1088 P1089">
    <cfRule type="cellIs" dxfId="1893" priority="11810" operator="equal">
      <formula>#REF!</formula>
    </cfRule>
  </conditionalFormatting>
  <conditionalFormatting sqref="G1073:G1089">
    <cfRule type="top10" dxfId="1892" priority="11811" rank="1"/>
    <cfRule type="cellIs" dxfId="1891" priority="11812" operator="equal">
      <formula>$G$133</formula>
    </cfRule>
  </conditionalFormatting>
  <conditionalFormatting sqref="O1073:O1088 P1089">
    <cfRule type="top10" dxfId="1890" priority="11813" rank="1"/>
    <cfRule type="cellIs" dxfId="1889" priority="11814" operator="equal">
      <formula>$G$133</formula>
    </cfRule>
  </conditionalFormatting>
  <conditionalFormatting sqref="C1073:C1088">
    <cfRule type="containsText" dxfId="1888" priority="11796" operator="containsText" text="Short Buildup">
      <formula>NOT(ISERROR(SEARCH("Short Buildup",C1073)))</formula>
    </cfRule>
    <cfRule type="containsText" dxfId="1887" priority="11797" operator="containsText" text="Long Liquidation">
      <formula>NOT(ISERROR(SEARCH("Long Liquidation",C1073)))</formula>
    </cfRule>
    <cfRule type="containsText" dxfId="1886" priority="11798" operator="containsText" text="Short covering">
      <formula>NOT(ISERROR(SEARCH("Short covering",C1073)))</formula>
    </cfRule>
    <cfRule type="containsText" dxfId="1885" priority="11799" operator="containsText" text="Long Buildup">
      <formula>NOT(ISERROR(SEARCH("Long Buildup",C1073)))</formula>
    </cfRule>
  </conditionalFormatting>
  <conditionalFormatting sqref="H1073:H1089">
    <cfRule type="colorScale" priority="11791">
      <colorScale>
        <cfvo type="min"/>
        <cfvo type="percentile" val="20"/>
        <cfvo type="max"/>
        <color rgb="FF92D050"/>
        <color theme="5" tint="0.79998168889431442"/>
        <color rgb="FFFF0000"/>
      </colorScale>
    </cfRule>
    <cfRule type="colorScale" priority="11792">
      <colorScale>
        <cfvo type="min"/>
        <cfvo type="max"/>
        <color rgb="FFFF0000"/>
        <color rgb="FF92D050"/>
      </colorScale>
    </cfRule>
    <cfRule type="colorScale" priority="11793">
      <colorScale>
        <cfvo type="min"/>
        <cfvo type="percentile" val="50"/>
        <cfvo type="max"/>
        <color rgb="FF5A8AC6"/>
        <color rgb="FFFCFCFF"/>
        <color rgb="FFF8696B"/>
      </colorScale>
    </cfRule>
    <cfRule type="colorScale" priority="11794">
      <colorScale>
        <cfvo type="formula" val="&quot;&gt;20&quot;"/>
        <cfvo type="formula" val="35"/>
        <color rgb="FFF8696B"/>
        <color rgb="FFFCFCFF"/>
      </colorScale>
    </cfRule>
    <cfRule type="colorScale" priority="11795">
      <colorScale>
        <cfvo type="min"/>
        <cfvo type="max"/>
        <color rgb="FFFFEF9C"/>
        <color rgb="FF63BE7B"/>
      </colorScale>
    </cfRule>
  </conditionalFormatting>
  <conditionalFormatting sqref="N1073:N1089">
    <cfRule type="colorScale" priority="11786">
      <colorScale>
        <cfvo type="min"/>
        <cfvo type="percentile" val="20"/>
        <cfvo type="max"/>
        <color rgb="FF92D050"/>
        <color theme="5" tint="0.79998168889431442"/>
        <color rgb="FFFF0000"/>
      </colorScale>
    </cfRule>
    <cfRule type="colorScale" priority="11787">
      <colorScale>
        <cfvo type="min"/>
        <cfvo type="max"/>
        <color rgb="FFFF0000"/>
        <color rgb="FF92D050"/>
      </colorScale>
    </cfRule>
    <cfRule type="colorScale" priority="11788">
      <colorScale>
        <cfvo type="min"/>
        <cfvo type="percentile" val="50"/>
        <cfvo type="max"/>
        <color rgb="FF5A8AC6"/>
        <color rgb="FFFCFCFF"/>
        <color rgb="FFF8696B"/>
      </colorScale>
    </cfRule>
    <cfRule type="colorScale" priority="11789">
      <colorScale>
        <cfvo type="formula" val="&quot;&gt;20&quot;"/>
        <cfvo type="formula" val="35"/>
        <color rgb="FFF8696B"/>
        <color rgb="FFFCFCFF"/>
      </colorScale>
    </cfRule>
    <cfRule type="colorScale" priority="11790">
      <colorScale>
        <cfvo type="min"/>
        <cfvo type="max"/>
        <color rgb="FFFFEF9C"/>
        <color rgb="FF63BE7B"/>
      </colorScale>
    </cfRule>
  </conditionalFormatting>
  <conditionalFormatting sqref="S1073:S1089">
    <cfRule type="containsText" dxfId="1884" priority="11782" operator="containsText" text="Short Buildup">
      <formula>NOT(ISERROR(SEARCH("Short Buildup",S1073)))</formula>
    </cfRule>
    <cfRule type="containsText" dxfId="1883" priority="11783" operator="containsText" text="Long Liquidation">
      <formula>NOT(ISERROR(SEARCH("Long Liquidation",S1073)))</formula>
    </cfRule>
    <cfRule type="containsText" dxfId="1882" priority="11784" operator="containsText" text="Short covering">
      <formula>NOT(ISERROR(SEARCH("Short covering",S1073)))</formula>
    </cfRule>
    <cfRule type="containsText" dxfId="1881" priority="11785" operator="containsText" text="Long Buildup">
      <formula>NOT(ISERROR(SEARCH("Long Buildup",S1073)))</formula>
    </cfRule>
  </conditionalFormatting>
  <conditionalFormatting sqref="R1090:R1106 D1090:D1105 C1106">
    <cfRule type="containsText" dxfId="1880" priority="11768" operator="containsText" text="DOWN">
      <formula>NOT(ISERROR(SEARCH("DOWN",C1090)))</formula>
    </cfRule>
  </conditionalFormatting>
  <conditionalFormatting sqref="R1090:R1106 D1090:D1105 C1106">
    <cfRule type="containsText" dxfId="1879" priority="11767" operator="containsText" text="UP">
      <formula>NOT(ISERROR(SEARCH("UP",C1090)))</formula>
    </cfRule>
  </conditionalFormatting>
  <conditionalFormatting sqref="I1090:I1106">
    <cfRule type="colorScale" priority="11769">
      <colorScale>
        <cfvo type="min"/>
        <cfvo type="max"/>
        <color rgb="FFFFEF9C"/>
        <color rgb="FF63BE7B"/>
      </colorScale>
    </cfRule>
  </conditionalFormatting>
  <conditionalFormatting sqref="M1090:M1106">
    <cfRule type="colorScale" priority="11770">
      <colorScale>
        <cfvo type="min"/>
        <cfvo type="max"/>
        <color rgb="FFFF7128"/>
        <color rgb="FFFFEF9C"/>
      </colorScale>
    </cfRule>
  </conditionalFormatting>
  <conditionalFormatting sqref="Q1090:Q1106">
    <cfRule type="dataBar" priority="11771">
      <dataBar>
        <cfvo type="min"/>
        <cfvo type="max"/>
        <color rgb="FFFF555A"/>
      </dataBar>
    </cfRule>
  </conditionalFormatting>
  <conditionalFormatting sqref="E1090:E1106">
    <cfRule type="dataBar" priority="11772">
      <dataBar>
        <cfvo type="min"/>
        <cfvo type="max"/>
        <color rgb="FFFF555A"/>
      </dataBar>
    </cfRule>
  </conditionalFormatting>
  <conditionalFormatting sqref="F1090:F1106">
    <cfRule type="top10" dxfId="1878" priority="11773" rank="1"/>
  </conditionalFormatting>
  <conditionalFormatting sqref="P1090:P1105">
    <cfRule type="top10" dxfId="1877" priority="11774" rank="1"/>
  </conditionalFormatting>
  <conditionalFormatting sqref="G1090:G1106 O1090:O1105 P1106">
    <cfRule type="cellIs" dxfId="1876" priority="11775" operator="equal">
      <formula>$G$135</formula>
    </cfRule>
  </conditionalFormatting>
  <conditionalFormatting sqref="O1090:O1105 P1106">
    <cfRule type="cellIs" dxfId="1875" priority="11776" operator="equal">
      <formula>$J$135</formula>
    </cfRule>
  </conditionalFormatting>
  <conditionalFormatting sqref="G1090:G1106 O1090:O1105 P1106">
    <cfRule type="cellIs" dxfId="1874" priority="11777" operator="equal">
      <formula>#REF!</formula>
    </cfRule>
  </conditionalFormatting>
  <conditionalFormatting sqref="G1090:G1106">
    <cfRule type="top10" dxfId="1873" priority="11778" rank="1"/>
    <cfRule type="cellIs" dxfId="1872" priority="11779" operator="equal">
      <formula>$G$133</formula>
    </cfRule>
  </conditionalFormatting>
  <conditionalFormatting sqref="O1090:O1105 P1106">
    <cfRule type="top10" dxfId="1871" priority="11780" rank="1"/>
    <cfRule type="cellIs" dxfId="1870" priority="11781" operator="equal">
      <formula>$G$133</formula>
    </cfRule>
  </conditionalFormatting>
  <conditionalFormatting sqref="C1090:C1105">
    <cfRule type="containsText" dxfId="1869" priority="11763" operator="containsText" text="Short Buildup">
      <formula>NOT(ISERROR(SEARCH("Short Buildup",C1090)))</formula>
    </cfRule>
    <cfRule type="containsText" dxfId="1868" priority="11764" operator="containsText" text="Long Liquidation">
      <formula>NOT(ISERROR(SEARCH("Long Liquidation",C1090)))</formula>
    </cfRule>
    <cfRule type="containsText" dxfId="1867" priority="11765" operator="containsText" text="Short covering">
      <formula>NOT(ISERROR(SEARCH("Short covering",C1090)))</formula>
    </cfRule>
    <cfRule type="containsText" dxfId="1866" priority="11766" operator="containsText" text="Long Buildup">
      <formula>NOT(ISERROR(SEARCH("Long Buildup",C1090)))</formula>
    </cfRule>
  </conditionalFormatting>
  <conditionalFormatting sqref="H1090:H1106">
    <cfRule type="colorScale" priority="11758">
      <colorScale>
        <cfvo type="min"/>
        <cfvo type="percentile" val="20"/>
        <cfvo type="max"/>
        <color rgb="FF92D050"/>
        <color theme="5" tint="0.79998168889431442"/>
        <color rgb="FFFF0000"/>
      </colorScale>
    </cfRule>
    <cfRule type="colorScale" priority="11759">
      <colorScale>
        <cfvo type="min"/>
        <cfvo type="max"/>
        <color rgb="FFFF0000"/>
        <color rgb="FF92D050"/>
      </colorScale>
    </cfRule>
    <cfRule type="colorScale" priority="11760">
      <colorScale>
        <cfvo type="min"/>
        <cfvo type="percentile" val="50"/>
        <cfvo type="max"/>
        <color rgb="FF5A8AC6"/>
        <color rgb="FFFCFCFF"/>
        <color rgb="FFF8696B"/>
      </colorScale>
    </cfRule>
    <cfRule type="colorScale" priority="11761">
      <colorScale>
        <cfvo type="formula" val="&quot;&gt;20&quot;"/>
        <cfvo type="formula" val="35"/>
        <color rgb="FFF8696B"/>
        <color rgb="FFFCFCFF"/>
      </colorScale>
    </cfRule>
    <cfRule type="colorScale" priority="11762">
      <colorScale>
        <cfvo type="min"/>
        <cfvo type="max"/>
        <color rgb="FFFFEF9C"/>
        <color rgb="FF63BE7B"/>
      </colorScale>
    </cfRule>
  </conditionalFormatting>
  <conditionalFormatting sqref="N1090:N1106">
    <cfRule type="colorScale" priority="11753">
      <colorScale>
        <cfvo type="min"/>
        <cfvo type="percentile" val="20"/>
        <cfvo type="max"/>
        <color rgb="FF92D050"/>
        <color theme="5" tint="0.79998168889431442"/>
        <color rgb="FFFF0000"/>
      </colorScale>
    </cfRule>
    <cfRule type="colorScale" priority="11754">
      <colorScale>
        <cfvo type="min"/>
        <cfvo type="max"/>
        <color rgb="FFFF0000"/>
        <color rgb="FF92D050"/>
      </colorScale>
    </cfRule>
    <cfRule type="colorScale" priority="11755">
      <colorScale>
        <cfvo type="min"/>
        <cfvo type="percentile" val="50"/>
        <cfvo type="max"/>
        <color rgb="FF5A8AC6"/>
        <color rgb="FFFCFCFF"/>
        <color rgb="FFF8696B"/>
      </colorScale>
    </cfRule>
    <cfRule type="colorScale" priority="11756">
      <colorScale>
        <cfvo type="formula" val="&quot;&gt;20&quot;"/>
        <cfvo type="formula" val="35"/>
        <color rgb="FFF8696B"/>
        <color rgb="FFFCFCFF"/>
      </colorScale>
    </cfRule>
    <cfRule type="colorScale" priority="11757">
      <colorScale>
        <cfvo type="min"/>
        <cfvo type="max"/>
        <color rgb="FFFFEF9C"/>
        <color rgb="FF63BE7B"/>
      </colorScale>
    </cfRule>
  </conditionalFormatting>
  <conditionalFormatting sqref="S1090:S1106">
    <cfRule type="containsText" dxfId="1865" priority="11749" operator="containsText" text="Short Buildup">
      <formula>NOT(ISERROR(SEARCH("Short Buildup",S1090)))</formula>
    </cfRule>
    <cfRule type="containsText" dxfId="1864" priority="11750" operator="containsText" text="Long Liquidation">
      <formula>NOT(ISERROR(SEARCH("Long Liquidation",S1090)))</formula>
    </cfRule>
    <cfRule type="containsText" dxfId="1863" priority="11751" operator="containsText" text="Short covering">
      <formula>NOT(ISERROR(SEARCH("Short covering",S1090)))</formula>
    </cfRule>
    <cfRule type="containsText" dxfId="1862" priority="11752" operator="containsText" text="Long Buildup">
      <formula>NOT(ISERROR(SEARCH("Long Buildup",S1090)))</formula>
    </cfRule>
  </conditionalFormatting>
  <conditionalFormatting sqref="R1107:R1123 D1107:D1122 C1123">
    <cfRule type="containsText" dxfId="1861" priority="11735" operator="containsText" text="DOWN">
      <formula>NOT(ISERROR(SEARCH("DOWN",C1107)))</formula>
    </cfRule>
  </conditionalFormatting>
  <conditionalFormatting sqref="R1107:R1123 D1107:D1122 C1123">
    <cfRule type="containsText" dxfId="1860" priority="11734" operator="containsText" text="UP">
      <formula>NOT(ISERROR(SEARCH("UP",C1107)))</formula>
    </cfRule>
  </conditionalFormatting>
  <conditionalFormatting sqref="I1107:I1123">
    <cfRule type="colorScale" priority="11736">
      <colorScale>
        <cfvo type="min"/>
        <cfvo type="max"/>
        <color rgb="FFFFEF9C"/>
        <color rgb="FF63BE7B"/>
      </colorScale>
    </cfRule>
  </conditionalFormatting>
  <conditionalFormatting sqref="M1107:M1123">
    <cfRule type="colorScale" priority="11737">
      <colorScale>
        <cfvo type="min"/>
        <cfvo type="max"/>
        <color rgb="FFFF7128"/>
        <color rgb="FFFFEF9C"/>
      </colorScale>
    </cfRule>
  </conditionalFormatting>
  <conditionalFormatting sqref="Q1107:Q1123">
    <cfRule type="dataBar" priority="11738">
      <dataBar>
        <cfvo type="min"/>
        <cfvo type="max"/>
        <color rgb="FFFF555A"/>
      </dataBar>
    </cfRule>
  </conditionalFormatting>
  <conditionalFormatting sqref="E1107:E1123">
    <cfRule type="dataBar" priority="11739">
      <dataBar>
        <cfvo type="min"/>
        <cfvo type="max"/>
        <color rgb="FFFF555A"/>
      </dataBar>
    </cfRule>
  </conditionalFormatting>
  <conditionalFormatting sqref="F1107:F1123">
    <cfRule type="top10" dxfId="1859" priority="11740" rank="1"/>
  </conditionalFormatting>
  <conditionalFormatting sqref="P1107:P1122">
    <cfRule type="top10" dxfId="1858" priority="11741" rank="1"/>
  </conditionalFormatting>
  <conditionalFormatting sqref="G1107:G1123 O1107:O1122 P1123">
    <cfRule type="cellIs" dxfId="1857" priority="11742" operator="equal">
      <formula>$G$135</formula>
    </cfRule>
  </conditionalFormatting>
  <conditionalFormatting sqref="O1107:O1122 P1123">
    <cfRule type="cellIs" dxfId="1856" priority="11743" operator="equal">
      <formula>$J$135</formula>
    </cfRule>
  </conditionalFormatting>
  <conditionalFormatting sqref="G1107:G1123 O1107:O1122 P1123">
    <cfRule type="cellIs" dxfId="1855" priority="11744" operator="equal">
      <formula>#REF!</formula>
    </cfRule>
  </conditionalFormatting>
  <conditionalFormatting sqref="G1107:G1123">
    <cfRule type="top10" dxfId="1854" priority="11745" rank="1"/>
    <cfRule type="cellIs" dxfId="1853" priority="11746" operator="equal">
      <formula>$G$133</formula>
    </cfRule>
  </conditionalFormatting>
  <conditionalFormatting sqref="O1107:O1122 P1123">
    <cfRule type="top10" dxfId="1852" priority="11747" rank="1"/>
    <cfRule type="cellIs" dxfId="1851" priority="11748" operator="equal">
      <formula>$G$133</formula>
    </cfRule>
  </conditionalFormatting>
  <conditionalFormatting sqref="C1107:C1122">
    <cfRule type="containsText" dxfId="1850" priority="11730" operator="containsText" text="Short Buildup">
      <formula>NOT(ISERROR(SEARCH("Short Buildup",C1107)))</formula>
    </cfRule>
    <cfRule type="containsText" dxfId="1849" priority="11731" operator="containsText" text="Long Liquidation">
      <formula>NOT(ISERROR(SEARCH("Long Liquidation",C1107)))</formula>
    </cfRule>
    <cfRule type="containsText" dxfId="1848" priority="11732" operator="containsText" text="Short covering">
      <formula>NOT(ISERROR(SEARCH("Short covering",C1107)))</formula>
    </cfRule>
    <cfRule type="containsText" dxfId="1847" priority="11733" operator="containsText" text="Long Buildup">
      <formula>NOT(ISERROR(SEARCH("Long Buildup",C1107)))</formula>
    </cfRule>
  </conditionalFormatting>
  <conditionalFormatting sqref="H1107:H1123">
    <cfRule type="colorScale" priority="11725">
      <colorScale>
        <cfvo type="min"/>
        <cfvo type="percentile" val="20"/>
        <cfvo type="max"/>
        <color rgb="FF92D050"/>
        <color theme="5" tint="0.79998168889431442"/>
        <color rgb="FFFF0000"/>
      </colorScale>
    </cfRule>
    <cfRule type="colorScale" priority="11726">
      <colorScale>
        <cfvo type="min"/>
        <cfvo type="max"/>
        <color rgb="FFFF0000"/>
        <color rgb="FF92D050"/>
      </colorScale>
    </cfRule>
    <cfRule type="colorScale" priority="11727">
      <colorScale>
        <cfvo type="min"/>
        <cfvo type="percentile" val="50"/>
        <cfvo type="max"/>
        <color rgb="FF5A8AC6"/>
        <color rgb="FFFCFCFF"/>
        <color rgb="FFF8696B"/>
      </colorScale>
    </cfRule>
    <cfRule type="colorScale" priority="11728">
      <colorScale>
        <cfvo type="formula" val="&quot;&gt;20&quot;"/>
        <cfvo type="formula" val="35"/>
        <color rgb="FFF8696B"/>
        <color rgb="FFFCFCFF"/>
      </colorScale>
    </cfRule>
    <cfRule type="colorScale" priority="11729">
      <colorScale>
        <cfvo type="min"/>
        <cfvo type="max"/>
        <color rgb="FFFFEF9C"/>
        <color rgb="FF63BE7B"/>
      </colorScale>
    </cfRule>
  </conditionalFormatting>
  <conditionalFormatting sqref="N1107:N1123">
    <cfRule type="colorScale" priority="11720">
      <colorScale>
        <cfvo type="min"/>
        <cfvo type="percentile" val="20"/>
        <cfvo type="max"/>
        <color rgb="FF92D050"/>
        <color theme="5" tint="0.79998168889431442"/>
        <color rgb="FFFF0000"/>
      </colorScale>
    </cfRule>
    <cfRule type="colorScale" priority="11721">
      <colorScale>
        <cfvo type="min"/>
        <cfvo type="max"/>
        <color rgb="FFFF0000"/>
        <color rgb="FF92D050"/>
      </colorScale>
    </cfRule>
    <cfRule type="colorScale" priority="11722">
      <colorScale>
        <cfvo type="min"/>
        <cfvo type="percentile" val="50"/>
        <cfvo type="max"/>
        <color rgb="FF5A8AC6"/>
        <color rgb="FFFCFCFF"/>
        <color rgb="FFF8696B"/>
      </colorScale>
    </cfRule>
    <cfRule type="colorScale" priority="11723">
      <colorScale>
        <cfvo type="formula" val="&quot;&gt;20&quot;"/>
        <cfvo type="formula" val="35"/>
        <color rgb="FFF8696B"/>
        <color rgb="FFFCFCFF"/>
      </colorScale>
    </cfRule>
    <cfRule type="colorScale" priority="11724">
      <colorScale>
        <cfvo type="min"/>
        <cfvo type="max"/>
        <color rgb="FFFFEF9C"/>
        <color rgb="FF63BE7B"/>
      </colorScale>
    </cfRule>
  </conditionalFormatting>
  <conditionalFormatting sqref="S1107:S1123">
    <cfRule type="containsText" dxfId="1846" priority="11716" operator="containsText" text="Short Buildup">
      <formula>NOT(ISERROR(SEARCH("Short Buildup",S1107)))</formula>
    </cfRule>
    <cfRule type="containsText" dxfId="1845" priority="11717" operator="containsText" text="Long Liquidation">
      <formula>NOT(ISERROR(SEARCH("Long Liquidation",S1107)))</formula>
    </cfRule>
    <cfRule type="containsText" dxfId="1844" priority="11718" operator="containsText" text="Short covering">
      <formula>NOT(ISERROR(SEARCH("Short covering",S1107)))</formula>
    </cfRule>
    <cfRule type="containsText" dxfId="1843" priority="11719" operator="containsText" text="Long Buildup">
      <formula>NOT(ISERROR(SEARCH("Long Buildup",S1107)))</formula>
    </cfRule>
  </conditionalFormatting>
  <conditionalFormatting sqref="R1124:R1140 D1124:D1139 C1140">
    <cfRule type="containsText" dxfId="1842" priority="11702" operator="containsText" text="DOWN">
      <formula>NOT(ISERROR(SEARCH("DOWN",C1124)))</formula>
    </cfRule>
  </conditionalFormatting>
  <conditionalFormatting sqref="R1124:R1140 D1124:D1139 C1140">
    <cfRule type="containsText" dxfId="1841" priority="11701" operator="containsText" text="UP">
      <formula>NOT(ISERROR(SEARCH("UP",C1124)))</formula>
    </cfRule>
  </conditionalFormatting>
  <conditionalFormatting sqref="I1124:I1140">
    <cfRule type="colorScale" priority="11703">
      <colorScale>
        <cfvo type="min"/>
        <cfvo type="max"/>
        <color rgb="FFFFEF9C"/>
        <color rgb="FF63BE7B"/>
      </colorScale>
    </cfRule>
  </conditionalFormatting>
  <conditionalFormatting sqref="M1124:M1140">
    <cfRule type="colorScale" priority="11704">
      <colorScale>
        <cfvo type="min"/>
        <cfvo type="max"/>
        <color rgb="FFFF7128"/>
        <color rgb="FFFFEF9C"/>
      </colorScale>
    </cfRule>
  </conditionalFormatting>
  <conditionalFormatting sqref="Q1124:Q1140">
    <cfRule type="dataBar" priority="11705">
      <dataBar>
        <cfvo type="min"/>
        <cfvo type="max"/>
        <color rgb="FFFF555A"/>
      </dataBar>
    </cfRule>
  </conditionalFormatting>
  <conditionalFormatting sqref="E1124:E1140">
    <cfRule type="dataBar" priority="11706">
      <dataBar>
        <cfvo type="min"/>
        <cfvo type="max"/>
        <color rgb="FFFF555A"/>
      </dataBar>
    </cfRule>
  </conditionalFormatting>
  <conditionalFormatting sqref="F1124:F1140">
    <cfRule type="top10" dxfId="1840" priority="11707" rank="1"/>
  </conditionalFormatting>
  <conditionalFormatting sqref="P1124:P1139">
    <cfRule type="top10" dxfId="1839" priority="11708" rank="1"/>
  </conditionalFormatting>
  <conditionalFormatting sqref="G1124:G1140 O1124:O1139 P1140">
    <cfRule type="cellIs" dxfId="1838" priority="11709" operator="equal">
      <formula>$G$135</formula>
    </cfRule>
  </conditionalFormatting>
  <conditionalFormatting sqref="O1124:O1139 P1140">
    <cfRule type="cellIs" dxfId="1837" priority="11710" operator="equal">
      <formula>$J$135</formula>
    </cfRule>
  </conditionalFormatting>
  <conditionalFormatting sqref="G1124:G1140 O1124:O1139 P1140">
    <cfRule type="cellIs" dxfId="1836" priority="11711" operator="equal">
      <formula>#REF!</formula>
    </cfRule>
  </conditionalFormatting>
  <conditionalFormatting sqref="G1124:G1140">
    <cfRule type="top10" dxfId="1835" priority="11712" rank="1"/>
    <cfRule type="cellIs" dxfId="1834" priority="11713" operator="equal">
      <formula>$G$133</formula>
    </cfRule>
  </conditionalFormatting>
  <conditionalFormatting sqref="O1124:O1139 P1140">
    <cfRule type="top10" dxfId="1833" priority="11714" rank="1"/>
    <cfRule type="cellIs" dxfId="1832" priority="11715" operator="equal">
      <formula>$G$133</formula>
    </cfRule>
  </conditionalFormatting>
  <conditionalFormatting sqref="C1124:C1139">
    <cfRule type="containsText" dxfId="1831" priority="11697" operator="containsText" text="Short Buildup">
      <formula>NOT(ISERROR(SEARCH("Short Buildup",C1124)))</formula>
    </cfRule>
    <cfRule type="containsText" dxfId="1830" priority="11698" operator="containsText" text="Long Liquidation">
      <formula>NOT(ISERROR(SEARCH("Long Liquidation",C1124)))</formula>
    </cfRule>
    <cfRule type="containsText" dxfId="1829" priority="11699" operator="containsText" text="Short covering">
      <formula>NOT(ISERROR(SEARCH("Short covering",C1124)))</formula>
    </cfRule>
    <cfRule type="containsText" dxfId="1828" priority="11700" operator="containsText" text="Long Buildup">
      <formula>NOT(ISERROR(SEARCH("Long Buildup",C1124)))</formula>
    </cfRule>
  </conditionalFormatting>
  <conditionalFormatting sqref="H1124:H1140">
    <cfRule type="colorScale" priority="11692">
      <colorScale>
        <cfvo type="min"/>
        <cfvo type="percentile" val="20"/>
        <cfvo type="max"/>
        <color rgb="FF92D050"/>
        <color theme="5" tint="0.79998168889431442"/>
        <color rgb="FFFF0000"/>
      </colorScale>
    </cfRule>
    <cfRule type="colorScale" priority="11693">
      <colorScale>
        <cfvo type="min"/>
        <cfvo type="max"/>
        <color rgb="FFFF0000"/>
        <color rgb="FF92D050"/>
      </colorScale>
    </cfRule>
    <cfRule type="colorScale" priority="11694">
      <colorScale>
        <cfvo type="min"/>
        <cfvo type="percentile" val="50"/>
        <cfvo type="max"/>
        <color rgb="FF5A8AC6"/>
        <color rgb="FFFCFCFF"/>
        <color rgb="FFF8696B"/>
      </colorScale>
    </cfRule>
    <cfRule type="colorScale" priority="11695">
      <colorScale>
        <cfvo type="formula" val="&quot;&gt;20&quot;"/>
        <cfvo type="formula" val="35"/>
        <color rgb="FFF8696B"/>
        <color rgb="FFFCFCFF"/>
      </colorScale>
    </cfRule>
    <cfRule type="colorScale" priority="11696">
      <colorScale>
        <cfvo type="min"/>
        <cfvo type="max"/>
        <color rgb="FFFFEF9C"/>
        <color rgb="FF63BE7B"/>
      </colorScale>
    </cfRule>
  </conditionalFormatting>
  <conditionalFormatting sqref="N1124:N1140">
    <cfRule type="colorScale" priority="11687">
      <colorScale>
        <cfvo type="min"/>
        <cfvo type="percentile" val="20"/>
        <cfvo type="max"/>
        <color rgb="FF92D050"/>
        <color theme="5" tint="0.79998168889431442"/>
        <color rgb="FFFF0000"/>
      </colorScale>
    </cfRule>
    <cfRule type="colorScale" priority="11688">
      <colorScale>
        <cfvo type="min"/>
        <cfvo type="max"/>
        <color rgb="FFFF0000"/>
        <color rgb="FF92D050"/>
      </colorScale>
    </cfRule>
    <cfRule type="colorScale" priority="11689">
      <colorScale>
        <cfvo type="min"/>
        <cfvo type="percentile" val="50"/>
        <cfvo type="max"/>
        <color rgb="FF5A8AC6"/>
        <color rgb="FFFCFCFF"/>
        <color rgb="FFF8696B"/>
      </colorScale>
    </cfRule>
    <cfRule type="colorScale" priority="11690">
      <colorScale>
        <cfvo type="formula" val="&quot;&gt;20&quot;"/>
        <cfvo type="formula" val="35"/>
        <color rgb="FFF8696B"/>
        <color rgb="FFFCFCFF"/>
      </colorScale>
    </cfRule>
    <cfRule type="colorScale" priority="11691">
      <colorScale>
        <cfvo type="min"/>
        <cfvo type="max"/>
        <color rgb="FFFFEF9C"/>
        <color rgb="FF63BE7B"/>
      </colorScale>
    </cfRule>
  </conditionalFormatting>
  <conditionalFormatting sqref="S1124:S1140">
    <cfRule type="containsText" dxfId="1827" priority="11683" operator="containsText" text="Short Buildup">
      <formula>NOT(ISERROR(SEARCH("Short Buildup",S1124)))</formula>
    </cfRule>
    <cfRule type="containsText" dxfId="1826" priority="11684" operator="containsText" text="Long Liquidation">
      <formula>NOT(ISERROR(SEARCH("Long Liquidation",S1124)))</formula>
    </cfRule>
    <cfRule type="containsText" dxfId="1825" priority="11685" operator="containsText" text="Short covering">
      <formula>NOT(ISERROR(SEARCH("Short covering",S1124)))</formula>
    </cfRule>
    <cfRule type="containsText" dxfId="1824" priority="11686" operator="containsText" text="Long Buildup">
      <formula>NOT(ISERROR(SEARCH("Long Buildup",S1124)))</formula>
    </cfRule>
  </conditionalFormatting>
  <conditionalFormatting sqref="R1141:R1157 D1141:D1156 C1157">
    <cfRule type="containsText" dxfId="1823" priority="11669" operator="containsText" text="DOWN">
      <formula>NOT(ISERROR(SEARCH("DOWN",C1141)))</formula>
    </cfRule>
  </conditionalFormatting>
  <conditionalFormatting sqref="R1141:R1157 D1141:D1156 C1157">
    <cfRule type="containsText" dxfId="1822" priority="11668" operator="containsText" text="UP">
      <formula>NOT(ISERROR(SEARCH("UP",C1141)))</formula>
    </cfRule>
  </conditionalFormatting>
  <conditionalFormatting sqref="I1141:I1157">
    <cfRule type="colorScale" priority="11670">
      <colorScale>
        <cfvo type="min"/>
        <cfvo type="max"/>
        <color rgb="FFFFEF9C"/>
        <color rgb="FF63BE7B"/>
      </colorScale>
    </cfRule>
  </conditionalFormatting>
  <conditionalFormatting sqref="M1141:M1157">
    <cfRule type="colorScale" priority="11671">
      <colorScale>
        <cfvo type="min"/>
        <cfvo type="max"/>
        <color rgb="FFFF7128"/>
        <color rgb="FFFFEF9C"/>
      </colorScale>
    </cfRule>
  </conditionalFormatting>
  <conditionalFormatting sqref="Q1141:Q1157">
    <cfRule type="dataBar" priority="11672">
      <dataBar>
        <cfvo type="min"/>
        <cfvo type="max"/>
        <color rgb="FFFF555A"/>
      </dataBar>
    </cfRule>
  </conditionalFormatting>
  <conditionalFormatting sqref="E1141:E1157">
    <cfRule type="dataBar" priority="11673">
      <dataBar>
        <cfvo type="min"/>
        <cfvo type="max"/>
        <color rgb="FFFF555A"/>
      </dataBar>
    </cfRule>
  </conditionalFormatting>
  <conditionalFormatting sqref="F1141:F1157">
    <cfRule type="top10" dxfId="1821" priority="11674" rank="1"/>
  </conditionalFormatting>
  <conditionalFormatting sqref="P1141:P1156">
    <cfRule type="top10" dxfId="1820" priority="11675" rank="1"/>
  </conditionalFormatting>
  <conditionalFormatting sqref="G1141:G1157 O1141:O1156 P1157">
    <cfRule type="cellIs" dxfId="1819" priority="11676" operator="equal">
      <formula>$G$135</formula>
    </cfRule>
  </conditionalFormatting>
  <conditionalFormatting sqref="O1141:O1156 P1157">
    <cfRule type="cellIs" dxfId="1818" priority="11677" operator="equal">
      <formula>$J$135</formula>
    </cfRule>
  </conditionalFormatting>
  <conditionalFormatting sqref="G1141:G1157 O1141:O1156 P1157">
    <cfRule type="cellIs" dxfId="1817" priority="11678" operator="equal">
      <formula>#REF!</formula>
    </cfRule>
  </conditionalFormatting>
  <conditionalFormatting sqref="G1141:G1157">
    <cfRule type="top10" dxfId="1816" priority="11679" rank="1"/>
    <cfRule type="cellIs" dxfId="1815" priority="11680" operator="equal">
      <formula>$G$133</formula>
    </cfRule>
  </conditionalFormatting>
  <conditionalFormatting sqref="O1141:O1156 P1157">
    <cfRule type="top10" dxfId="1814" priority="11681" rank="1"/>
    <cfRule type="cellIs" dxfId="1813" priority="11682" operator="equal">
      <formula>$G$133</formula>
    </cfRule>
  </conditionalFormatting>
  <conditionalFormatting sqref="C1141:C1156">
    <cfRule type="containsText" dxfId="1812" priority="11664" operator="containsText" text="Short Buildup">
      <formula>NOT(ISERROR(SEARCH("Short Buildup",C1141)))</formula>
    </cfRule>
    <cfRule type="containsText" dxfId="1811" priority="11665" operator="containsText" text="Long Liquidation">
      <formula>NOT(ISERROR(SEARCH("Long Liquidation",C1141)))</formula>
    </cfRule>
    <cfRule type="containsText" dxfId="1810" priority="11666" operator="containsText" text="Short covering">
      <formula>NOT(ISERROR(SEARCH("Short covering",C1141)))</formula>
    </cfRule>
    <cfRule type="containsText" dxfId="1809" priority="11667" operator="containsText" text="Long Buildup">
      <formula>NOT(ISERROR(SEARCH("Long Buildup",C1141)))</formula>
    </cfRule>
  </conditionalFormatting>
  <conditionalFormatting sqref="H1141:H1157">
    <cfRule type="colorScale" priority="11659">
      <colorScale>
        <cfvo type="min"/>
        <cfvo type="percentile" val="20"/>
        <cfvo type="max"/>
        <color rgb="FF92D050"/>
        <color theme="5" tint="0.79998168889431442"/>
        <color rgb="FFFF0000"/>
      </colorScale>
    </cfRule>
    <cfRule type="colorScale" priority="11660">
      <colorScale>
        <cfvo type="min"/>
        <cfvo type="max"/>
        <color rgb="FFFF0000"/>
        <color rgb="FF92D050"/>
      </colorScale>
    </cfRule>
    <cfRule type="colorScale" priority="11661">
      <colorScale>
        <cfvo type="min"/>
        <cfvo type="percentile" val="50"/>
        <cfvo type="max"/>
        <color rgb="FF5A8AC6"/>
        <color rgb="FFFCFCFF"/>
        <color rgb="FFF8696B"/>
      </colorScale>
    </cfRule>
    <cfRule type="colorScale" priority="11662">
      <colorScale>
        <cfvo type="formula" val="&quot;&gt;20&quot;"/>
        <cfvo type="formula" val="35"/>
        <color rgb="FFF8696B"/>
        <color rgb="FFFCFCFF"/>
      </colorScale>
    </cfRule>
    <cfRule type="colorScale" priority="11663">
      <colorScale>
        <cfvo type="min"/>
        <cfvo type="max"/>
        <color rgb="FFFFEF9C"/>
        <color rgb="FF63BE7B"/>
      </colorScale>
    </cfRule>
  </conditionalFormatting>
  <conditionalFormatting sqref="N1141:N1157">
    <cfRule type="colorScale" priority="11654">
      <colorScale>
        <cfvo type="min"/>
        <cfvo type="percentile" val="20"/>
        <cfvo type="max"/>
        <color rgb="FF92D050"/>
        <color theme="5" tint="0.79998168889431442"/>
        <color rgb="FFFF0000"/>
      </colorScale>
    </cfRule>
    <cfRule type="colorScale" priority="11655">
      <colorScale>
        <cfvo type="min"/>
        <cfvo type="max"/>
        <color rgb="FFFF0000"/>
        <color rgb="FF92D050"/>
      </colorScale>
    </cfRule>
    <cfRule type="colorScale" priority="11656">
      <colorScale>
        <cfvo type="min"/>
        <cfvo type="percentile" val="50"/>
        <cfvo type="max"/>
        <color rgb="FF5A8AC6"/>
        <color rgb="FFFCFCFF"/>
        <color rgb="FFF8696B"/>
      </colorScale>
    </cfRule>
    <cfRule type="colorScale" priority="11657">
      <colorScale>
        <cfvo type="formula" val="&quot;&gt;20&quot;"/>
        <cfvo type="formula" val="35"/>
        <color rgb="FFF8696B"/>
        <color rgb="FFFCFCFF"/>
      </colorScale>
    </cfRule>
    <cfRule type="colorScale" priority="11658">
      <colorScale>
        <cfvo type="min"/>
        <cfvo type="max"/>
        <color rgb="FFFFEF9C"/>
        <color rgb="FF63BE7B"/>
      </colorScale>
    </cfRule>
  </conditionalFormatting>
  <conditionalFormatting sqref="S1141:S1157">
    <cfRule type="containsText" dxfId="1808" priority="11650" operator="containsText" text="Short Buildup">
      <formula>NOT(ISERROR(SEARCH("Short Buildup",S1141)))</formula>
    </cfRule>
    <cfRule type="containsText" dxfId="1807" priority="11651" operator="containsText" text="Long Liquidation">
      <formula>NOT(ISERROR(SEARCH("Long Liquidation",S1141)))</formula>
    </cfRule>
    <cfRule type="containsText" dxfId="1806" priority="11652" operator="containsText" text="Short covering">
      <formula>NOT(ISERROR(SEARCH("Short covering",S1141)))</formula>
    </cfRule>
    <cfRule type="containsText" dxfId="1805" priority="11653" operator="containsText" text="Long Buildup">
      <formula>NOT(ISERROR(SEARCH("Long Buildup",S1141)))</formula>
    </cfRule>
  </conditionalFormatting>
  <conditionalFormatting sqref="R1158:R1174 D1158:D1173 C1174">
    <cfRule type="containsText" dxfId="1804" priority="11636" operator="containsText" text="DOWN">
      <formula>NOT(ISERROR(SEARCH("DOWN",C1158)))</formula>
    </cfRule>
  </conditionalFormatting>
  <conditionalFormatting sqref="R1158:R1174 D1158:D1173 C1174">
    <cfRule type="containsText" dxfId="1803" priority="11635" operator="containsText" text="UP">
      <formula>NOT(ISERROR(SEARCH("UP",C1158)))</formula>
    </cfRule>
  </conditionalFormatting>
  <conditionalFormatting sqref="I1158:I1174">
    <cfRule type="colorScale" priority="11637">
      <colorScale>
        <cfvo type="min"/>
        <cfvo type="max"/>
        <color rgb="FFFFEF9C"/>
        <color rgb="FF63BE7B"/>
      </colorScale>
    </cfRule>
  </conditionalFormatting>
  <conditionalFormatting sqref="M1158:M1174">
    <cfRule type="colorScale" priority="11638">
      <colorScale>
        <cfvo type="min"/>
        <cfvo type="max"/>
        <color rgb="FFFF7128"/>
        <color rgb="FFFFEF9C"/>
      </colorScale>
    </cfRule>
  </conditionalFormatting>
  <conditionalFormatting sqref="Q1158:Q1174">
    <cfRule type="dataBar" priority="11639">
      <dataBar>
        <cfvo type="min"/>
        <cfvo type="max"/>
        <color rgb="FFFF555A"/>
      </dataBar>
    </cfRule>
  </conditionalFormatting>
  <conditionalFormatting sqref="E1158:E1174">
    <cfRule type="dataBar" priority="11640">
      <dataBar>
        <cfvo type="min"/>
        <cfvo type="max"/>
        <color rgb="FFFF555A"/>
      </dataBar>
    </cfRule>
  </conditionalFormatting>
  <conditionalFormatting sqref="F1158:F1174">
    <cfRule type="top10" dxfId="1802" priority="11641" rank="1"/>
  </conditionalFormatting>
  <conditionalFormatting sqref="P1158:P1173">
    <cfRule type="top10" dxfId="1801" priority="11642" rank="1"/>
  </conditionalFormatting>
  <conditionalFormatting sqref="G1158:G1174 O1158:O1173 P1174">
    <cfRule type="cellIs" dxfId="1800" priority="11643" operator="equal">
      <formula>$G$135</formula>
    </cfRule>
  </conditionalFormatting>
  <conditionalFormatting sqref="O1158:O1173 P1174">
    <cfRule type="cellIs" dxfId="1799" priority="11644" operator="equal">
      <formula>$J$135</formula>
    </cfRule>
  </conditionalFormatting>
  <conditionalFormatting sqref="G1158:G1174 O1158:O1173 P1174">
    <cfRule type="cellIs" dxfId="1798" priority="11645" operator="equal">
      <formula>#REF!</formula>
    </cfRule>
  </conditionalFormatting>
  <conditionalFormatting sqref="G1158:G1174">
    <cfRule type="top10" dxfId="1797" priority="11646" rank="1"/>
    <cfRule type="cellIs" dxfId="1796" priority="11647" operator="equal">
      <formula>$G$133</formula>
    </cfRule>
  </conditionalFormatting>
  <conditionalFormatting sqref="O1158:O1173 P1174">
    <cfRule type="top10" dxfId="1795" priority="11648" rank="1"/>
    <cfRule type="cellIs" dxfId="1794" priority="11649" operator="equal">
      <formula>$G$133</formula>
    </cfRule>
  </conditionalFormatting>
  <conditionalFormatting sqref="C1158:C1173">
    <cfRule type="containsText" dxfId="1793" priority="11631" operator="containsText" text="Short Buildup">
      <formula>NOT(ISERROR(SEARCH("Short Buildup",C1158)))</formula>
    </cfRule>
    <cfRule type="containsText" dxfId="1792" priority="11632" operator="containsText" text="Long Liquidation">
      <formula>NOT(ISERROR(SEARCH("Long Liquidation",C1158)))</formula>
    </cfRule>
    <cfRule type="containsText" dxfId="1791" priority="11633" operator="containsText" text="Short covering">
      <formula>NOT(ISERROR(SEARCH("Short covering",C1158)))</formula>
    </cfRule>
    <cfRule type="containsText" dxfId="1790" priority="11634" operator="containsText" text="Long Buildup">
      <formula>NOT(ISERROR(SEARCH("Long Buildup",C1158)))</formula>
    </cfRule>
  </conditionalFormatting>
  <conditionalFormatting sqref="H1158:H1174">
    <cfRule type="colorScale" priority="11626">
      <colorScale>
        <cfvo type="min"/>
        <cfvo type="percentile" val="20"/>
        <cfvo type="max"/>
        <color rgb="FF92D050"/>
        <color theme="5" tint="0.79998168889431442"/>
        <color rgb="FFFF0000"/>
      </colorScale>
    </cfRule>
    <cfRule type="colorScale" priority="11627">
      <colorScale>
        <cfvo type="min"/>
        <cfvo type="max"/>
        <color rgb="FFFF0000"/>
        <color rgb="FF92D050"/>
      </colorScale>
    </cfRule>
    <cfRule type="colorScale" priority="11628">
      <colorScale>
        <cfvo type="min"/>
        <cfvo type="percentile" val="50"/>
        <cfvo type="max"/>
        <color rgb="FF5A8AC6"/>
        <color rgb="FFFCFCFF"/>
        <color rgb="FFF8696B"/>
      </colorScale>
    </cfRule>
    <cfRule type="colorScale" priority="11629">
      <colorScale>
        <cfvo type="formula" val="&quot;&gt;20&quot;"/>
        <cfvo type="formula" val="35"/>
        <color rgb="FFF8696B"/>
        <color rgb="FFFCFCFF"/>
      </colorScale>
    </cfRule>
    <cfRule type="colorScale" priority="11630">
      <colorScale>
        <cfvo type="min"/>
        <cfvo type="max"/>
        <color rgb="FFFFEF9C"/>
        <color rgb="FF63BE7B"/>
      </colorScale>
    </cfRule>
  </conditionalFormatting>
  <conditionalFormatting sqref="N1158:N1174">
    <cfRule type="colorScale" priority="11621">
      <colorScale>
        <cfvo type="min"/>
        <cfvo type="percentile" val="20"/>
        <cfvo type="max"/>
        <color rgb="FF92D050"/>
        <color theme="5" tint="0.79998168889431442"/>
        <color rgb="FFFF0000"/>
      </colorScale>
    </cfRule>
    <cfRule type="colorScale" priority="11622">
      <colorScale>
        <cfvo type="min"/>
        <cfvo type="max"/>
        <color rgb="FFFF0000"/>
        <color rgb="FF92D050"/>
      </colorScale>
    </cfRule>
    <cfRule type="colorScale" priority="11623">
      <colorScale>
        <cfvo type="min"/>
        <cfvo type="percentile" val="50"/>
        <cfvo type="max"/>
        <color rgb="FF5A8AC6"/>
        <color rgb="FFFCFCFF"/>
        <color rgb="FFF8696B"/>
      </colorScale>
    </cfRule>
    <cfRule type="colorScale" priority="11624">
      <colorScale>
        <cfvo type="formula" val="&quot;&gt;20&quot;"/>
        <cfvo type="formula" val="35"/>
        <color rgb="FFF8696B"/>
        <color rgb="FFFCFCFF"/>
      </colorScale>
    </cfRule>
    <cfRule type="colorScale" priority="11625">
      <colorScale>
        <cfvo type="min"/>
        <cfvo type="max"/>
        <color rgb="FFFFEF9C"/>
        <color rgb="FF63BE7B"/>
      </colorScale>
    </cfRule>
  </conditionalFormatting>
  <conditionalFormatting sqref="S1158:S1174">
    <cfRule type="containsText" dxfId="1789" priority="11617" operator="containsText" text="Short Buildup">
      <formula>NOT(ISERROR(SEARCH("Short Buildup",S1158)))</formula>
    </cfRule>
    <cfRule type="containsText" dxfId="1788" priority="11618" operator="containsText" text="Long Liquidation">
      <formula>NOT(ISERROR(SEARCH("Long Liquidation",S1158)))</formula>
    </cfRule>
    <cfRule type="containsText" dxfId="1787" priority="11619" operator="containsText" text="Short covering">
      <formula>NOT(ISERROR(SEARCH("Short covering",S1158)))</formula>
    </cfRule>
    <cfRule type="containsText" dxfId="1786" priority="11620" operator="containsText" text="Long Buildup">
      <formula>NOT(ISERROR(SEARCH("Long Buildup",S1158)))</formula>
    </cfRule>
  </conditionalFormatting>
  <conditionalFormatting sqref="R920:R936 D920:D935 C936">
    <cfRule type="containsText" dxfId="1785" priority="8732" operator="containsText" text="DOWN">
      <formula>NOT(ISERROR(SEARCH("DOWN",C920)))</formula>
    </cfRule>
  </conditionalFormatting>
  <conditionalFormatting sqref="R920:R936 D920:D935 C936">
    <cfRule type="containsText" dxfId="1784" priority="8731" operator="containsText" text="UP">
      <formula>NOT(ISERROR(SEARCH("UP",C920)))</formula>
    </cfRule>
  </conditionalFormatting>
  <conditionalFormatting sqref="I920:I936">
    <cfRule type="colorScale" priority="8733">
      <colorScale>
        <cfvo type="min"/>
        <cfvo type="max"/>
        <color rgb="FFFFEF9C"/>
        <color rgb="FF63BE7B"/>
      </colorScale>
    </cfRule>
  </conditionalFormatting>
  <conditionalFormatting sqref="M920:M936">
    <cfRule type="colorScale" priority="8734">
      <colorScale>
        <cfvo type="min"/>
        <cfvo type="max"/>
        <color rgb="FFFF7128"/>
        <color rgb="FFFFEF9C"/>
      </colorScale>
    </cfRule>
  </conditionalFormatting>
  <conditionalFormatting sqref="Q920:Q936">
    <cfRule type="dataBar" priority="8735">
      <dataBar>
        <cfvo type="min"/>
        <cfvo type="max"/>
        <color rgb="FFFF555A"/>
      </dataBar>
    </cfRule>
  </conditionalFormatting>
  <conditionalFormatting sqref="E920:E936">
    <cfRule type="dataBar" priority="8736">
      <dataBar>
        <cfvo type="min"/>
        <cfvo type="max"/>
        <color rgb="FFFF555A"/>
      </dataBar>
    </cfRule>
  </conditionalFormatting>
  <conditionalFormatting sqref="F920:F936">
    <cfRule type="top10" dxfId="1783" priority="8737" rank="1"/>
  </conditionalFormatting>
  <conditionalFormatting sqref="P920:P935">
    <cfRule type="top10" dxfId="1782" priority="8738" rank="1"/>
  </conditionalFormatting>
  <conditionalFormatting sqref="G920:G936 O920:O935 P936">
    <cfRule type="cellIs" dxfId="1781" priority="8739" operator="equal">
      <formula>$G$135</formula>
    </cfRule>
  </conditionalFormatting>
  <conditionalFormatting sqref="O920:O935 P936">
    <cfRule type="cellIs" dxfId="1780" priority="8740" operator="equal">
      <formula>$J$135</formula>
    </cfRule>
  </conditionalFormatting>
  <conditionalFormatting sqref="G920:G936 O920:O935 P936">
    <cfRule type="cellIs" dxfId="1779" priority="8741" operator="equal">
      <formula>#REF!</formula>
    </cfRule>
  </conditionalFormatting>
  <conditionalFormatting sqref="G920:G936">
    <cfRule type="top10" dxfId="1778" priority="8742" rank="1"/>
    <cfRule type="cellIs" dxfId="1777" priority="8743" operator="equal">
      <formula>$G$133</formula>
    </cfRule>
  </conditionalFormatting>
  <conditionalFormatting sqref="O920:O935 P936">
    <cfRule type="top10" dxfId="1776" priority="8744" rank="1"/>
    <cfRule type="cellIs" dxfId="1775" priority="8745" operator="equal">
      <formula>$G$133</formula>
    </cfRule>
  </conditionalFormatting>
  <conditionalFormatting sqref="C920:C935">
    <cfRule type="containsText" dxfId="1774" priority="8727" operator="containsText" text="Short Buildup">
      <formula>NOT(ISERROR(SEARCH("Short Buildup",C920)))</formula>
    </cfRule>
    <cfRule type="containsText" dxfId="1773" priority="8728" operator="containsText" text="Long Liquidation">
      <formula>NOT(ISERROR(SEARCH("Long Liquidation",C920)))</formula>
    </cfRule>
    <cfRule type="containsText" dxfId="1772" priority="8729" operator="containsText" text="Short covering">
      <formula>NOT(ISERROR(SEARCH("Short covering",C920)))</formula>
    </cfRule>
    <cfRule type="containsText" dxfId="1771" priority="8730" operator="containsText" text="Long Buildup">
      <formula>NOT(ISERROR(SEARCH("Long Buildup",C920)))</formula>
    </cfRule>
  </conditionalFormatting>
  <conditionalFormatting sqref="H920:H936">
    <cfRule type="colorScale" priority="8722">
      <colorScale>
        <cfvo type="min"/>
        <cfvo type="percentile" val="20"/>
        <cfvo type="max"/>
        <color rgb="FF92D050"/>
        <color theme="5" tint="0.79998168889431442"/>
        <color rgb="FFFF0000"/>
      </colorScale>
    </cfRule>
    <cfRule type="colorScale" priority="8723">
      <colorScale>
        <cfvo type="min"/>
        <cfvo type="max"/>
        <color rgb="FFFF0000"/>
        <color rgb="FF92D050"/>
      </colorScale>
    </cfRule>
    <cfRule type="colorScale" priority="8724">
      <colorScale>
        <cfvo type="min"/>
        <cfvo type="percentile" val="50"/>
        <cfvo type="max"/>
        <color rgb="FF5A8AC6"/>
        <color rgb="FFFCFCFF"/>
        <color rgb="FFF8696B"/>
      </colorScale>
    </cfRule>
    <cfRule type="colorScale" priority="8725">
      <colorScale>
        <cfvo type="formula" val="&quot;&gt;20&quot;"/>
        <cfvo type="formula" val="35"/>
        <color rgb="FFF8696B"/>
        <color rgb="FFFCFCFF"/>
      </colorScale>
    </cfRule>
    <cfRule type="colorScale" priority="8726">
      <colorScale>
        <cfvo type="min"/>
        <cfvo type="max"/>
        <color rgb="FFFFEF9C"/>
        <color rgb="FF63BE7B"/>
      </colorScale>
    </cfRule>
  </conditionalFormatting>
  <conditionalFormatting sqref="N920:N936">
    <cfRule type="colorScale" priority="8717">
      <colorScale>
        <cfvo type="min"/>
        <cfvo type="percentile" val="20"/>
        <cfvo type="max"/>
        <color rgb="FF92D050"/>
        <color theme="5" tint="0.79998168889431442"/>
        <color rgb="FFFF0000"/>
      </colorScale>
    </cfRule>
    <cfRule type="colorScale" priority="8718">
      <colorScale>
        <cfvo type="min"/>
        <cfvo type="max"/>
        <color rgb="FFFF0000"/>
        <color rgb="FF92D050"/>
      </colorScale>
    </cfRule>
    <cfRule type="colorScale" priority="8719">
      <colorScale>
        <cfvo type="min"/>
        <cfvo type="percentile" val="50"/>
        <cfvo type="max"/>
        <color rgb="FF5A8AC6"/>
        <color rgb="FFFCFCFF"/>
        <color rgb="FFF8696B"/>
      </colorScale>
    </cfRule>
    <cfRule type="colorScale" priority="8720">
      <colorScale>
        <cfvo type="formula" val="&quot;&gt;20&quot;"/>
        <cfvo type="formula" val="35"/>
        <color rgb="FFF8696B"/>
        <color rgb="FFFCFCFF"/>
      </colorScale>
    </cfRule>
    <cfRule type="colorScale" priority="8721">
      <colorScale>
        <cfvo type="min"/>
        <cfvo type="max"/>
        <color rgb="FFFFEF9C"/>
        <color rgb="FF63BE7B"/>
      </colorScale>
    </cfRule>
  </conditionalFormatting>
  <conditionalFormatting sqref="S920:S936">
    <cfRule type="containsText" dxfId="1770" priority="8713" operator="containsText" text="Short Buildup">
      <formula>NOT(ISERROR(SEARCH("Short Buildup",S920)))</formula>
    </cfRule>
    <cfRule type="containsText" dxfId="1769" priority="8714" operator="containsText" text="Long Liquidation">
      <formula>NOT(ISERROR(SEARCH("Long Liquidation",S920)))</formula>
    </cfRule>
    <cfRule type="containsText" dxfId="1768" priority="8715" operator="containsText" text="Short covering">
      <formula>NOT(ISERROR(SEARCH("Short covering",S920)))</formula>
    </cfRule>
    <cfRule type="containsText" dxfId="1767" priority="8716" operator="containsText" text="Long Buildup">
      <formula>NOT(ISERROR(SEARCH("Long Buildup",S920)))</formula>
    </cfRule>
  </conditionalFormatting>
  <conditionalFormatting sqref="R699:R715 D699:D714 C715">
    <cfRule type="containsText" dxfId="1766" priority="4508" operator="containsText" text="DOWN">
      <formula>NOT(ISERROR(SEARCH("DOWN",C699)))</formula>
    </cfRule>
  </conditionalFormatting>
  <conditionalFormatting sqref="R699:R715 D699:D714 C715">
    <cfRule type="containsText" dxfId="1765" priority="4507" operator="containsText" text="UP">
      <formula>NOT(ISERROR(SEARCH("UP",C699)))</formula>
    </cfRule>
  </conditionalFormatting>
  <conditionalFormatting sqref="I699:I715">
    <cfRule type="colorScale" priority="4509">
      <colorScale>
        <cfvo type="min"/>
        <cfvo type="max"/>
        <color rgb="FFFFEF9C"/>
        <color rgb="FF63BE7B"/>
      </colorScale>
    </cfRule>
  </conditionalFormatting>
  <conditionalFormatting sqref="M699:M715">
    <cfRule type="colorScale" priority="4510">
      <colorScale>
        <cfvo type="min"/>
        <cfvo type="max"/>
        <color rgb="FFFF7128"/>
        <color rgb="FFFFEF9C"/>
      </colorScale>
    </cfRule>
  </conditionalFormatting>
  <conditionalFormatting sqref="Q699:Q715">
    <cfRule type="dataBar" priority="4511">
      <dataBar>
        <cfvo type="min"/>
        <cfvo type="max"/>
        <color rgb="FFFF555A"/>
      </dataBar>
    </cfRule>
  </conditionalFormatting>
  <conditionalFormatting sqref="E699:E715">
    <cfRule type="dataBar" priority="4512">
      <dataBar>
        <cfvo type="min"/>
        <cfvo type="max"/>
        <color rgb="FFFF555A"/>
      </dataBar>
    </cfRule>
  </conditionalFormatting>
  <conditionalFormatting sqref="F699:F715">
    <cfRule type="top10" dxfId="1764" priority="4513" rank="1"/>
  </conditionalFormatting>
  <conditionalFormatting sqref="P699:P714">
    <cfRule type="top10" dxfId="1763" priority="4514" rank="1"/>
  </conditionalFormatting>
  <conditionalFormatting sqref="G699:G715 O699:O714 P715">
    <cfRule type="cellIs" dxfId="1762" priority="4515" operator="equal">
      <formula>$G$135</formula>
    </cfRule>
  </conditionalFormatting>
  <conditionalFormatting sqref="O699:O714 P715">
    <cfRule type="cellIs" dxfId="1761" priority="4516" operator="equal">
      <formula>$J$135</formula>
    </cfRule>
  </conditionalFormatting>
  <conditionalFormatting sqref="G699:G715 O699:O714 P715">
    <cfRule type="cellIs" dxfId="1760" priority="4517" operator="equal">
      <formula>#REF!</formula>
    </cfRule>
  </conditionalFormatting>
  <conditionalFormatting sqref="G699:G715">
    <cfRule type="top10" dxfId="1759" priority="4518" rank="1"/>
    <cfRule type="cellIs" dxfId="1758" priority="4519" operator="equal">
      <formula>$G$133</formula>
    </cfRule>
  </conditionalFormatting>
  <conditionalFormatting sqref="O699:O714 P715">
    <cfRule type="top10" dxfId="1757" priority="4520" rank="1"/>
    <cfRule type="cellIs" dxfId="1756" priority="4521" operator="equal">
      <formula>$G$133</formula>
    </cfRule>
  </conditionalFormatting>
  <conditionalFormatting sqref="C699:C714">
    <cfRule type="containsText" dxfId="1755" priority="4503" operator="containsText" text="Short Buildup">
      <formula>NOT(ISERROR(SEARCH("Short Buildup",C699)))</formula>
    </cfRule>
    <cfRule type="containsText" dxfId="1754" priority="4504" operator="containsText" text="Long Liquidation">
      <formula>NOT(ISERROR(SEARCH("Long Liquidation",C699)))</formula>
    </cfRule>
    <cfRule type="containsText" dxfId="1753" priority="4505" operator="containsText" text="Short covering">
      <formula>NOT(ISERROR(SEARCH("Short covering",C699)))</formula>
    </cfRule>
    <cfRule type="containsText" dxfId="1752" priority="4506" operator="containsText" text="Long Buildup">
      <formula>NOT(ISERROR(SEARCH("Long Buildup",C699)))</formula>
    </cfRule>
  </conditionalFormatting>
  <conditionalFormatting sqref="H699:H715">
    <cfRule type="colorScale" priority="4498">
      <colorScale>
        <cfvo type="min"/>
        <cfvo type="percentile" val="20"/>
        <cfvo type="max"/>
        <color rgb="FF92D050"/>
        <color theme="5" tint="0.79998168889431442"/>
        <color rgb="FFFF0000"/>
      </colorScale>
    </cfRule>
    <cfRule type="colorScale" priority="4499">
      <colorScale>
        <cfvo type="min"/>
        <cfvo type="max"/>
        <color rgb="FFFF0000"/>
        <color rgb="FF92D050"/>
      </colorScale>
    </cfRule>
    <cfRule type="colorScale" priority="4500">
      <colorScale>
        <cfvo type="min"/>
        <cfvo type="percentile" val="50"/>
        <cfvo type="max"/>
        <color rgb="FF5A8AC6"/>
        <color rgb="FFFCFCFF"/>
        <color rgb="FFF8696B"/>
      </colorScale>
    </cfRule>
    <cfRule type="colorScale" priority="4501">
      <colorScale>
        <cfvo type="formula" val="&quot;&gt;20&quot;"/>
        <cfvo type="formula" val="35"/>
        <color rgb="FFF8696B"/>
        <color rgb="FFFCFCFF"/>
      </colorScale>
    </cfRule>
    <cfRule type="colorScale" priority="4502">
      <colorScale>
        <cfvo type="min"/>
        <cfvo type="max"/>
        <color rgb="FFFFEF9C"/>
        <color rgb="FF63BE7B"/>
      </colorScale>
    </cfRule>
  </conditionalFormatting>
  <conditionalFormatting sqref="N699:N715">
    <cfRule type="colorScale" priority="4493">
      <colorScale>
        <cfvo type="min"/>
        <cfvo type="percentile" val="20"/>
        <cfvo type="max"/>
        <color rgb="FF92D050"/>
        <color theme="5" tint="0.79998168889431442"/>
        <color rgb="FFFF0000"/>
      </colorScale>
    </cfRule>
    <cfRule type="colorScale" priority="4494">
      <colorScale>
        <cfvo type="min"/>
        <cfvo type="max"/>
        <color rgb="FFFF0000"/>
        <color rgb="FF92D050"/>
      </colorScale>
    </cfRule>
    <cfRule type="colorScale" priority="4495">
      <colorScale>
        <cfvo type="min"/>
        <cfvo type="percentile" val="50"/>
        <cfvo type="max"/>
        <color rgb="FF5A8AC6"/>
        <color rgb="FFFCFCFF"/>
        <color rgb="FFF8696B"/>
      </colorScale>
    </cfRule>
    <cfRule type="colorScale" priority="4496">
      <colorScale>
        <cfvo type="formula" val="&quot;&gt;20&quot;"/>
        <cfvo type="formula" val="35"/>
        <color rgb="FFF8696B"/>
        <color rgb="FFFCFCFF"/>
      </colorScale>
    </cfRule>
    <cfRule type="colorScale" priority="4497">
      <colorScale>
        <cfvo type="min"/>
        <cfvo type="max"/>
        <color rgb="FFFFEF9C"/>
        <color rgb="FF63BE7B"/>
      </colorScale>
    </cfRule>
  </conditionalFormatting>
  <conditionalFormatting sqref="S699:S715">
    <cfRule type="containsText" dxfId="1751" priority="4489" operator="containsText" text="Short Buildup">
      <formula>NOT(ISERROR(SEARCH("Short Buildup",S699)))</formula>
    </cfRule>
    <cfRule type="containsText" dxfId="1750" priority="4490" operator="containsText" text="Long Liquidation">
      <formula>NOT(ISERROR(SEARCH("Long Liquidation",S699)))</formula>
    </cfRule>
    <cfRule type="containsText" dxfId="1749" priority="4491" operator="containsText" text="Short covering">
      <formula>NOT(ISERROR(SEARCH("Short covering",S699)))</formula>
    </cfRule>
    <cfRule type="containsText" dxfId="1748" priority="4492" operator="containsText" text="Long Buildup">
      <formula>NOT(ISERROR(SEARCH("Long Buildup",S699)))</formula>
    </cfRule>
  </conditionalFormatting>
  <conditionalFormatting sqref="R716:R732 D716:D731 C732">
    <cfRule type="containsText" dxfId="1747" priority="4475" operator="containsText" text="DOWN">
      <formula>NOT(ISERROR(SEARCH("DOWN",C716)))</formula>
    </cfRule>
  </conditionalFormatting>
  <conditionalFormatting sqref="R716:R732 D716:D731 C732">
    <cfRule type="containsText" dxfId="1746" priority="4474" operator="containsText" text="UP">
      <formula>NOT(ISERROR(SEARCH("UP",C716)))</formula>
    </cfRule>
  </conditionalFormatting>
  <conditionalFormatting sqref="I716:I732">
    <cfRule type="colorScale" priority="4476">
      <colorScale>
        <cfvo type="min"/>
        <cfvo type="max"/>
        <color rgb="FFFFEF9C"/>
        <color rgb="FF63BE7B"/>
      </colorScale>
    </cfRule>
  </conditionalFormatting>
  <conditionalFormatting sqref="M716:M732">
    <cfRule type="colorScale" priority="4477">
      <colorScale>
        <cfvo type="min"/>
        <cfvo type="max"/>
        <color rgb="FFFF7128"/>
        <color rgb="FFFFEF9C"/>
      </colorScale>
    </cfRule>
  </conditionalFormatting>
  <conditionalFormatting sqref="Q716:Q732">
    <cfRule type="dataBar" priority="4478">
      <dataBar>
        <cfvo type="min"/>
        <cfvo type="max"/>
        <color rgb="FFFF555A"/>
      </dataBar>
    </cfRule>
  </conditionalFormatting>
  <conditionalFormatting sqref="E716:E732">
    <cfRule type="dataBar" priority="4479">
      <dataBar>
        <cfvo type="min"/>
        <cfvo type="max"/>
        <color rgb="FFFF555A"/>
      </dataBar>
    </cfRule>
  </conditionalFormatting>
  <conditionalFormatting sqref="F716:F732">
    <cfRule type="top10" dxfId="1745" priority="4480" rank="1"/>
  </conditionalFormatting>
  <conditionalFormatting sqref="P716:P731">
    <cfRule type="top10" dxfId="1744" priority="4481" rank="1"/>
  </conditionalFormatting>
  <conditionalFormatting sqref="G716:G732 O716:O731 P732">
    <cfRule type="cellIs" dxfId="1743" priority="4482" operator="equal">
      <formula>$G$135</formula>
    </cfRule>
  </conditionalFormatting>
  <conditionalFormatting sqref="O716:O731 P732">
    <cfRule type="cellIs" dxfId="1742" priority="4483" operator="equal">
      <formula>$J$135</formula>
    </cfRule>
  </conditionalFormatting>
  <conditionalFormatting sqref="G716:G732 O716:O731 P732">
    <cfRule type="cellIs" dxfId="1741" priority="4484" operator="equal">
      <formula>#REF!</formula>
    </cfRule>
  </conditionalFormatting>
  <conditionalFormatting sqref="G716:G732">
    <cfRule type="top10" dxfId="1740" priority="4485" rank="1"/>
    <cfRule type="cellIs" dxfId="1739" priority="4486" operator="equal">
      <formula>$G$133</formula>
    </cfRule>
  </conditionalFormatting>
  <conditionalFormatting sqref="O716:O731 P732">
    <cfRule type="top10" dxfId="1738" priority="4487" rank="1"/>
    <cfRule type="cellIs" dxfId="1737" priority="4488" operator="equal">
      <formula>$G$133</formula>
    </cfRule>
  </conditionalFormatting>
  <conditionalFormatting sqref="C716:C731">
    <cfRule type="containsText" dxfId="1736" priority="4470" operator="containsText" text="Short Buildup">
      <formula>NOT(ISERROR(SEARCH("Short Buildup",C716)))</formula>
    </cfRule>
    <cfRule type="containsText" dxfId="1735" priority="4471" operator="containsText" text="Long Liquidation">
      <formula>NOT(ISERROR(SEARCH("Long Liquidation",C716)))</formula>
    </cfRule>
    <cfRule type="containsText" dxfId="1734" priority="4472" operator="containsText" text="Short covering">
      <formula>NOT(ISERROR(SEARCH("Short covering",C716)))</formula>
    </cfRule>
    <cfRule type="containsText" dxfId="1733" priority="4473" operator="containsText" text="Long Buildup">
      <formula>NOT(ISERROR(SEARCH("Long Buildup",C716)))</formula>
    </cfRule>
  </conditionalFormatting>
  <conditionalFormatting sqref="H716:H732">
    <cfRule type="colorScale" priority="4465">
      <colorScale>
        <cfvo type="min"/>
        <cfvo type="percentile" val="20"/>
        <cfvo type="max"/>
        <color rgb="FF92D050"/>
        <color theme="5" tint="0.79998168889431442"/>
        <color rgb="FFFF0000"/>
      </colorScale>
    </cfRule>
    <cfRule type="colorScale" priority="4466">
      <colorScale>
        <cfvo type="min"/>
        <cfvo type="max"/>
        <color rgb="FFFF0000"/>
        <color rgb="FF92D050"/>
      </colorScale>
    </cfRule>
    <cfRule type="colorScale" priority="4467">
      <colorScale>
        <cfvo type="min"/>
        <cfvo type="percentile" val="50"/>
        <cfvo type="max"/>
        <color rgb="FF5A8AC6"/>
        <color rgb="FFFCFCFF"/>
        <color rgb="FFF8696B"/>
      </colorScale>
    </cfRule>
    <cfRule type="colorScale" priority="4468">
      <colorScale>
        <cfvo type="formula" val="&quot;&gt;20&quot;"/>
        <cfvo type="formula" val="35"/>
        <color rgb="FFF8696B"/>
        <color rgb="FFFCFCFF"/>
      </colorScale>
    </cfRule>
    <cfRule type="colorScale" priority="4469">
      <colorScale>
        <cfvo type="min"/>
        <cfvo type="max"/>
        <color rgb="FFFFEF9C"/>
        <color rgb="FF63BE7B"/>
      </colorScale>
    </cfRule>
  </conditionalFormatting>
  <conditionalFormatting sqref="N716:N732">
    <cfRule type="colorScale" priority="4460">
      <colorScale>
        <cfvo type="min"/>
        <cfvo type="percentile" val="20"/>
        <cfvo type="max"/>
        <color rgb="FF92D050"/>
        <color theme="5" tint="0.79998168889431442"/>
        <color rgb="FFFF0000"/>
      </colorScale>
    </cfRule>
    <cfRule type="colorScale" priority="4461">
      <colorScale>
        <cfvo type="min"/>
        <cfvo type="max"/>
        <color rgb="FFFF0000"/>
        <color rgb="FF92D050"/>
      </colorScale>
    </cfRule>
    <cfRule type="colorScale" priority="4462">
      <colorScale>
        <cfvo type="min"/>
        <cfvo type="percentile" val="50"/>
        <cfvo type="max"/>
        <color rgb="FF5A8AC6"/>
        <color rgb="FFFCFCFF"/>
        <color rgb="FFF8696B"/>
      </colorScale>
    </cfRule>
    <cfRule type="colorScale" priority="4463">
      <colorScale>
        <cfvo type="formula" val="&quot;&gt;20&quot;"/>
        <cfvo type="formula" val="35"/>
        <color rgb="FFF8696B"/>
        <color rgb="FFFCFCFF"/>
      </colorScale>
    </cfRule>
    <cfRule type="colorScale" priority="4464">
      <colorScale>
        <cfvo type="min"/>
        <cfvo type="max"/>
        <color rgb="FFFFEF9C"/>
        <color rgb="FF63BE7B"/>
      </colorScale>
    </cfRule>
  </conditionalFormatting>
  <conditionalFormatting sqref="S716:S732">
    <cfRule type="containsText" dxfId="1732" priority="4456" operator="containsText" text="Short Buildup">
      <formula>NOT(ISERROR(SEARCH("Short Buildup",S716)))</formula>
    </cfRule>
    <cfRule type="containsText" dxfId="1731" priority="4457" operator="containsText" text="Long Liquidation">
      <formula>NOT(ISERROR(SEARCH("Long Liquidation",S716)))</formula>
    </cfRule>
    <cfRule type="containsText" dxfId="1730" priority="4458" operator="containsText" text="Short covering">
      <formula>NOT(ISERROR(SEARCH("Short covering",S716)))</formula>
    </cfRule>
    <cfRule type="containsText" dxfId="1729" priority="4459" operator="containsText" text="Long Buildup">
      <formula>NOT(ISERROR(SEARCH("Long Buildup",S716)))</formula>
    </cfRule>
  </conditionalFormatting>
  <conditionalFormatting sqref="R733:R749 D733:D748 C749">
    <cfRule type="containsText" dxfId="1728" priority="4442" operator="containsText" text="DOWN">
      <formula>NOT(ISERROR(SEARCH("DOWN",C733)))</formula>
    </cfRule>
  </conditionalFormatting>
  <conditionalFormatting sqref="R733:R749 D733:D748 C749">
    <cfRule type="containsText" dxfId="1727" priority="4441" operator="containsText" text="UP">
      <formula>NOT(ISERROR(SEARCH("UP",C733)))</formula>
    </cfRule>
  </conditionalFormatting>
  <conditionalFormatting sqref="I733:I749">
    <cfRule type="colorScale" priority="4443">
      <colorScale>
        <cfvo type="min"/>
        <cfvo type="max"/>
        <color rgb="FFFFEF9C"/>
        <color rgb="FF63BE7B"/>
      </colorScale>
    </cfRule>
  </conditionalFormatting>
  <conditionalFormatting sqref="M733:M749">
    <cfRule type="colorScale" priority="4444">
      <colorScale>
        <cfvo type="min"/>
        <cfvo type="max"/>
        <color rgb="FFFF7128"/>
        <color rgb="FFFFEF9C"/>
      </colorScale>
    </cfRule>
  </conditionalFormatting>
  <conditionalFormatting sqref="Q733:Q749">
    <cfRule type="dataBar" priority="4445">
      <dataBar>
        <cfvo type="min"/>
        <cfvo type="max"/>
        <color rgb="FFFF555A"/>
      </dataBar>
    </cfRule>
  </conditionalFormatting>
  <conditionalFormatting sqref="E733:E749">
    <cfRule type="dataBar" priority="4446">
      <dataBar>
        <cfvo type="min"/>
        <cfvo type="max"/>
        <color rgb="FFFF555A"/>
      </dataBar>
    </cfRule>
  </conditionalFormatting>
  <conditionalFormatting sqref="F733:F749">
    <cfRule type="top10" dxfId="1726" priority="4447" rank="1"/>
  </conditionalFormatting>
  <conditionalFormatting sqref="P733:P748">
    <cfRule type="top10" dxfId="1725" priority="4448" rank="1"/>
  </conditionalFormatting>
  <conditionalFormatting sqref="G733:G749 O733:O748 P749">
    <cfRule type="cellIs" dxfId="1724" priority="4449" operator="equal">
      <formula>$G$135</formula>
    </cfRule>
  </conditionalFormatting>
  <conditionalFormatting sqref="O733:O748 P749">
    <cfRule type="cellIs" dxfId="1723" priority="4450" operator="equal">
      <formula>$J$135</formula>
    </cfRule>
  </conditionalFormatting>
  <conditionalFormatting sqref="G733:G749 O733:O748 P749">
    <cfRule type="cellIs" dxfId="1722" priority="4451" operator="equal">
      <formula>#REF!</formula>
    </cfRule>
  </conditionalFormatting>
  <conditionalFormatting sqref="G733:G749">
    <cfRule type="top10" dxfId="1721" priority="4452" rank="1"/>
    <cfRule type="cellIs" dxfId="1720" priority="4453" operator="equal">
      <formula>$G$133</formula>
    </cfRule>
  </conditionalFormatting>
  <conditionalFormatting sqref="O733:O748 P749">
    <cfRule type="top10" dxfId="1719" priority="4454" rank="1"/>
    <cfRule type="cellIs" dxfId="1718" priority="4455" operator="equal">
      <formula>$G$133</formula>
    </cfRule>
  </conditionalFormatting>
  <conditionalFormatting sqref="C733:C748">
    <cfRule type="containsText" dxfId="1717" priority="4437" operator="containsText" text="Short Buildup">
      <formula>NOT(ISERROR(SEARCH("Short Buildup",C733)))</formula>
    </cfRule>
    <cfRule type="containsText" dxfId="1716" priority="4438" operator="containsText" text="Long Liquidation">
      <formula>NOT(ISERROR(SEARCH("Long Liquidation",C733)))</formula>
    </cfRule>
    <cfRule type="containsText" dxfId="1715" priority="4439" operator="containsText" text="Short covering">
      <formula>NOT(ISERROR(SEARCH("Short covering",C733)))</formula>
    </cfRule>
    <cfRule type="containsText" dxfId="1714" priority="4440" operator="containsText" text="Long Buildup">
      <formula>NOT(ISERROR(SEARCH("Long Buildup",C733)))</formula>
    </cfRule>
  </conditionalFormatting>
  <conditionalFormatting sqref="H733:H749">
    <cfRule type="colorScale" priority="4432">
      <colorScale>
        <cfvo type="min"/>
        <cfvo type="percentile" val="20"/>
        <cfvo type="max"/>
        <color rgb="FF92D050"/>
        <color theme="5" tint="0.79998168889431442"/>
        <color rgb="FFFF0000"/>
      </colorScale>
    </cfRule>
    <cfRule type="colorScale" priority="4433">
      <colorScale>
        <cfvo type="min"/>
        <cfvo type="max"/>
        <color rgb="FFFF0000"/>
        <color rgb="FF92D050"/>
      </colorScale>
    </cfRule>
    <cfRule type="colorScale" priority="4434">
      <colorScale>
        <cfvo type="min"/>
        <cfvo type="percentile" val="50"/>
        <cfvo type="max"/>
        <color rgb="FF5A8AC6"/>
        <color rgb="FFFCFCFF"/>
        <color rgb="FFF8696B"/>
      </colorScale>
    </cfRule>
    <cfRule type="colorScale" priority="4435">
      <colorScale>
        <cfvo type="formula" val="&quot;&gt;20&quot;"/>
        <cfvo type="formula" val="35"/>
        <color rgb="FFF8696B"/>
        <color rgb="FFFCFCFF"/>
      </colorScale>
    </cfRule>
    <cfRule type="colorScale" priority="4436">
      <colorScale>
        <cfvo type="min"/>
        <cfvo type="max"/>
        <color rgb="FFFFEF9C"/>
        <color rgb="FF63BE7B"/>
      </colorScale>
    </cfRule>
  </conditionalFormatting>
  <conditionalFormatting sqref="N733:N749">
    <cfRule type="colorScale" priority="4427">
      <colorScale>
        <cfvo type="min"/>
        <cfvo type="percentile" val="20"/>
        <cfvo type="max"/>
        <color rgb="FF92D050"/>
        <color theme="5" tint="0.79998168889431442"/>
        <color rgb="FFFF0000"/>
      </colorScale>
    </cfRule>
    <cfRule type="colorScale" priority="4428">
      <colorScale>
        <cfvo type="min"/>
        <cfvo type="max"/>
        <color rgb="FFFF0000"/>
        <color rgb="FF92D050"/>
      </colorScale>
    </cfRule>
    <cfRule type="colorScale" priority="4429">
      <colorScale>
        <cfvo type="min"/>
        <cfvo type="percentile" val="50"/>
        <cfvo type="max"/>
        <color rgb="FF5A8AC6"/>
        <color rgb="FFFCFCFF"/>
        <color rgb="FFF8696B"/>
      </colorScale>
    </cfRule>
    <cfRule type="colorScale" priority="4430">
      <colorScale>
        <cfvo type="formula" val="&quot;&gt;20&quot;"/>
        <cfvo type="formula" val="35"/>
        <color rgb="FFF8696B"/>
        <color rgb="FFFCFCFF"/>
      </colorScale>
    </cfRule>
    <cfRule type="colorScale" priority="4431">
      <colorScale>
        <cfvo type="min"/>
        <cfvo type="max"/>
        <color rgb="FFFFEF9C"/>
        <color rgb="FF63BE7B"/>
      </colorScale>
    </cfRule>
  </conditionalFormatting>
  <conditionalFormatting sqref="S733:S749">
    <cfRule type="containsText" dxfId="1713" priority="4423" operator="containsText" text="Short Buildup">
      <formula>NOT(ISERROR(SEARCH("Short Buildup",S733)))</formula>
    </cfRule>
    <cfRule type="containsText" dxfId="1712" priority="4424" operator="containsText" text="Long Liquidation">
      <formula>NOT(ISERROR(SEARCH("Long Liquidation",S733)))</formula>
    </cfRule>
    <cfRule type="containsText" dxfId="1711" priority="4425" operator="containsText" text="Short covering">
      <formula>NOT(ISERROR(SEARCH("Short covering",S733)))</formula>
    </cfRule>
    <cfRule type="containsText" dxfId="1710" priority="4426" operator="containsText" text="Long Buildup">
      <formula>NOT(ISERROR(SEARCH("Long Buildup",S733)))</formula>
    </cfRule>
  </conditionalFormatting>
  <conditionalFormatting sqref="R750:R766 D750:D765 C766">
    <cfRule type="containsText" dxfId="1709" priority="4409" operator="containsText" text="DOWN">
      <formula>NOT(ISERROR(SEARCH("DOWN",C750)))</formula>
    </cfRule>
  </conditionalFormatting>
  <conditionalFormatting sqref="R750:R766 D750:D765 C766">
    <cfRule type="containsText" dxfId="1708" priority="4408" operator="containsText" text="UP">
      <formula>NOT(ISERROR(SEARCH("UP",C750)))</formula>
    </cfRule>
  </conditionalFormatting>
  <conditionalFormatting sqref="I750:I766">
    <cfRule type="colorScale" priority="4410">
      <colorScale>
        <cfvo type="min"/>
        <cfvo type="max"/>
        <color rgb="FFFFEF9C"/>
        <color rgb="FF63BE7B"/>
      </colorScale>
    </cfRule>
  </conditionalFormatting>
  <conditionalFormatting sqref="M750:M766">
    <cfRule type="colorScale" priority="4411">
      <colorScale>
        <cfvo type="min"/>
        <cfvo type="max"/>
        <color rgb="FFFF7128"/>
        <color rgb="FFFFEF9C"/>
      </colorScale>
    </cfRule>
  </conditionalFormatting>
  <conditionalFormatting sqref="Q750:Q766">
    <cfRule type="dataBar" priority="4412">
      <dataBar>
        <cfvo type="min"/>
        <cfvo type="max"/>
        <color rgb="FFFF555A"/>
      </dataBar>
    </cfRule>
  </conditionalFormatting>
  <conditionalFormatting sqref="E750:E766">
    <cfRule type="dataBar" priority="4413">
      <dataBar>
        <cfvo type="min"/>
        <cfvo type="max"/>
        <color rgb="FFFF555A"/>
      </dataBar>
    </cfRule>
  </conditionalFormatting>
  <conditionalFormatting sqref="F750:F766">
    <cfRule type="top10" dxfId="1707" priority="4414" rank="1"/>
  </conditionalFormatting>
  <conditionalFormatting sqref="P750:P765">
    <cfRule type="top10" dxfId="1706" priority="4415" rank="1"/>
  </conditionalFormatting>
  <conditionalFormatting sqref="G750:G766 O750:O765 P766">
    <cfRule type="cellIs" dxfId="1705" priority="4416" operator="equal">
      <formula>$G$135</formula>
    </cfRule>
  </conditionalFormatting>
  <conditionalFormatting sqref="O750:O765 P766">
    <cfRule type="cellIs" dxfId="1704" priority="4417" operator="equal">
      <formula>$J$135</formula>
    </cfRule>
  </conditionalFormatting>
  <conditionalFormatting sqref="G750:G766 O750:O765 P766">
    <cfRule type="cellIs" dxfId="1703" priority="4418" operator="equal">
      <formula>#REF!</formula>
    </cfRule>
  </conditionalFormatting>
  <conditionalFormatting sqref="G750:G766">
    <cfRule type="top10" dxfId="1702" priority="4419" rank="1"/>
    <cfRule type="cellIs" dxfId="1701" priority="4420" operator="equal">
      <formula>$G$133</formula>
    </cfRule>
  </conditionalFormatting>
  <conditionalFormatting sqref="O750:O765 P766">
    <cfRule type="top10" dxfId="1700" priority="4421" rank="1"/>
    <cfRule type="cellIs" dxfId="1699" priority="4422" operator="equal">
      <formula>$G$133</formula>
    </cfRule>
  </conditionalFormatting>
  <conditionalFormatting sqref="C750:C765">
    <cfRule type="containsText" dxfId="1698" priority="4404" operator="containsText" text="Short Buildup">
      <formula>NOT(ISERROR(SEARCH("Short Buildup",C750)))</formula>
    </cfRule>
    <cfRule type="containsText" dxfId="1697" priority="4405" operator="containsText" text="Long Liquidation">
      <formula>NOT(ISERROR(SEARCH("Long Liquidation",C750)))</formula>
    </cfRule>
    <cfRule type="containsText" dxfId="1696" priority="4406" operator="containsText" text="Short covering">
      <formula>NOT(ISERROR(SEARCH("Short covering",C750)))</formula>
    </cfRule>
    <cfRule type="containsText" dxfId="1695" priority="4407" operator="containsText" text="Long Buildup">
      <formula>NOT(ISERROR(SEARCH("Long Buildup",C750)))</formula>
    </cfRule>
  </conditionalFormatting>
  <conditionalFormatting sqref="H750:H766">
    <cfRule type="colorScale" priority="4399">
      <colorScale>
        <cfvo type="min"/>
        <cfvo type="percentile" val="20"/>
        <cfvo type="max"/>
        <color rgb="FF92D050"/>
        <color theme="5" tint="0.79998168889431442"/>
        <color rgb="FFFF0000"/>
      </colorScale>
    </cfRule>
    <cfRule type="colorScale" priority="4400">
      <colorScale>
        <cfvo type="min"/>
        <cfvo type="max"/>
        <color rgb="FFFF0000"/>
        <color rgb="FF92D050"/>
      </colorScale>
    </cfRule>
    <cfRule type="colorScale" priority="4401">
      <colorScale>
        <cfvo type="min"/>
        <cfvo type="percentile" val="50"/>
        <cfvo type="max"/>
        <color rgb="FF5A8AC6"/>
        <color rgb="FFFCFCFF"/>
        <color rgb="FFF8696B"/>
      </colorScale>
    </cfRule>
    <cfRule type="colorScale" priority="4402">
      <colorScale>
        <cfvo type="formula" val="&quot;&gt;20&quot;"/>
        <cfvo type="formula" val="35"/>
        <color rgb="FFF8696B"/>
        <color rgb="FFFCFCFF"/>
      </colorScale>
    </cfRule>
    <cfRule type="colorScale" priority="4403">
      <colorScale>
        <cfvo type="min"/>
        <cfvo type="max"/>
        <color rgb="FFFFEF9C"/>
        <color rgb="FF63BE7B"/>
      </colorScale>
    </cfRule>
  </conditionalFormatting>
  <conditionalFormatting sqref="N750:N766">
    <cfRule type="colorScale" priority="4394">
      <colorScale>
        <cfvo type="min"/>
        <cfvo type="percentile" val="20"/>
        <cfvo type="max"/>
        <color rgb="FF92D050"/>
        <color theme="5" tint="0.79998168889431442"/>
        <color rgb="FFFF0000"/>
      </colorScale>
    </cfRule>
    <cfRule type="colorScale" priority="4395">
      <colorScale>
        <cfvo type="min"/>
        <cfvo type="max"/>
        <color rgb="FFFF0000"/>
        <color rgb="FF92D050"/>
      </colorScale>
    </cfRule>
    <cfRule type="colorScale" priority="4396">
      <colorScale>
        <cfvo type="min"/>
        <cfvo type="percentile" val="50"/>
        <cfvo type="max"/>
        <color rgb="FF5A8AC6"/>
        <color rgb="FFFCFCFF"/>
        <color rgb="FFF8696B"/>
      </colorScale>
    </cfRule>
    <cfRule type="colorScale" priority="4397">
      <colorScale>
        <cfvo type="formula" val="&quot;&gt;20&quot;"/>
        <cfvo type="formula" val="35"/>
        <color rgb="FFF8696B"/>
        <color rgb="FFFCFCFF"/>
      </colorScale>
    </cfRule>
    <cfRule type="colorScale" priority="4398">
      <colorScale>
        <cfvo type="min"/>
        <cfvo type="max"/>
        <color rgb="FFFFEF9C"/>
        <color rgb="FF63BE7B"/>
      </colorScale>
    </cfRule>
  </conditionalFormatting>
  <conditionalFormatting sqref="S750:S766">
    <cfRule type="containsText" dxfId="1694" priority="4390" operator="containsText" text="Short Buildup">
      <formula>NOT(ISERROR(SEARCH("Short Buildup",S750)))</formula>
    </cfRule>
    <cfRule type="containsText" dxfId="1693" priority="4391" operator="containsText" text="Long Liquidation">
      <formula>NOT(ISERROR(SEARCH("Long Liquidation",S750)))</formula>
    </cfRule>
    <cfRule type="containsText" dxfId="1692" priority="4392" operator="containsText" text="Short covering">
      <formula>NOT(ISERROR(SEARCH("Short covering",S750)))</formula>
    </cfRule>
    <cfRule type="containsText" dxfId="1691" priority="4393" operator="containsText" text="Long Buildup">
      <formula>NOT(ISERROR(SEARCH("Long Buildup",S750)))</formula>
    </cfRule>
  </conditionalFormatting>
  <conditionalFormatting sqref="R767:R783 D767:D782 C783">
    <cfRule type="containsText" dxfId="1690" priority="4376" operator="containsText" text="DOWN">
      <formula>NOT(ISERROR(SEARCH("DOWN",C767)))</formula>
    </cfRule>
  </conditionalFormatting>
  <conditionalFormatting sqref="R767:R783 D767:D782 C783">
    <cfRule type="containsText" dxfId="1689" priority="4375" operator="containsText" text="UP">
      <formula>NOT(ISERROR(SEARCH("UP",C767)))</formula>
    </cfRule>
  </conditionalFormatting>
  <conditionalFormatting sqref="I767:I783">
    <cfRule type="colorScale" priority="4377">
      <colorScale>
        <cfvo type="min"/>
        <cfvo type="max"/>
        <color rgb="FFFFEF9C"/>
        <color rgb="FF63BE7B"/>
      </colorScale>
    </cfRule>
  </conditionalFormatting>
  <conditionalFormatting sqref="M767:M783">
    <cfRule type="colorScale" priority="4378">
      <colorScale>
        <cfvo type="min"/>
        <cfvo type="max"/>
        <color rgb="FFFF7128"/>
        <color rgb="FFFFEF9C"/>
      </colorScale>
    </cfRule>
  </conditionalFormatting>
  <conditionalFormatting sqref="Q767:Q783">
    <cfRule type="dataBar" priority="4379">
      <dataBar>
        <cfvo type="min"/>
        <cfvo type="max"/>
        <color rgb="FFFF555A"/>
      </dataBar>
    </cfRule>
  </conditionalFormatting>
  <conditionalFormatting sqref="E767:E783">
    <cfRule type="dataBar" priority="4380">
      <dataBar>
        <cfvo type="min"/>
        <cfvo type="max"/>
        <color rgb="FFFF555A"/>
      </dataBar>
    </cfRule>
  </conditionalFormatting>
  <conditionalFormatting sqref="F767:F783">
    <cfRule type="top10" dxfId="1688" priority="4381" rank="1"/>
  </conditionalFormatting>
  <conditionalFormatting sqref="P767:P782">
    <cfRule type="top10" dxfId="1687" priority="4382" rank="1"/>
  </conditionalFormatting>
  <conditionalFormatting sqref="G767:G783 O767:O782 P783">
    <cfRule type="cellIs" dxfId="1686" priority="4383" operator="equal">
      <formula>$G$135</formula>
    </cfRule>
  </conditionalFormatting>
  <conditionalFormatting sqref="O767:O782 P783">
    <cfRule type="cellIs" dxfId="1685" priority="4384" operator="equal">
      <formula>$J$135</formula>
    </cfRule>
  </conditionalFormatting>
  <conditionalFormatting sqref="G767:G783 O767:O782 P783">
    <cfRule type="cellIs" dxfId="1684" priority="4385" operator="equal">
      <formula>#REF!</formula>
    </cfRule>
  </conditionalFormatting>
  <conditionalFormatting sqref="G767:G783">
    <cfRule type="top10" dxfId="1683" priority="4386" rank="1"/>
    <cfRule type="cellIs" dxfId="1682" priority="4387" operator="equal">
      <formula>$G$133</formula>
    </cfRule>
  </conditionalFormatting>
  <conditionalFormatting sqref="O767:O782 P783">
    <cfRule type="top10" dxfId="1681" priority="4388" rank="1"/>
    <cfRule type="cellIs" dxfId="1680" priority="4389" operator="equal">
      <formula>$G$133</formula>
    </cfRule>
  </conditionalFormatting>
  <conditionalFormatting sqref="C767:C782">
    <cfRule type="containsText" dxfId="1679" priority="4371" operator="containsText" text="Short Buildup">
      <formula>NOT(ISERROR(SEARCH("Short Buildup",C767)))</formula>
    </cfRule>
    <cfRule type="containsText" dxfId="1678" priority="4372" operator="containsText" text="Long Liquidation">
      <formula>NOT(ISERROR(SEARCH("Long Liquidation",C767)))</formula>
    </cfRule>
    <cfRule type="containsText" dxfId="1677" priority="4373" operator="containsText" text="Short covering">
      <formula>NOT(ISERROR(SEARCH("Short covering",C767)))</formula>
    </cfRule>
    <cfRule type="containsText" dxfId="1676" priority="4374" operator="containsText" text="Long Buildup">
      <formula>NOT(ISERROR(SEARCH("Long Buildup",C767)))</formula>
    </cfRule>
  </conditionalFormatting>
  <conditionalFormatting sqref="H767:H783">
    <cfRule type="colorScale" priority="4366">
      <colorScale>
        <cfvo type="min"/>
        <cfvo type="percentile" val="20"/>
        <cfvo type="max"/>
        <color rgb="FF92D050"/>
        <color theme="5" tint="0.79998168889431442"/>
        <color rgb="FFFF0000"/>
      </colorScale>
    </cfRule>
    <cfRule type="colorScale" priority="4367">
      <colorScale>
        <cfvo type="min"/>
        <cfvo type="max"/>
        <color rgb="FFFF0000"/>
        <color rgb="FF92D050"/>
      </colorScale>
    </cfRule>
    <cfRule type="colorScale" priority="4368">
      <colorScale>
        <cfvo type="min"/>
        <cfvo type="percentile" val="50"/>
        <cfvo type="max"/>
        <color rgb="FF5A8AC6"/>
        <color rgb="FFFCFCFF"/>
        <color rgb="FFF8696B"/>
      </colorScale>
    </cfRule>
    <cfRule type="colorScale" priority="4369">
      <colorScale>
        <cfvo type="formula" val="&quot;&gt;20&quot;"/>
        <cfvo type="formula" val="35"/>
        <color rgb="FFF8696B"/>
        <color rgb="FFFCFCFF"/>
      </colorScale>
    </cfRule>
    <cfRule type="colorScale" priority="4370">
      <colorScale>
        <cfvo type="min"/>
        <cfvo type="max"/>
        <color rgb="FFFFEF9C"/>
        <color rgb="FF63BE7B"/>
      </colorScale>
    </cfRule>
  </conditionalFormatting>
  <conditionalFormatting sqref="N767:N783">
    <cfRule type="colorScale" priority="4361">
      <colorScale>
        <cfvo type="min"/>
        <cfvo type="percentile" val="20"/>
        <cfvo type="max"/>
        <color rgb="FF92D050"/>
        <color theme="5" tint="0.79998168889431442"/>
        <color rgb="FFFF0000"/>
      </colorScale>
    </cfRule>
    <cfRule type="colorScale" priority="4362">
      <colorScale>
        <cfvo type="min"/>
        <cfvo type="max"/>
        <color rgb="FFFF0000"/>
        <color rgb="FF92D050"/>
      </colorScale>
    </cfRule>
    <cfRule type="colorScale" priority="4363">
      <colorScale>
        <cfvo type="min"/>
        <cfvo type="percentile" val="50"/>
        <cfvo type="max"/>
        <color rgb="FF5A8AC6"/>
        <color rgb="FFFCFCFF"/>
        <color rgb="FFF8696B"/>
      </colorScale>
    </cfRule>
    <cfRule type="colorScale" priority="4364">
      <colorScale>
        <cfvo type="formula" val="&quot;&gt;20&quot;"/>
        <cfvo type="formula" val="35"/>
        <color rgb="FFF8696B"/>
        <color rgb="FFFCFCFF"/>
      </colorScale>
    </cfRule>
    <cfRule type="colorScale" priority="4365">
      <colorScale>
        <cfvo type="min"/>
        <cfvo type="max"/>
        <color rgb="FFFFEF9C"/>
        <color rgb="FF63BE7B"/>
      </colorScale>
    </cfRule>
  </conditionalFormatting>
  <conditionalFormatting sqref="S767:S783">
    <cfRule type="containsText" dxfId="1675" priority="4357" operator="containsText" text="Short Buildup">
      <formula>NOT(ISERROR(SEARCH("Short Buildup",S767)))</formula>
    </cfRule>
    <cfRule type="containsText" dxfId="1674" priority="4358" operator="containsText" text="Long Liquidation">
      <formula>NOT(ISERROR(SEARCH("Long Liquidation",S767)))</formula>
    </cfRule>
    <cfRule type="containsText" dxfId="1673" priority="4359" operator="containsText" text="Short covering">
      <formula>NOT(ISERROR(SEARCH("Short covering",S767)))</formula>
    </cfRule>
    <cfRule type="containsText" dxfId="1672" priority="4360" operator="containsText" text="Long Buildup">
      <formula>NOT(ISERROR(SEARCH("Long Buildup",S767)))</formula>
    </cfRule>
  </conditionalFormatting>
  <conditionalFormatting sqref="R784:R800 D784:D799 C800">
    <cfRule type="containsText" dxfId="1671" priority="4343" operator="containsText" text="DOWN">
      <formula>NOT(ISERROR(SEARCH("DOWN",C784)))</formula>
    </cfRule>
  </conditionalFormatting>
  <conditionalFormatting sqref="R784:R800 D784:D799 C800">
    <cfRule type="containsText" dxfId="1670" priority="4342" operator="containsText" text="UP">
      <formula>NOT(ISERROR(SEARCH("UP",C784)))</formula>
    </cfRule>
  </conditionalFormatting>
  <conditionalFormatting sqref="I784:I800">
    <cfRule type="colorScale" priority="4344">
      <colorScale>
        <cfvo type="min"/>
        <cfvo type="max"/>
        <color rgb="FFFFEF9C"/>
        <color rgb="FF63BE7B"/>
      </colorScale>
    </cfRule>
  </conditionalFormatting>
  <conditionalFormatting sqref="M784:M800">
    <cfRule type="colorScale" priority="4345">
      <colorScale>
        <cfvo type="min"/>
        <cfvo type="max"/>
        <color rgb="FFFF7128"/>
        <color rgb="FFFFEF9C"/>
      </colorScale>
    </cfRule>
  </conditionalFormatting>
  <conditionalFormatting sqref="Q784:Q800">
    <cfRule type="dataBar" priority="4346">
      <dataBar>
        <cfvo type="min"/>
        <cfvo type="max"/>
        <color rgb="FFFF555A"/>
      </dataBar>
    </cfRule>
  </conditionalFormatting>
  <conditionalFormatting sqref="E784:E800">
    <cfRule type="dataBar" priority="4347">
      <dataBar>
        <cfvo type="min"/>
        <cfvo type="max"/>
        <color rgb="FFFF555A"/>
      </dataBar>
    </cfRule>
  </conditionalFormatting>
  <conditionalFormatting sqref="F784:F800">
    <cfRule type="top10" dxfId="1669" priority="4348" rank="1"/>
  </conditionalFormatting>
  <conditionalFormatting sqref="P784:P799">
    <cfRule type="top10" dxfId="1668" priority="4349" rank="1"/>
  </conditionalFormatting>
  <conditionalFormatting sqref="G784:G800 O784:O799 P800">
    <cfRule type="cellIs" dxfId="1667" priority="4350" operator="equal">
      <formula>$G$135</formula>
    </cfRule>
  </conditionalFormatting>
  <conditionalFormatting sqref="O784:O799 P800">
    <cfRule type="cellIs" dxfId="1666" priority="4351" operator="equal">
      <formula>$J$135</formula>
    </cfRule>
  </conditionalFormatting>
  <conditionalFormatting sqref="G784:G800 O784:O799 P800">
    <cfRule type="cellIs" dxfId="1665" priority="4352" operator="equal">
      <formula>#REF!</formula>
    </cfRule>
  </conditionalFormatting>
  <conditionalFormatting sqref="G784:G800">
    <cfRule type="top10" dxfId="1664" priority="4353" rank="1"/>
    <cfRule type="cellIs" dxfId="1663" priority="4354" operator="equal">
      <formula>$G$133</formula>
    </cfRule>
  </conditionalFormatting>
  <conditionalFormatting sqref="O784:O799 P800">
    <cfRule type="top10" dxfId="1662" priority="4355" rank="1"/>
    <cfRule type="cellIs" dxfId="1661" priority="4356" operator="equal">
      <formula>$G$133</formula>
    </cfRule>
  </conditionalFormatting>
  <conditionalFormatting sqref="C784:C799">
    <cfRule type="containsText" dxfId="1660" priority="4338" operator="containsText" text="Short Buildup">
      <formula>NOT(ISERROR(SEARCH("Short Buildup",C784)))</formula>
    </cfRule>
    <cfRule type="containsText" dxfId="1659" priority="4339" operator="containsText" text="Long Liquidation">
      <formula>NOT(ISERROR(SEARCH("Long Liquidation",C784)))</formula>
    </cfRule>
    <cfRule type="containsText" dxfId="1658" priority="4340" operator="containsText" text="Short covering">
      <formula>NOT(ISERROR(SEARCH("Short covering",C784)))</formula>
    </cfRule>
    <cfRule type="containsText" dxfId="1657" priority="4341" operator="containsText" text="Long Buildup">
      <formula>NOT(ISERROR(SEARCH("Long Buildup",C784)))</formula>
    </cfRule>
  </conditionalFormatting>
  <conditionalFormatting sqref="H784:H800">
    <cfRule type="colorScale" priority="4333">
      <colorScale>
        <cfvo type="min"/>
        <cfvo type="percentile" val="20"/>
        <cfvo type="max"/>
        <color rgb="FF92D050"/>
        <color theme="5" tint="0.79998168889431442"/>
        <color rgb="FFFF0000"/>
      </colorScale>
    </cfRule>
    <cfRule type="colorScale" priority="4334">
      <colorScale>
        <cfvo type="min"/>
        <cfvo type="max"/>
        <color rgb="FFFF0000"/>
        <color rgb="FF92D050"/>
      </colorScale>
    </cfRule>
    <cfRule type="colorScale" priority="4335">
      <colorScale>
        <cfvo type="min"/>
        <cfvo type="percentile" val="50"/>
        <cfvo type="max"/>
        <color rgb="FF5A8AC6"/>
        <color rgb="FFFCFCFF"/>
        <color rgb="FFF8696B"/>
      </colorScale>
    </cfRule>
    <cfRule type="colorScale" priority="4336">
      <colorScale>
        <cfvo type="formula" val="&quot;&gt;20&quot;"/>
        <cfvo type="formula" val="35"/>
        <color rgb="FFF8696B"/>
        <color rgb="FFFCFCFF"/>
      </colorScale>
    </cfRule>
    <cfRule type="colorScale" priority="4337">
      <colorScale>
        <cfvo type="min"/>
        <cfvo type="max"/>
        <color rgb="FFFFEF9C"/>
        <color rgb="FF63BE7B"/>
      </colorScale>
    </cfRule>
  </conditionalFormatting>
  <conditionalFormatting sqref="N784:N800">
    <cfRule type="colorScale" priority="4328">
      <colorScale>
        <cfvo type="min"/>
        <cfvo type="percentile" val="20"/>
        <cfvo type="max"/>
        <color rgb="FF92D050"/>
        <color theme="5" tint="0.79998168889431442"/>
        <color rgb="FFFF0000"/>
      </colorScale>
    </cfRule>
    <cfRule type="colorScale" priority="4329">
      <colorScale>
        <cfvo type="min"/>
        <cfvo type="max"/>
        <color rgb="FFFF0000"/>
        <color rgb="FF92D050"/>
      </colorScale>
    </cfRule>
    <cfRule type="colorScale" priority="4330">
      <colorScale>
        <cfvo type="min"/>
        <cfvo type="percentile" val="50"/>
        <cfvo type="max"/>
        <color rgb="FF5A8AC6"/>
        <color rgb="FFFCFCFF"/>
        <color rgb="FFF8696B"/>
      </colorScale>
    </cfRule>
    <cfRule type="colorScale" priority="4331">
      <colorScale>
        <cfvo type="formula" val="&quot;&gt;20&quot;"/>
        <cfvo type="formula" val="35"/>
        <color rgb="FFF8696B"/>
        <color rgb="FFFCFCFF"/>
      </colorScale>
    </cfRule>
    <cfRule type="colorScale" priority="4332">
      <colorScale>
        <cfvo type="min"/>
        <cfvo type="max"/>
        <color rgb="FFFFEF9C"/>
        <color rgb="FF63BE7B"/>
      </colorScale>
    </cfRule>
  </conditionalFormatting>
  <conditionalFormatting sqref="S784:S800">
    <cfRule type="containsText" dxfId="1656" priority="4324" operator="containsText" text="Short Buildup">
      <formula>NOT(ISERROR(SEARCH("Short Buildup",S784)))</formula>
    </cfRule>
    <cfRule type="containsText" dxfId="1655" priority="4325" operator="containsText" text="Long Liquidation">
      <formula>NOT(ISERROR(SEARCH("Long Liquidation",S784)))</formula>
    </cfRule>
    <cfRule type="containsText" dxfId="1654" priority="4326" operator="containsText" text="Short covering">
      <formula>NOT(ISERROR(SEARCH("Short covering",S784)))</formula>
    </cfRule>
    <cfRule type="containsText" dxfId="1653" priority="4327" operator="containsText" text="Long Buildup">
      <formula>NOT(ISERROR(SEARCH("Long Buildup",S784)))</formula>
    </cfRule>
  </conditionalFormatting>
  <conditionalFormatting sqref="R801:R817 D801:D816 C817">
    <cfRule type="containsText" dxfId="1652" priority="4310" operator="containsText" text="DOWN">
      <formula>NOT(ISERROR(SEARCH("DOWN",C801)))</formula>
    </cfRule>
  </conditionalFormatting>
  <conditionalFormatting sqref="R801:R817 D801:D816 C817">
    <cfRule type="containsText" dxfId="1651" priority="4309" operator="containsText" text="UP">
      <formula>NOT(ISERROR(SEARCH("UP",C801)))</formula>
    </cfRule>
  </conditionalFormatting>
  <conditionalFormatting sqref="I801:I817">
    <cfRule type="colorScale" priority="4311">
      <colorScale>
        <cfvo type="min"/>
        <cfvo type="max"/>
        <color rgb="FFFFEF9C"/>
        <color rgb="FF63BE7B"/>
      </colorScale>
    </cfRule>
  </conditionalFormatting>
  <conditionalFormatting sqref="M801:M817">
    <cfRule type="colorScale" priority="4312">
      <colorScale>
        <cfvo type="min"/>
        <cfvo type="max"/>
        <color rgb="FFFF7128"/>
        <color rgb="FFFFEF9C"/>
      </colorScale>
    </cfRule>
  </conditionalFormatting>
  <conditionalFormatting sqref="Q801:Q817">
    <cfRule type="dataBar" priority="4313">
      <dataBar>
        <cfvo type="min"/>
        <cfvo type="max"/>
        <color rgb="FFFF555A"/>
      </dataBar>
    </cfRule>
  </conditionalFormatting>
  <conditionalFormatting sqref="E801:E817">
    <cfRule type="dataBar" priority="4314">
      <dataBar>
        <cfvo type="min"/>
        <cfvo type="max"/>
        <color rgb="FFFF555A"/>
      </dataBar>
    </cfRule>
  </conditionalFormatting>
  <conditionalFormatting sqref="F801:F817">
    <cfRule type="top10" dxfId="1650" priority="4315" rank="1"/>
  </conditionalFormatting>
  <conditionalFormatting sqref="P801:P816">
    <cfRule type="top10" dxfId="1649" priority="4316" rank="1"/>
  </conditionalFormatting>
  <conditionalFormatting sqref="G801:G817 O801:O816 P817">
    <cfRule type="cellIs" dxfId="1648" priority="4317" operator="equal">
      <formula>$G$135</formula>
    </cfRule>
  </conditionalFormatting>
  <conditionalFormatting sqref="O801:O816 P817">
    <cfRule type="cellIs" dxfId="1647" priority="4318" operator="equal">
      <formula>$J$135</formula>
    </cfRule>
  </conditionalFormatting>
  <conditionalFormatting sqref="G801:G817 O801:O816 P817">
    <cfRule type="cellIs" dxfId="1646" priority="4319" operator="equal">
      <formula>#REF!</formula>
    </cfRule>
  </conditionalFormatting>
  <conditionalFormatting sqref="G801:G817">
    <cfRule type="top10" dxfId="1645" priority="4320" rank="1"/>
    <cfRule type="cellIs" dxfId="1644" priority="4321" operator="equal">
      <formula>$G$133</formula>
    </cfRule>
  </conditionalFormatting>
  <conditionalFormatting sqref="O801:O816 P817">
    <cfRule type="top10" dxfId="1643" priority="4322" rank="1"/>
    <cfRule type="cellIs" dxfId="1642" priority="4323" operator="equal">
      <formula>$G$133</formula>
    </cfRule>
  </conditionalFormatting>
  <conditionalFormatting sqref="C801:C816">
    <cfRule type="containsText" dxfId="1641" priority="4305" operator="containsText" text="Short Buildup">
      <formula>NOT(ISERROR(SEARCH("Short Buildup",C801)))</formula>
    </cfRule>
    <cfRule type="containsText" dxfId="1640" priority="4306" operator="containsText" text="Long Liquidation">
      <formula>NOT(ISERROR(SEARCH("Long Liquidation",C801)))</formula>
    </cfRule>
    <cfRule type="containsText" dxfId="1639" priority="4307" operator="containsText" text="Short covering">
      <formula>NOT(ISERROR(SEARCH("Short covering",C801)))</formula>
    </cfRule>
    <cfRule type="containsText" dxfId="1638" priority="4308" operator="containsText" text="Long Buildup">
      <formula>NOT(ISERROR(SEARCH("Long Buildup",C801)))</formula>
    </cfRule>
  </conditionalFormatting>
  <conditionalFormatting sqref="H801:H817">
    <cfRule type="colorScale" priority="4300">
      <colorScale>
        <cfvo type="min"/>
        <cfvo type="percentile" val="20"/>
        <cfvo type="max"/>
        <color rgb="FF92D050"/>
        <color theme="5" tint="0.79998168889431442"/>
        <color rgb="FFFF0000"/>
      </colorScale>
    </cfRule>
    <cfRule type="colorScale" priority="4301">
      <colorScale>
        <cfvo type="min"/>
        <cfvo type="max"/>
        <color rgb="FFFF0000"/>
        <color rgb="FF92D050"/>
      </colorScale>
    </cfRule>
    <cfRule type="colorScale" priority="4302">
      <colorScale>
        <cfvo type="min"/>
        <cfvo type="percentile" val="50"/>
        <cfvo type="max"/>
        <color rgb="FF5A8AC6"/>
        <color rgb="FFFCFCFF"/>
        <color rgb="FFF8696B"/>
      </colorScale>
    </cfRule>
    <cfRule type="colorScale" priority="4303">
      <colorScale>
        <cfvo type="formula" val="&quot;&gt;20&quot;"/>
        <cfvo type="formula" val="35"/>
        <color rgb="FFF8696B"/>
        <color rgb="FFFCFCFF"/>
      </colorScale>
    </cfRule>
    <cfRule type="colorScale" priority="4304">
      <colorScale>
        <cfvo type="min"/>
        <cfvo type="max"/>
        <color rgb="FFFFEF9C"/>
        <color rgb="FF63BE7B"/>
      </colorScale>
    </cfRule>
  </conditionalFormatting>
  <conditionalFormatting sqref="N801:N817">
    <cfRule type="colorScale" priority="4295">
      <colorScale>
        <cfvo type="min"/>
        <cfvo type="percentile" val="20"/>
        <cfvo type="max"/>
        <color rgb="FF92D050"/>
        <color theme="5" tint="0.79998168889431442"/>
        <color rgb="FFFF0000"/>
      </colorScale>
    </cfRule>
    <cfRule type="colorScale" priority="4296">
      <colorScale>
        <cfvo type="min"/>
        <cfvo type="max"/>
        <color rgb="FFFF0000"/>
        <color rgb="FF92D050"/>
      </colorScale>
    </cfRule>
    <cfRule type="colorScale" priority="4297">
      <colorScale>
        <cfvo type="min"/>
        <cfvo type="percentile" val="50"/>
        <cfvo type="max"/>
        <color rgb="FF5A8AC6"/>
        <color rgb="FFFCFCFF"/>
        <color rgb="FFF8696B"/>
      </colorScale>
    </cfRule>
    <cfRule type="colorScale" priority="4298">
      <colorScale>
        <cfvo type="formula" val="&quot;&gt;20&quot;"/>
        <cfvo type="formula" val="35"/>
        <color rgb="FFF8696B"/>
        <color rgb="FFFCFCFF"/>
      </colorScale>
    </cfRule>
    <cfRule type="colorScale" priority="4299">
      <colorScale>
        <cfvo type="min"/>
        <cfvo type="max"/>
        <color rgb="FFFFEF9C"/>
        <color rgb="FF63BE7B"/>
      </colorScale>
    </cfRule>
  </conditionalFormatting>
  <conditionalFormatting sqref="S801:S817">
    <cfRule type="containsText" dxfId="1637" priority="4291" operator="containsText" text="Short Buildup">
      <formula>NOT(ISERROR(SEARCH("Short Buildup",S801)))</formula>
    </cfRule>
    <cfRule type="containsText" dxfId="1636" priority="4292" operator="containsText" text="Long Liquidation">
      <formula>NOT(ISERROR(SEARCH("Long Liquidation",S801)))</formula>
    </cfRule>
    <cfRule type="containsText" dxfId="1635" priority="4293" operator="containsText" text="Short covering">
      <formula>NOT(ISERROR(SEARCH("Short covering",S801)))</formula>
    </cfRule>
    <cfRule type="containsText" dxfId="1634" priority="4294" operator="containsText" text="Long Buildup">
      <formula>NOT(ISERROR(SEARCH("Long Buildup",S801)))</formula>
    </cfRule>
  </conditionalFormatting>
  <conditionalFormatting sqref="R818:R834 D818:D833 C834">
    <cfRule type="containsText" dxfId="1633" priority="4277" operator="containsText" text="DOWN">
      <formula>NOT(ISERROR(SEARCH("DOWN",C818)))</formula>
    </cfRule>
  </conditionalFormatting>
  <conditionalFormatting sqref="R818:R834 D818:D833 C834">
    <cfRule type="containsText" dxfId="1632" priority="4276" operator="containsText" text="UP">
      <formula>NOT(ISERROR(SEARCH("UP",C818)))</formula>
    </cfRule>
  </conditionalFormatting>
  <conditionalFormatting sqref="I818:I834">
    <cfRule type="colorScale" priority="4278">
      <colorScale>
        <cfvo type="min"/>
        <cfvo type="max"/>
        <color rgb="FFFFEF9C"/>
        <color rgb="FF63BE7B"/>
      </colorScale>
    </cfRule>
  </conditionalFormatting>
  <conditionalFormatting sqref="M818:M834">
    <cfRule type="colorScale" priority="4279">
      <colorScale>
        <cfvo type="min"/>
        <cfvo type="max"/>
        <color rgb="FFFF7128"/>
        <color rgb="FFFFEF9C"/>
      </colorScale>
    </cfRule>
  </conditionalFormatting>
  <conditionalFormatting sqref="Q818:Q834">
    <cfRule type="dataBar" priority="4280">
      <dataBar>
        <cfvo type="min"/>
        <cfvo type="max"/>
        <color rgb="FFFF555A"/>
      </dataBar>
    </cfRule>
  </conditionalFormatting>
  <conditionalFormatting sqref="E818:E834">
    <cfRule type="dataBar" priority="4281">
      <dataBar>
        <cfvo type="min"/>
        <cfvo type="max"/>
        <color rgb="FFFF555A"/>
      </dataBar>
    </cfRule>
  </conditionalFormatting>
  <conditionalFormatting sqref="F818:F834">
    <cfRule type="top10" dxfId="1631" priority="4282" rank="1"/>
  </conditionalFormatting>
  <conditionalFormatting sqref="P818:P833">
    <cfRule type="top10" dxfId="1630" priority="4283" rank="1"/>
  </conditionalFormatting>
  <conditionalFormatting sqref="G818:G834 O818:O833 P834">
    <cfRule type="cellIs" dxfId="1629" priority="4284" operator="equal">
      <formula>$G$135</formula>
    </cfRule>
  </conditionalFormatting>
  <conditionalFormatting sqref="O818:O833 P834">
    <cfRule type="cellIs" dxfId="1628" priority="4285" operator="equal">
      <formula>$J$135</formula>
    </cfRule>
  </conditionalFormatting>
  <conditionalFormatting sqref="G818:G834 O818:O833 P834">
    <cfRule type="cellIs" dxfId="1627" priority="4286" operator="equal">
      <formula>#REF!</formula>
    </cfRule>
  </conditionalFormatting>
  <conditionalFormatting sqref="G818:G834">
    <cfRule type="top10" dxfId="1626" priority="4287" rank="1"/>
    <cfRule type="cellIs" dxfId="1625" priority="4288" operator="equal">
      <formula>$G$133</formula>
    </cfRule>
  </conditionalFormatting>
  <conditionalFormatting sqref="O818:O833 P834">
    <cfRule type="top10" dxfId="1624" priority="4289" rank="1"/>
    <cfRule type="cellIs" dxfId="1623" priority="4290" operator="equal">
      <formula>$G$133</formula>
    </cfRule>
  </conditionalFormatting>
  <conditionalFormatting sqref="C818:C833">
    <cfRule type="containsText" dxfId="1622" priority="4272" operator="containsText" text="Short Buildup">
      <formula>NOT(ISERROR(SEARCH("Short Buildup",C818)))</formula>
    </cfRule>
    <cfRule type="containsText" dxfId="1621" priority="4273" operator="containsText" text="Long Liquidation">
      <formula>NOT(ISERROR(SEARCH("Long Liquidation",C818)))</formula>
    </cfRule>
    <cfRule type="containsText" dxfId="1620" priority="4274" operator="containsText" text="Short covering">
      <formula>NOT(ISERROR(SEARCH("Short covering",C818)))</formula>
    </cfRule>
    <cfRule type="containsText" dxfId="1619" priority="4275" operator="containsText" text="Long Buildup">
      <formula>NOT(ISERROR(SEARCH("Long Buildup",C818)))</formula>
    </cfRule>
  </conditionalFormatting>
  <conditionalFormatting sqref="H818:H834">
    <cfRule type="colorScale" priority="4267">
      <colorScale>
        <cfvo type="min"/>
        <cfvo type="percentile" val="20"/>
        <cfvo type="max"/>
        <color rgb="FF92D050"/>
        <color theme="5" tint="0.79998168889431442"/>
        <color rgb="FFFF0000"/>
      </colorScale>
    </cfRule>
    <cfRule type="colorScale" priority="4268">
      <colorScale>
        <cfvo type="min"/>
        <cfvo type="max"/>
        <color rgb="FFFF0000"/>
        <color rgb="FF92D050"/>
      </colorScale>
    </cfRule>
    <cfRule type="colorScale" priority="4269">
      <colorScale>
        <cfvo type="min"/>
        <cfvo type="percentile" val="50"/>
        <cfvo type="max"/>
        <color rgb="FF5A8AC6"/>
        <color rgb="FFFCFCFF"/>
        <color rgb="FFF8696B"/>
      </colorScale>
    </cfRule>
    <cfRule type="colorScale" priority="4270">
      <colorScale>
        <cfvo type="formula" val="&quot;&gt;20&quot;"/>
        <cfvo type="formula" val="35"/>
        <color rgb="FFF8696B"/>
        <color rgb="FFFCFCFF"/>
      </colorScale>
    </cfRule>
    <cfRule type="colorScale" priority="4271">
      <colorScale>
        <cfvo type="min"/>
        <cfvo type="max"/>
        <color rgb="FFFFEF9C"/>
        <color rgb="FF63BE7B"/>
      </colorScale>
    </cfRule>
  </conditionalFormatting>
  <conditionalFormatting sqref="N818:N834">
    <cfRule type="colorScale" priority="4262">
      <colorScale>
        <cfvo type="min"/>
        <cfvo type="percentile" val="20"/>
        <cfvo type="max"/>
        <color rgb="FF92D050"/>
        <color theme="5" tint="0.79998168889431442"/>
        <color rgb="FFFF0000"/>
      </colorScale>
    </cfRule>
    <cfRule type="colorScale" priority="4263">
      <colorScale>
        <cfvo type="min"/>
        <cfvo type="max"/>
        <color rgb="FFFF0000"/>
        <color rgb="FF92D050"/>
      </colorScale>
    </cfRule>
    <cfRule type="colorScale" priority="4264">
      <colorScale>
        <cfvo type="min"/>
        <cfvo type="percentile" val="50"/>
        <cfvo type="max"/>
        <color rgb="FF5A8AC6"/>
        <color rgb="FFFCFCFF"/>
        <color rgb="FFF8696B"/>
      </colorScale>
    </cfRule>
    <cfRule type="colorScale" priority="4265">
      <colorScale>
        <cfvo type="formula" val="&quot;&gt;20&quot;"/>
        <cfvo type="formula" val="35"/>
        <color rgb="FFF8696B"/>
        <color rgb="FFFCFCFF"/>
      </colorScale>
    </cfRule>
    <cfRule type="colorScale" priority="4266">
      <colorScale>
        <cfvo type="min"/>
        <cfvo type="max"/>
        <color rgb="FFFFEF9C"/>
        <color rgb="FF63BE7B"/>
      </colorScale>
    </cfRule>
  </conditionalFormatting>
  <conditionalFormatting sqref="S818:S834">
    <cfRule type="containsText" dxfId="1618" priority="4258" operator="containsText" text="Short Buildup">
      <formula>NOT(ISERROR(SEARCH("Short Buildup",S818)))</formula>
    </cfRule>
    <cfRule type="containsText" dxfId="1617" priority="4259" operator="containsText" text="Long Liquidation">
      <formula>NOT(ISERROR(SEARCH("Long Liquidation",S818)))</formula>
    </cfRule>
    <cfRule type="containsText" dxfId="1616" priority="4260" operator="containsText" text="Short covering">
      <formula>NOT(ISERROR(SEARCH("Short covering",S818)))</formula>
    </cfRule>
    <cfRule type="containsText" dxfId="1615" priority="4261" operator="containsText" text="Long Buildup">
      <formula>NOT(ISERROR(SEARCH("Long Buildup",S818)))</formula>
    </cfRule>
  </conditionalFormatting>
  <conditionalFormatting sqref="R835:R851 D835:D850 C851">
    <cfRule type="containsText" dxfId="1614" priority="4244" operator="containsText" text="DOWN">
      <formula>NOT(ISERROR(SEARCH("DOWN",C835)))</formula>
    </cfRule>
  </conditionalFormatting>
  <conditionalFormatting sqref="R835:R851 D835:D850 C851">
    <cfRule type="containsText" dxfId="1613" priority="4243" operator="containsText" text="UP">
      <formula>NOT(ISERROR(SEARCH("UP",C835)))</formula>
    </cfRule>
  </conditionalFormatting>
  <conditionalFormatting sqref="I835:I851">
    <cfRule type="colorScale" priority="4245">
      <colorScale>
        <cfvo type="min"/>
        <cfvo type="max"/>
        <color rgb="FFFFEF9C"/>
        <color rgb="FF63BE7B"/>
      </colorScale>
    </cfRule>
  </conditionalFormatting>
  <conditionalFormatting sqref="M835:M851">
    <cfRule type="colorScale" priority="4246">
      <colorScale>
        <cfvo type="min"/>
        <cfvo type="max"/>
        <color rgb="FFFF7128"/>
        <color rgb="FFFFEF9C"/>
      </colorScale>
    </cfRule>
  </conditionalFormatting>
  <conditionalFormatting sqref="Q835:Q851">
    <cfRule type="dataBar" priority="4247">
      <dataBar>
        <cfvo type="min"/>
        <cfvo type="max"/>
        <color rgb="FFFF555A"/>
      </dataBar>
    </cfRule>
  </conditionalFormatting>
  <conditionalFormatting sqref="E835:E851">
    <cfRule type="dataBar" priority="4248">
      <dataBar>
        <cfvo type="min"/>
        <cfvo type="max"/>
        <color rgb="FFFF555A"/>
      </dataBar>
    </cfRule>
  </conditionalFormatting>
  <conditionalFormatting sqref="F835:F851">
    <cfRule type="top10" dxfId="1612" priority="4249" rank="1"/>
  </conditionalFormatting>
  <conditionalFormatting sqref="P835:P850">
    <cfRule type="top10" dxfId="1611" priority="4250" rank="1"/>
  </conditionalFormatting>
  <conditionalFormatting sqref="G835:G851 O835:O850 P851">
    <cfRule type="cellIs" dxfId="1610" priority="4251" operator="equal">
      <formula>$G$135</formula>
    </cfRule>
  </conditionalFormatting>
  <conditionalFormatting sqref="O835:O850 P851">
    <cfRule type="cellIs" dxfId="1609" priority="4252" operator="equal">
      <formula>$J$135</formula>
    </cfRule>
  </conditionalFormatting>
  <conditionalFormatting sqref="G835:G851 O835:O850 P851">
    <cfRule type="cellIs" dxfId="1608" priority="4253" operator="equal">
      <formula>#REF!</formula>
    </cfRule>
  </conditionalFormatting>
  <conditionalFormatting sqref="G835:G851">
    <cfRule type="top10" dxfId="1607" priority="4254" rank="1"/>
    <cfRule type="cellIs" dxfId="1606" priority="4255" operator="equal">
      <formula>$G$133</formula>
    </cfRule>
  </conditionalFormatting>
  <conditionalFormatting sqref="O835:O850 P851">
    <cfRule type="top10" dxfId="1605" priority="4256" rank="1"/>
    <cfRule type="cellIs" dxfId="1604" priority="4257" operator="equal">
      <formula>$G$133</formula>
    </cfRule>
  </conditionalFormatting>
  <conditionalFormatting sqref="C835:C850">
    <cfRule type="containsText" dxfId="1603" priority="4239" operator="containsText" text="Short Buildup">
      <formula>NOT(ISERROR(SEARCH("Short Buildup",C835)))</formula>
    </cfRule>
    <cfRule type="containsText" dxfId="1602" priority="4240" operator="containsText" text="Long Liquidation">
      <formula>NOT(ISERROR(SEARCH("Long Liquidation",C835)))</formula>
    </cfRule>
    <cfRule type="containsText" dxfId="1601" priority="4241" operator="containsText" text="Short covering">
      <formula>NOT(ISERROR(SEARCH("Short covering",C835)))</formula>
    </cfRule>
    <cfRule type="containsText" dxfId="1600" priority="4242" operator="containsText" text="Long Buildup">
      <formula>NOT(ISERROR(SEARCH("Long Buildup",C835)))</formula>
    </cfRule>
  </conditionalFormatting>
  <conditionalFormatting sqref="H835:H851">
    <cfRule type="colorScale" priority="4234">
      <colorScale>
        <cfvo type="min"/>
        <cfvo type="percentile" val="20"/>
        <cfvo type="max"/>
        <color rgb="FF92D050"/>
        <color theme="5" tint="0.79998168889431442"/>
        <color rgb="FFFF0000"/>
      </colorScale>
    </cfRule>
    <cfRule type="colorScale" priority="4235">
      <colorScale>
        <cfvo type="min"/>
        <cfvo type="max"/>
        <color rgb="FFFF0000"/>
        <color rgb="FF92D050"/>
      </colorScale>
    </cfRule>
    <cfRule type="colorScale" priority="4236">
      <colorScale>
        <cfvo type="min"/>
        <cfvo type="percentile" val="50"/>
        <cfvo type="max"/>
        <color rgb="FF5A8AC6"/>
        <color rgb="FFFCFCFF"/>
        <color rgb="FFF8696B"/>
      </colorScale>
    </cfRule>
    <cfRule type="colorScale" priority="4237">
      <colorScale>
        <cfvo type="formula" val="&quot;&gt;20&quot;"/>
        <cfvo type="formula" val="35"/>
        <color rgb="FFF8696B"/>
        <color rgb="FFFCFCFF"/>
      </colorScale>
    </cfRule>
    <cfRule type="colorScale" priority="4238">
      <colorScale>
        <cfvo type="min"/>
        <cfvo type="max"/>
        <color rgb="FFFFEF9C"/>
        <color rgb="FF63BE7B"/>
      </colorScale>
    </cfRule>
  </conditionalFormatting>
  <conditionalFormatting sqref="N835:N851">
    <cfRule type="colorScale" priority="4229">
      <colorScale>
        <cfvo type="min"/>
        <cfvo type="percentile" val="20"/>
        <cfvo type="max"/>
        <color rgb="FF92D050"/>
        <color theme="5" tint="0.79998168889431442"/>
        <color rgb="FFFF0000"/>
      </colorScale>
    </cfRule>
    <cfRule type="colorScale" priority="4230">
      <colorScale>
        <cfvo type="min"/>
        <cfvo type="max"/>
        <color rgb="FFFF0000"/>
        <color rgb="FF92D050"/>
      </colorScale>
    </cfRule>
    <cfRule type="colorScale" priority="4231">
      <colorScale>
        <cfvo type="min"/>
        <cfvo type="percentile" val="50"/>
        <cfvo type="max"/>
        <color rgb="FF5A8AC6"/>
        <color rgb="FFFCFCFF"/>
        <color rgb="FFF8696B"/>
      </colorScale>
    </cfRule>
    <cfRule type="colorScale" priority="4232">
      <colorScale>
        <cfvo type="formula" val="&quot;&gt;20&quot;"/>
        <cfvo type="formula" val="35"/>
        <color rgb="FFF8696B"/>
        <color rgb="FFFCFCFF"/>
      </colorScale>
    </cfRule>
    <cfRule type="colorScale" priority="4233">
      <colorScale>
        <cfvo type="min"/>
        <cfvo type="max"/>
        <color rgb="FFFFEF9C"/>
        <color rgb="FF63BE7B"/>
      </colorScale>
    </cfRule>
  </conditionalFormatting>
  <conditionalFormatting sqref="S835:S851">
    <cfRule type="containsText" dxfId="1599" priority="4225" operator="containsText" text="Short Buildup">
      <formula>NOT(ISERROR(SEARCH("Short Buildup",S835)))</formula>
    </cfRule>
    <cfRule type="containsText" dxfId="1598" priority="4226" operator="containsText" text="Long Liquidation">
      <formula>NOT(ISERROR(SEARCH("Long Liquidation",S835)))</formula>
    </cfRule>
    <cfRule type="containsText" dxfId="1597" priority="4227" operator="containsText" text="Short covering">
      <formula>NOT(ISERROR(SEARCH("Short covering",S835)))</formula>
    </cfRule>
    <cfRule type="containsText" dxfId="1596" priority="4228" operator="containsText" text="Long Buildup">
      <formula>NOT(ISERROR(SEARCH("Long Buildup",S835)))</formula>
    </cfRule>
  </conditionalFormatting>
  <conditionalFormatting sqref="R852:R868 D852:D867 C868">
    <cfRule type="containsText" dxfId="1595" priority="4211" operator="containsText" text="DOWN">
      <formula>NOT(ISERROR(SEARCH("DOWN",C852)))</formula>
    </cfRule>
  </conditionalFormatting>
  <conditionalFormatting sqref="R852:R868 D852:D867 C868">
    <cfRule type="containsText" dxfId="1594" priority="4210" operator="containsText" text="UP">
      <formula>NOT(ISERROR(SEARCH("UP",C852)))</formula>
    </cfRule>
  </conditionalFormatting>
  <conditionalFormatting sqref="I852:I868">
    <cfRule type="colorScale" priority="4212">
      <colorScale>
        <cfvo type="min"/>
        <cfvo type="max"/>
        <color rgb="FFFFEF9C"/>
        <color rgb="FF63BE7B"/>
      </colorScale>
    </cfRule>
  </conditionalFormatting>
  <conditionalFormatting sqref="M852:M868">
    <cfRule type="colorScale" priority="4213">
      <colorScale>
        <cfvo type="min"/>
        <cfvo type="max"/>
        <color rgb="FFFF7128"/>
        <color rgb="FFFFEF9C"/>
      </colorScale>
    </cfRule>
  </conditionalFormatting>
  <conditionalFormatting sqref="Q852:Q868">
    <cfRule type="dataBar" priority="4214">
      <dataBar>
        <cfvo type="min"/>
        <cfvo type="max"/>
        <color rgb="FFFF555A"/>
      </dataBar>
    </cfRule>
  </conditionalFormatting>
  <conditionalFormatting sqref="E852:E868">
    <cfRule type="dataBar" priority="4215">
      <dataBar>
        <cfvo type="min"/>
        <cfvo type="max"/>
        <color rgb="FFFF555A"/>
      </dataBar>
    </cfRule>
  </conditionalFormatting>
  <conditionalFormatting sqref="F852:F868">
    <cfRule type="top10" dxfId="1593" priority="4216" rank="1"/>
  </conditionalFormatting>
  <conditionalFormatting sqref="P852:P867">
    <cfRule type="top10" dxfId="1592" priority="4217" rank="1"/>
  </conditionalFormatting>
  <conditionalFormatting sqref="G852:G868 O852:O867 P868">
    <cfRule type="cellIs" dxfId="1591" priority="4218" operator="equal">
      <formula>$G$135</formula>
    </cfRule>
  </conditionalFormatting>
  <conditionalFormatting sqref="O852:O867 P868">
    <cfRule type="cellIs" dxfId="1590" priority="4219" operator="equal">
      <formula>$J$135</formula>
    </cfRule>
  </conditionalFormatting>
  <conditionalFormatting sqref="G852:G868 O852:O867 P868">
    <cfRule type="cellIs" dxfId="1589" priority="4220" operator="equal">
      <formula>#REF!</formula>
    </cfRule>
  </conditionalFormatting>
  <conditionalFormatting sqref="G852:G868">
    <cfRule type="top10" dxfId="1588" priority="4221" rank="1"/>
    <cfRule type="cellIs" dxfId="1587" priority="4222" operator="equal">
      <formula>$G$133</formula>
    </cfRule>
  </conditionalFormatting>
  <conditionalFormatting sqref="O852:O867 P868">
    <cfRule type="top10" dxfId="1586" priority="4223" rank="1"/>
    <cfRule type="cellIs" dxfId="1585" priority="4224" operator="equal">
      <formula>$G$133</formula>
    </cfRule>
  </conditionalFormatting>
  <conditionalFormatting sqref="C852:C867">
    <cfRule type="containsText" dxfId="1584" priority="4206" operator="containsText" text="Short Buildup">
      <formula>NOT(ISERROR(SEARCH("Short Buildup",C852)))</formula>
    </cfRule>
    <cfRule type="containsText" dxfId="1583" priority="4207" operator="containsText" text="Long Liquidation">
      <formula>NOT(ISERROR(SEARCH("Long Liquidation",C852)))</formula>
    </cfRule>
    <cfRule type="containsText" dxfId="1582" priority="4208" operator="containsText" text="Short covering">
      <formula>NOT(ISERROR(SEARCH("Short covering",C852)))</formula>
    </cfRule>
    <cfRule type="containsText" dxfId="1581" priority="4209" operator="containsText" text="Long Buildup">
      <formula>NOT(ISERROR(SEARCH("Long Buildup",C852)))</formula>
    </cfRule>
  </conditionalFormatting>
  <conditionalFormatting sqref="H852:H868">
    <cfRule type="colorScale" priority="4201">
      <colorScale>
        <cfvo type="min"/>
        <cfvo type="percentile" val="20"/>
        <cfvo type="max"/>
        <color rgb="FF92D050"/>
        <color theme="5" tint="0.79998168889431442"/>
        <color rgb="FFFF0000"/>
      </colorScale>
    </cfRule>
    <cfRule type="colorScale" priority="4202">
      <colorScale>
        <cfvo type="min"/>
        <cfvo type="max"/>
        <color rgb="FFFF0000"/>
        <color rgb="FF92D050"/>
      </colorScale>
    </cfRule>
    <cfRule type="colorScale" priority="4203">
      <colorScale>
        <cfvo type="min"/>
        <cfvo type="percentile" val="50"/>
        <cfvo type="max"/>
        <color rgb="FF5A8AC6"/>
        <color rgb="FFFCFCFF"/>
        <color rgb="FFF8696B"/>
      </colorScale>
    </cfRule>
    <cfRule type="colorScale" priority="4204">
      <colorScale>
        <cfvo type="formula" val="&quot;&gt;20&quot;"/>
        <cfvo type="formula" val="35"/>
        <color rgb="FFF8696B"/>
        <color rgb="FFFCFCFF"/>
      </colorScale>
    </cfRule>
    <cfRule type="colorScale" priority="4205">
      <colorScale>
        <cfvo type="min"/>
        <cfvo type="max"/>
        <color rgb="FFFFEF9C"/>
        <color rgb="FF63BE7B"/>
      </colorScale>
    </cfRule>
  </conditionalFormatting>
  <conditionalFormatting sqref="N852:N868">
    <cfRule type="colorScale" priority="4196">
      <colorScale>
        <cfvo type="min"/>
        <cfvo type="percentile" val="20"/>
        <cfvo type="max"/>
        <color rgb="FF92D050"/>
        <color theme="5" tint="0.79998168889431442"/>
        <color rgb="FFFF0000"/>
      </colorScale>
    </cfRule>
    <cfRule type="colorScale" priority="4197">
      <colorScale>
        <cfvo type="min"/>
        <cfvo type="max"/>
        <color rgb="FFFF0000"/>
        <color rgb="FF92D050"/>
      </colorScale>
    </cfRule>
    <cfRule type="colorScale" priority="4198">
      <colorScale>
        <cfvo type="min"/>
        <cfvo type="percentile" val="50"/>
        <cfvo type="max"/>
        <color rgb="FF5A8AC6"/>
        <color rgb="FFFCFCFF"/>
        <color rgb="FFF8696B"/>
      </colorScale>
    </cfRule>
    <cfRule type="colorScale" priority="4199">
      <colorScale>
        <cfvo type="formula" val="&quot;&gt;20&quot;"/>
        <cfvo type="formula" val="35"/>
        <color rgb="FFF8696B"/>
        <color rgb="FFFCFCFF"/>
      </colorScale>
    </cfRule>
    <cfRule type="colorScale" priority="4200">
      <colorScale>
        <cfvo type="min"/>
        <cfvo type="max"/>
        <color rgb="FFFFEF9C"/>
        <color rgb="FF63BE7B"/>
      </colorScale>
    </cfRule>
  </conditionalFormatting>
  <conditionalFormatting sqref="S852:S868">
    <cfRule type="containsText" dxfId="1580" priority="4192" operator="containsText" text="Short Buildup">
      <formula>NOT(ISERROR(SEARCH("Short Buildup",S852)))</formula>
    </cfRule>
    <cfRule type="containsText" dxfId="1579" priority="4193" operator="containsText" text="Long Liquidation">
      <formula>NOT(ISERROR(SEARCH("Long Liquidation",S852)))</formula>
    </cfRule>
    <cfRule type="containsText" dxfId="1578" priority="4194" operator="containsText" text="Short covering">
      <formula>NOT(ISERROR(SEARCH("Short covering",S852)))</formula>
    </cfRule>
    <cfRule type="containsText" dxfId="1577" priority="4195" operator="containsText" text="Long Buildup">
      <formula>NOT(ISERROR(SEARCH("Long Buildup",S852)))</formula>
    </cfRule>
  </conditionalFormatting>
  <conditionalFormatting sqref="R869:R885 D869:D884 C885">
    <cfRule type="containsText" dxfId="1576" priority="4178" operator="containsText" text="DOWN">
      <formula>NOT(ISERROR(SEARCH("DOWN",C869)))</formula>
    </cfRule>
  </conditionalFormatting>
  <conditionalFormatting sqref="R869:R885 D869:D884 C885">
    <cfRule type="containsText" dxfId="1575" priority="4177" operator="containsText" text="UP">
      <formula>NOT(ISERROR(SEARCH("UP",C869)))</formula>
    </cfRule>
  </conditionalFormatting>
  <conditionalFormatting sqref="I869:I885">
    <cfRule type="colorScale" priority="4179">
      <colorScale>
        <cfvo type="min"/>
        <cfvo type="max"/>
        <color rgb="FFFFEF9C"/>
        <color rgb="FF63BE7B"/>
      </colorScale>
    </cfRule>
  </conditionalFormatting>
  <conditionalFormatting sqref="M869:M885">
    <cfRule type="colorScale" priority="4180">
      <colorScale>
        <cfvo type="min"/>
        <cfvo type="max"/>
        <color rgb="FFFF7128"/>
        <color rgb="FFFFEF9C"/>
      </colorScale>
    </cfRule>
  </conditionalFormatting>
  <conditionalFormatting sqref="Q869:Q885">
    <cfRule type="dataBar" priority="4181">
      <dataBar>
        <cfvo type="min"/>
        <cfvo type="max"/>
        <color rgb="FFFF555A"/>
      </dataBar>
    </cfRule>
  </conditionalFormatting>
  <conditionalFormatting sqref="E869:E885">
    <cfRule type="dataBar" priority="4182">
      <dataBar>
        <cfvo type="min"/>
        <cfvo type="max"/>
        <color rgb="FFFF555A"/>
      </dataBar>
    </cfRule>
  </conditionalFormatting>
  <conditionalFormatting sqref="F869:F885">
    <cfRule type="top10" dxfId="1574" priority="4183" rank="1"/>
  </conditionalFormatting>
  <conditionalFormatting sqref="P869:P884">
    <cfRule type="top10" dxfId="1573" priority="4184" rank="1"/>
  </conditionalFormatting>
  <conditionalFormatting sqref="G869:G885 O869:O884 P885">
    <cfRule type="cellIs" dxfId="1572" priority="4185" operator="equal">
      <formula>$G$135</formula>
    </cfRule>
  </conditionalFormatting>
  <conditionalFormatting sqref="O869:O884 P885">
    <cfRule type="cellIs" dxfId="1571" priority="4186" operator="equal">
      <formula>$J$135</formula>
    </cfRule>
  </conditionalFormatting>
  <conditionalFormatting sqref="G869:G885 O869:O884 P885">
    <cfRule type="cellIs" dxfId="1570" priority="4187" operator="equal">
      <formula>#REF!</formula>
    </cfRule>
  </conditionalFormatting>
  <conditionalFormatting sqref="G869:G885">
    <cfRule type="top10" dxfId="1569" priority="4188" rank="1"/>
    <cfRule type="cellIs" dxfId="1568" priority="4189" operator="equal">
      <formula>$G$133</formula>
    </cfRule>
  </conditionalFormatting>
  <conditionalFormatting sqref="O869:O884 P885">
    <cfRule type="top10" dxfId="1567" priority="4190" rank="1"/>
    <cfRule type="cellIs" dxfId="1566" priority="4191" operator="equal">
      <formula>$G$133</formula>
    </cfRule>
  </conditionalFormatting>
  <conditionalFormatting sqref="C869:C884">
    <cfRule type="containsText" dxfId="1565" priority="4173" operator="containsText" text="Short Buildup">
      <formula>NOT(ISERROR(SEARCH("Short Buildup",C869)))</formula>
    </cfRule>
    <cfRule type="containsText" dxfId="1564" priority="4174" operator="containsText" text="Long Liquidation">
      <formula>NOT(ISERROR(SEARCH("Long Liquidation",C869)))</formula>
    </cfRule>
    <cfRule type="containsText" dxfId="1563" priority="4175" operator="containsText" text="Short covering">
      <formula>NOT(ISERROR(SEARCH("Short covering",C869)))</formula>
    </cfRule>
    <cfRule type="containsText" dxfId="1562" priority="4176" operator="containsText" text="Long Buildup">
      <formula>NOT(ISERROR(SEARCH("Long Buildup",C869)))</formula>
    </cfRule>
  </conditionalFormatting>
  <conditionalFormatting sqref="H869:H885">
    <cfRule type="colorScale" priority="4168">
      <colorScale>
        <cfvo type="min"/>
        <cfvo type="percentile" val="20"/>
        <cfvo type="max"/>
        <color rgb="FF92D050"/>
        <color theme="5" tint="0.79998168889431442"/>
        <color rgb="FFFF0000"/>
      </colorScale>
    </cfRule>
    <cfRule type="colorScale" priority="4169">
      <colorScale>
        <cfvo type="min"/>
        <cfvo type="max"/>
        <color rgb="FFFF0000"/>
        <color rgb="FF92D050"/>
      </colorScale>
    </cfRule>
    <cfRule type="colorScale" priority="4170">
      <colorScale>
        <cfvo type="min"/>
        <cfvo type="percentile" val="50"/>
        <cfvo type="max"/>
        <color rgb="FF5A8AC6"/>
        <color rgb="FFFCFCFF"/>
        <color rgb="FFF8696B"/>
      </colorScale>
    </cfRule>
    <cfRule type="colorScale" priority="4171">
      <colorScale>
        <cfvo type="formula" val="&quot;&gt;20&quot;"/>
        <cfvo type="formula" val="35"/>
        <color rgb="FFF8696B"/>
        <color rgb="FFFCFCFF"/>
      </colorScale>
    </cfRule>
    <cfRule type="colorScale" priority="4172">
      <colorScale>
        <cfvo type="min"/>
        <cfvo type="max"/>
        <color rgb="FFFFEF9C"/>
        <color rgb="FF63BE7B"/>
      </colorScale>
    </cfRule>
  </conditionalFormatting>
  <conditionalFormatting sqref="N869:N885">
    <cfRule type="colorScale" priority="4163">
      <colorScale>
        <cfvo type="min"/>
        <cfvo type="percentile" val="20"/>
        <cfvo type="max"/>
        <color rgb="FF92D050"/>
        <color theme="5" tint="0.79998168889431442"/>
        <color rgb="FFFF0000"/>
      </colorScale>
    </cfRule>
    <cfRule type="colorScale" priority="4164">
      <colorScale>
        <cfvo type="min"/>
        <cfvo type="max"/>
        <color rgb="FFFF0000"/>
        <color rgb="FF92D050"/>
      </colorScale>
    </cfRule>
    <cfRule type="colorScale" priority="4165">
      <colorScale>
        <cfvo type="min"/>
        <cfvo type="percentile" val="50"/>
        <cfvo type="max"/>
        <color rgb="FF5A8AC6"/>
        <color rgb="FFFCFCFF"/>
        <color rgb="FFF8696B"/>
      </colorScale>
    </cfRule>
    <cfRule type="colorScale" priority="4166">
      <colorScale>
        <cfvo type="formula" val="&quot;&gt;20&quot;"/>
        <cfvo type="formula" val="35"/>
        <color rgb="FFF8696B"/>
        <color rgb="FFFCFCFF"/>
      </colorScale>
    </cfRule>
    <cfRule type="colorScale" priority="4167">
      <colorScale>
        <cfvo type="min"/>
        <cfvo type="max"/>
        <color rgb="FFFFEF9C"/>
        <color rgb="FF63BE7B"/>
      </colorScale>
    </cfRule>
  </conditionalFormatting>
  <conditionalFormatting sqref="S869:S885">
    <cfRule type="containsText" dxfId="1561" priority="4159" operator="containsText" text="Short Buildup">
      <formula>NOT(ISERROR(SEARCH("Short Buildup",S869)))</formula>
    </cfRule>
    <cfRule type="containsText" dxfId="1560" priority="4160" operator="containsText" text="Long Liquidation">
      <formula>NOT(ISERROR(SEARCH("Long Liquidation",S869)))</formula>
    </cfRule>
    <cfRule type="containsText" dxfId="1559" priority="4161" operator="containsText" text="Short covering">
      <formula>NOT(ISERROR(SEARCH("Short covering",S869)))</formula>
    </cfRule>
    <cfRule type="containsText" dxfId="1558" priority="4162" operator="containsText" text="Long Buildup">
      <formula>NOT(ISERROR(SEARCH("Long Buildup",S869)))</formula>
    </cfRule>
  </conditionalFormatting>
  <conditionalFormatting sqref="R886:R902 D886:D901 C902">
    <cfRule type="containsText" dxfId="1557" priority="4145" operator="containsText" text="DOWN">
      <formula>NOT(ISERROR(SEARCH("DOWN",C886)))</formula>
    </cfRule>
  </conditionalFormatting>
  <conditionalFormatting sqref="R886:R902 D886:D901 C902">
    <cfRule type="containsText" dxfId="1556" priority="4144" operator="containsText" text="UP">
      <formula>NOT(ISERROR(SEARCH("UP",C886)))</formula>
    </cfRule>
  </conditionalFormatting>
  <conditionalFormatting sqref="I886:I902">
    <cfRule type="colorScale" priority="4146">
      <colorScale>
        <cfvo type="min"/>
        <cfvo type="max"/>
        <color rgb="FFFFEF9C"/>
        <color rgb="FF63BE7B"/>
      </colorScale>
    </cfRule>
  </conditionalFormatting>
  <conditionalFormatting sqref="M886:M902">
    <cfRule type="colorScale" priority="4147">
      <colorScale>
        <cfvo type="min"/>
        <cfvo type="max"/>
        <color rgb="FFFF7128"/>
        <color rgb="FFFFEF9C"/>
      </colorScale>
    </cfRule>
  </conditionalFormatting>
  <conditionalFormatting sqref="Q886:Q902">
    <cfRule type="dataBar" priority="4148">
      <dataBar>
        <cfvo type="min"/>
        <cfvo type="max"/>
        <color rgb="FFFF555A"/>
      </dataBar>
    </cfRule>
  </conditionalFormatting>
  <conditionalFormatting sqref="E886:E902">
    <cfRule type="dataBar" priority="4149">
      <dataBar>
        <cfvo type="min"/>
        <cfvo type="max"/>
        <color rgb="FFFF555A"/>
      </dataBar>
    </cfRule>
  </conditionalFormatting>
  <conditionalFormatting sqref="F886:F902">
    <cfRule type="top10" dxfId="1555" priority="4150" rank="1"/>
  </conditionalFormatting>
  <conditionalFormatting sqref="P886:P901">
    <cfRule type="top10" dxfId="1554" priority="4151" rank="1"/>
  </conditionalFormatting>
  <conditionalFormatting sqref="G886:G902 O886:O901 P902">
    <cfRule type="cellIs" dxfId="1553" priority="4152" operator="equal">
      <formula>$G$135</formula>
    </cfRule>
  </conditionalFormatting>
  <conditionalFormatting sqref="O886:O901 P902">
    <cfRule type="cellIs" dxfId="1552" priority="4153" operator="equal">
      <formula>$J$135</formula>
    </cfRule>
  </conditionalFormatting>
  <conditionalFormatting sqref="G886:G902 O886:O901 P902">
    <cfRule type="cellIs" dxfId="1551" priority="4154" operator="equal">
      <formula>#REF!</formula>
    </cfRule>
  </conditionalFormatting>
  <conditionalFormatting sqref="G886:G902">
    <cfRule type="top10" dxfId="1550" priority="4155" rank="1"/>
    <cfRule type="cellIs" dxfId="1549" priority="4156" operator="equal">
      <formula>$G$133</formula>
    </cfRule>
  </conditionalFormatting>
  <conditionalFormatting sqref="O886:O901 P902">
    <cfRule type="top10" dxfId="1548" priority="4157" rank="1"/>
    <cfRule type="cellIs" dxfId="1547" priority="4158" operator="equal">
      <formula>$G$133</formula>
    </cfRule>
  </conditionalFormatting>
  <conditionalFormatting sqref="C886:C901">
    <cfRule type="containsText" dxfId="1546" priority="4140" operator="containsText" text="Short Buildup">
      <formula>NOT(ISERROR(SEARCH("Short Buildup",C886)))</formula>
    </cfRule>
    <cfRule type="containsText" dxfId="1545" priority="4141" operator="containsText" text="Long Liquidation">
      <formula>NOT(ISERROR(SEARCH("Long Liquidation",C886)))</formula>
    </cfRule>
    <cfRule type="containsText" dxfId="1544" priority="4142" operator="containsText" text="Short covering">
      <formula>NOT(ISERROR(SEARCH("Short covering",C886)))</formula>
    </cfRule>
    <cfRule type="containsText" dxfId="1543" priority="4143" operator="containsText" text="Long Buildup">
      <formula>NOT(ISERROR(SEARCH("Long Buildup",C886)))</formula>
    </cfRule>
  </conditionalFormatting>
  <conditionalFormatting sqref="H886:H902">
    <cfRule type="colorScale" priority="4135">
      <colorScale>
        <cfvo type="min"/>
        <cfvo type="percentile" val="20"/>
        <cfvo type="max"/>
        <color rgb="FF92D050"/>
        <color theme="5" tint="0.79998168889431442"/>
        <color rgb="FFFF0000"/>
      </colorScale>
    </cfRule>
    <cfRule type="colorScale" priority="4136">
      <colorScale>
        <cfvo type="min"/>
        <cfvo type="max"/>
        <color rgb="FFFF0000"/>
        <color rgb="FF92D050"/>
      </colorScale>
    </cfRule>
    <cfRule type="colorScale" priority="4137">
      <colorScale>
        <cfvo type="min"/>
        <cfvo type="percentile" val="50"/>
        <cfvo type="max"/>
        <color rgb="FF5A8AC6"/>
        <color rgb="FFFCFCFF"/>
        <color rgb="FFF8696B"/>
      </colorScale>
    </cfRule>
    <cfRule type="colorScale" priority="4138">
      <colorScale>
        <cfvo type="formula" val="&quot;&gt;20&quot;"/>
        <cfvo type="formula" val="35"/>
        <color rgb="FFF8696B"/>
        <color rgb="FFFCFCFF"/>
      </colorScale>
    </cfRule>
    <cfRule type="colorScale" priority="4139">
      <colorScale>
        <cfvo type="min"/>
        <cfvo type="max"/>
        <color rgb="FFFFEF9C"/>
        <color rgb="FF63BE7B"/>
      </colorScale>
    </cfRule>
  </conditionalFormatting>
  <conditionalFormatting sqref="N886:N902">
    <cfRule type="colorScale" priority="4130">
      <colorScale>
        <cfvo type="min"/>
        <cfvo type="percentile" val="20"/>
        <cfvo type="max"/>
        <color rgb="FF92D050"/>
        <color theme="5" tint="0.79998168889431442"/>
        <color rgb="FFFF0000"/>
      </colorScale>
    </cfRule>
    <cfRule type="colorScale" priority="4131">
      <colorScale>
        <cfvo type="min"/>
        <cfvo type="max"/>
        <color rgb="FFFF0000"/>
        <color rgb="FF92D050"/>
      </colorScale>
    </cfRule>
    <cfRule type="colorScale" priority="4132">
      <colorScale>
        <cfvo type="min"/>
        <cfvo type="percentile" val="50"/>
        <cfvo type="max"/>
        <color rgb="FF5A8AC6"/>
        <color rgb="FFFCFCFF"/>
        <color rgb="FFF8696B"/>
      </colorScale>
    </cfRule>
    <cfRule type="colorScale" priority="4133">
      <colorScale>
        <cfvo type="formula" val="&quot;&gt;20&quot;"/>
        <cfvo type="formula" val="35"/>
        <color rgb="FFF8696B"/>
        <color rgb="FFFCFCFF"/>
      </colorScale>
    </cfRule>
    <cfRule type="colorScale" priority="4134">
      <colorScale>
        <cfvo type="min"/>
        <cfvo type="max"/>
        <color rgb="FFFFEF9C"/>
        <color rgb="FF63BE7B"/>
      </colorScale>
    </cfRule>
  </conditionalFormatting>
  <conditionalFormatting sqref="S886:S902">
    <cfRule type="containsText" dxfId="1542" priority="4126" operator="containsText" text="Short Buildup">
      <formula>NOT(ISERROR(SEARCH("Short Buildup",S886)))</formula>
    </cfRule>
    <cfRule type="containsText" dxfId="1541" priority="4127" operator="containsText" text="Long Liquidation">
      <formula>NOT(ISERROR(SEARCH("Long Liquidation",S886)))</formula>
    </cfRule>
    <cfRule type="containsText" dxfId="1540" priority="4128" operator="containsText" text="Short covering">
      <formula>NOT(ISERROR(SEARCH("Short covering",S886)))</formula>
    </cfRule>
    <cfRule type="containsText" dxfId="1539" priority="4129" operator="containsText" text="Long Buildup">
      <formula>NOT(ISERROR(SEARCH("Long Buildup",S886)))</formula>
    </cfRule>
  </conditionalFormatting>
  <conditionalFormatting sqref="R903:R919 D903:D918 C919">
    <cfRule type="containsText" dxfId="1538" priority="4112" operator="containsText" text="DOWN">
      <formula>NOT(ISERROR(SEARCH("DOWN",C903)))</formula>
    </cfRule>
  </conditionalFormatting>
  <conditionalFormatting sqref="R903:R919 D903:D918 C919">
    <cfRule type="containsText" dxfId="1537" priority="4111" operator="containsText" text="UP">
      <formula>NOT(ISERROR(SEARCH("UP",C903)))</formula>
    </cfRule>
  </conditionalFormatting>
  <conditionalFormatting sqref="I903:I919">
    <cfRule type="colorScale" priority="4113">
      <colorScale>
        <cfvo type="min"/>
        <cfvo type="max"/>
        <color rgb="FFFFEF9C"/>
        <color rgb="FF63BE7B"/>
      </colorScale>
    </cfRule>
  </conditionalFormatting>
  <conditionalFormatting sqref="M903:M919">
    <cfRule type="colorScale" priority="4114">
      <colorScale>
        <cfvo type="min"/>
        <cfvo type="max"/>
        <color rgb="FFFF7128"/>
        <color rgb="FFFFEF9C"/>
      </colorScale>
    </cfRule>
  </conditionalFormatting>
  <conditionalFormatting sqref="Q903:Q919">
    <cfRule type="dataBar" priority="4115">
      <dataBar>
        <cfvo type="min"/>
        <cfvo type="max"/>
        <color rgb="FFFF555A"/>
      </dataBar>
    </cfRule>
  </conditionalFormatting>
  <conditionalFormatting sqref="E903:E919">
    <cfRule type="dataBar" priority="4116">
      <dataBar>
        <cfvo type="min"/>
        <cfvo type="max"/>
        <color rgb="FFFF555A"/>
      </dataBar>
    </cfRule>
  </conditionalFormatting>
  <conditionalFormatting sqref="F903:F919">
    <cfRule type="top10" dxfId="1536" priority="4117" rank="1"/>
  </conditionalFormatting>
  <conditionalFormatting sqref="P903:P918">
    <cfRule type="top10" dxfId="1535" priority="4118" rank="1"/>
  </conditionalFormatting>
  <conditionalFormatting sqref="G903:G919 O903:O918 P919">
    <cfRule type="cellIs" dxfId="1534" priority="4119" operator="equal">
      <formula>$G$135</formula>
    </cfRule>
  </conditionalFormatting>
  <conditionalFormatting sqref="O903:O918 P919">
    <cfRule type="cellIs" dxfId="1533" priority="4120" operator="equal">
      <formula>$J$135</formula>
    </cfRule>
  </conditionalFormatting>
  <conditionalFormatting sqref="G903:G919 O903:O918 P919">
    <cfRule type="cellIs" dxfId="1532" priority="4121" operator="equal">
      <formula>#REF!</formula>
    </cfRule>
  </conditionalFormatting>
  <conditionalFormatting sqref="G903:G919">
    <cfRule type="top10" dxfId="1531" priority="4122" rank="1"/>
    <cfRule type="cellIs" dxfId="1530" priority="4123" operator="equal">
      <formula>$G$133</formula>
    </cfRule>
  </conditionalFormatting>
  <conditionalFormatting sqref="O903:O918 P919">
    <cfRule type="top10" dxfId="1529" priority="4124" rank="1"/>
    <cfRule type="cellIs" dxfId="1528" priority="4125" operator="equal">
      <formula>$G$133</formula>
    </cfRule>
  </conditionalFormatting>
  <conditionalFormatting sqref="C903:C918">
    <cfRule type="containsText" dxfId="1527" priority="4107" operator="containsText" text="Short Buildup">
      <formula>NOT(ISERROR(SEARCH("Short Buildup",C903)))</formula>
    </cfRule>
    <cfRule type="containsText" dxfId="1526" priority="4108" operator="containsText" text="Long Liquidation">
      <formula>NOT(ISERROR(SEARCH("Long Liquidation",C903)))</formula>
    </cfRule>
    <cfRule type="containsText" dxfId="1525" priority="4109" operator="containsText" text="Short covering">
      <formula>NOT(ISERROR(SEARCH("Short covering",C903)))</formula>
    </cfRule>
    <cfRule type="containsText" dxfId="1524" priority="4110" operator="containsText" text="Long Buildup">
      <formula>NOT(ISERROR(SEARCH("Long Buildup",C903)))</formula>
    </cfRule>
  </conditionalFormatting>
  <conditionalFormatting sqref="H903:H919">
    <cfRule type="colorScale" priority="4102">
      <colorScale>
        <cfvo type="min"/>
        <cfvo type="percentile" val="20"/>
        <cfvo type="max"/>
        <color rgb="FF92D050"/>
        <color theme="5" tint="0.79998168889431442"/>
        <color rgb="FFFF0000"/>
      </colorScale>
    </cfRule>
    <cfRule type="colorScale" priority="4103">
      <colorScale>
        <cfvo type="min"/>
        <cfvo type="max"/>
        <color rgb="FFFF0000"/>
        <color rgb="FF92D050"/>
      </colorScale>
    </cfRule>
    <cfRule type="colorScale" priority="4104">
      <colorScale>
        <cfvo type="min"/>
        <cfvo type="percentile" val="50"/>
        <cfvo type="max"/>
        <color rgb="FF5A8AC6"/>
        <color rgb="FFFCFCFF"/>
        <color rgb="FFF8696B"/>
      </colorScale>
    </cfRule>
    <cfRule type="colorScale" priority="4105">
      <colorScale>
        <cfvo type="formula" val="&quot;&gt;20&quot;"/>
        <cfvo type="formula" val="35"/>
        <color rgb="FFF8696B"/>
        <color rgb="FFFCFCFF"/>
      </colorScale>
    </cfRule>
    <cfRule type="colorScale" priority="4106">
      <colorScale>
        <cfvo type="min"/>
        <cfvo type="max"/>
        <color rgb="FFFFEF9C"/>
        <color rgb="FF63BE7B"/>
      </colorScale>
    </cfRule>
  </conditionalFormatting>
  <conditionalFormatting sqref="N903:N919">
    <cfRule type="colorScale" priority="4097">
      <colorScale>
        <cfvo type="min"/>
        <cfvo type="percentile" val="20"/>
        <cfvo type="max"/>
        <color rgb="FF92D050"/>
        <color theme="5" tint="0.79998168889431442"/>
        <color rgb="FFFF0000"/>
      </colorScale>
    </cfRule>
    <cfRule type="colorScale" priority="4098">
      <colorScale>
        <cfvo type="min"/>
        <cfvo type="max"/>
        <color rgb="FFFF0000"/>
        <color rgb="FF92D050"/>
      </colorScale>
    </cfRule>
    <cfRule type="colorScale" priority="4099">
      <colorScale>
        <cfvo type="min"/>
        <cfvo type="percentile" val="50"/>
        <cfvo type="max"/>
        <color rgb="FF5A8AC6"/>
        <color rgb="FFFCFCFF"/>
        <color rgb="FFF8696B"/>
      </colorScale>
    </cfRule>
    <cfRule type="colorScale" priority="4100">
      <colorScale>
        <cfvo type="formula" val="&quot;&gt;20&quot;"/>
        <cfvo type="formula" val="35"/>
        <color rgb="FFF8696B"/>
        <color rgb="FFFCFCFF"/>
      </colorScale>
    </cfRule>
    <cfRule type="colorScale" priority="4101">
      <colorScale>
        <cfvo type="min"/>
        <cfvo type="max"/>
        <color rgb="FFFFEF9C"/>
        <color rgb="FF63BE7B"/>
      </colorScale>
    </cfRule>
  </conditionalFormatting>
  <conditionalFormatting sqref="S903:S919">
    <cfRule type="containsText" dxfId="1523" priority="4093" operator="containsText" text="Short Buildup">
      <formula>NOT(ISERROR(SEARCH("Short Buildup",S903)))</formula>
    </cfRule>
    <cfRule type="containsText" dxfId="1522" priority="4094" operator="containsText" text="Long Liquidation">
      <formula>NOT(ISERROR(SEARCH("Long Liquidation",S903)))</formula>
    </cfRule>
    <cfRule type="containsText" dxfId="1521" priority="4095" operator="containsText" text="Short covering">
      <formula>NOT(ISERROR(SEARCH("Short covering",S903)))</formula>
    </cfRule>
    <cfRule type="containsText" dxfId="1520" priority="4096" operator="containsText" text="Long Buildup">
      <formula>NOT(ISERROR(SEARCH("Long Buildup",S903)))</formula>
    </cfRule>
  </conditionalFormatting>
  <conditionalFormatting sqref="R665:R681 D665:D680 C681">
    <cfRule type="containsText" dxfId="778" priority="1340" operator="containsText" text="DOWN">
      <formula>NOT(ISERROR(SEARCH("DOWN",C665)))</formula>
    </cfRule>
  </conditionalFormatting>
  <conditionalFormatting sqref="R665:R681 D665:D680 C681">
    <cfRule type="containsText" dxfId="777" priority="1339" operator="containsText" text="UP">
      <formula>NOT(ISERROR(SEARCH("UP",C665)))</formula>
    </cfRule>
  </conditionalFormatting>
  <conditionalFormatting sqref="I665:I681">
    <cfRule type="colorScale" priority="1341">
      <colorScale>
        <cfvo type="min"/>
        <cfvo type="max"/>
        <color rgb="FFFFEF9C"/>
        <color rgb="FF63BE7B"/>
      </colorScale>
    </cfRule>
  </conditionalFormatting>
  <conditionalFormatting sqref="M665:M681">
    <cfRule type="colorScale" priority="1342">
      <colorScale>
        <cfvo type="min"/>
        <cfvo type="max"/>
        <color rgb="FFFF7128"/>
        <color rgb="FFFFEF9C"/>
      </colorScale>
    </cfRule>
  </conditionalFormatting>
  <conditionalFormatting sqref="Q665:Q681">
    <cfRule type="dataBar" priority="1343">
      <dataBar>
        <cfvo type="min"/>
        <cfvo type="max"/>
        <color rgb="FFFF555A"/>
      </dataBar>
    </cfRule>
  </conditionalFormatting>
  <conditionalFormatting sqref="E665:E681">
    <cfRule type="dataBar" priority="1344">
      <dataBar>
        <cfvo type="min"/>
        <cfvo type="max"/>
        <color rgb="FFFF555A"/>
      </dataBar>
    </cfRule>
  </conditionalFormatting>
  <conditionalFormatting sqref="F665:F681">
    <cfRule type="top10" dxfId="776" priority="1345" rank="1"/>
  </conditionalFormatting>
  <conditionalFormatting sqref="P665:P680">
    <cfRule type="top10" dxfId="775" priority="1346" rank="1"/>
  </conditionalFormatting>
  <conditionalFormatting sqref="G665:G681 O665:O680 P681">
    <cfRule type="cellIs" dxfId="774" priority="1347" operator="equal">
      <formula>$G$135</formula>
    </cfRule>
  </conditionalFormatting>
  <conditionalFormatting sqref="O665:O680 P681">
    <cfRule type="cellIs" dxfId="773" priority="1348" operator="equal">
      <formula>$J$135</formula>
    </cfRule>
  </conditionalFormatting>
  <conditionalFormatting sqref="G665:G681 O665:O680 P681">
    <cfRule type="cellIs" dxfId="772" priority="1349" operator="equal">
      <formula>#REF!</formula>
    </cfRule>
  </conditionalFormatting>
  <conditionalFormatting sqref="G665:G681">
    <cfRule type="top10" dxfId="771" priority="1350" rank="1"/>
    <cfRule type="cellIs" dxfId="770" priority="1351" operator="equal">
      <formula>$G$133</formula>
    </cfRule>
  </conditionalFormatting>
  <conditionalFormatting sqref="O665:O680 P681">
    <cfRule type="top10" dxfId="769" priority="1352" rank="1"/>
    <cfRule type="cellIs" dxfId="768" priority="1353" operator="equal">
      <formula>$G$133</formula>
    </cfRule>
  </conditionalFormatting>
  <conditionalFormatting sqref="C665:C680">
    <cfRule type="containsText" dxfId="767" priority="1335" operator="containsText" text="Short Buildup">
      <formula>NOT(ISERROR(SEARCH("Short Buildup",C665)))</formula>
    </cfRule>
    <cfRule type="containsText" dxfId="766" priority="1336" operator="containsText" text="Long Liquidation">
      <formula>NOT(ISERROR(SEARCH("Long Liquidation",C665)))</formula>
    </cfRule>
    <cfRule type="containsText" dxfId="765" priority="1337" operator="containsText" text="Short covering">
      <formula>NOT(ISERROR(SEARCH("Short covering",C665)))</formula>
    </cfRule>
    <cfRule type="containsText" dxfId="764" priority="1338" operator="containsText" text="Long Buildup">
      <formula>NOT(ISERROR(SEARCH("Long Buildup",C665)))</formula>
    </cfRule>
  </conditionalFormatting>
  <conditionalFormatting sqref="H665:H681">
    <cfRule type="colorScale" priority="1330">
      <colorScale>
        <cfvo type="min"/>
        <cfvo type="percentile" val="20"/>
        <cfvo type="max"/>
        <color rgb="FF92D050"/>
        <color theme="5" tint="0.79998168889431442"/>
        <color rgb="FFFF0000"/>
      </colorScale>
    </cfRule>
    <cfRule type="colorScale" priority="1331">
      <colorScale>
        <cfvo type="min"/>
        <cfvo type="max"/>
        <color rgb="FFFF0000"/>
        <color rgb="FF92D050"/>
      </colorScale>
    </cfRule>
    <cfRule type="colorScale" priority="1332">
      <colorScale>
        <cfvo type="min"/>
        <cfvo type="percentile" val="50"/>
        <cfvo type="max"/>
        <color rgb="FF5A8AC6"/>
        <color rgb="FFFCFCFF"/>
        <color rgb="FFF8696B"/>
      </colorScale>
    </cfRule>
    <cfRule type="colorScale" priority="1333">
      <colorScale>
        <cfvo type="formula" val="&quot;&gt;20&quot;"/>
        <cfvo type="formula" val="35"/>
        <color rgb="FFF8696B"/>
        <color rgb="FFFCFCFF"/>
      </colorScale>
    </cfRule>
    <cfRule type="colorScale" priority="1334">
      <colorScale>
        <cfvo type="min"/>
        <cfvo type="max"/>
        <color rgb="FFFFEF9C"/>
        <color rgb="FF63BE7B"/>
      </colorScale>
    </cfRule>
  </conditionalFormatting>
  <conditionalFormatting sqref="N665:N681">
    <cfRule type="colorScale" priority="1325">
      <colorScale>
        <cfvo type="min"/>
        <cfvo type="percentile" val="20"/>
        <cfvo type="max"/>
        <color rgb="FF92D050"/>
        <color theme="5" tint="0.79998168889431442"/>
        <color rgb="FFFF0000"/>
      </colorScale>
    </cfRule>
    <cfRule type="colorScale" priority="1326">
      <colorScale>
        <cfvo type="min"/>
        <cfvo type="max"/>
        <color rgb="FFFF0000"/>
        <color rgb="FF92D050"/>
      </colorScale>
    </cfRule>
    <cfRule type="colorScale" priority="1327">
      <colorScale>
        <cfvo type="min"/>
        <cfvo type="percentile" val="50"/>
        <cfvo type="max"/>
        <color rgb="FF5A8AC6"/>
        <color rgb="FFFCFCFF"/>
        <color rgb="FFF8696B"/>
      </colorScale>
    </cfRule>
    <cfRule type="colorScale" priority="1328">
      <colorScale>
        <cfvo type="formula" val="&quot;&gt;20&quot;"/>
        <cfvo type="formula" val="35"/>
        <color rgb="FFF8696B"/>
        <color rgb="FFFCFCFF"/>
      </colorScale>
    </cfRule>
    <cfRule type="colorScale" priority="1329">
      <colorScale>
        <cfvo type="min"/>
        <cfvo type="max"/>
        <color rgb="FFFFEF9C"/>
        <color rgb="FF63BE7B"/>
      </colorScale>
    </cfRule>
  </conditionalFormatting>
  <conditionalFormatting sqref="S665:S681">
    <cfRule type="containsText" dxfId="763" priority="1321" operator="containsText" text="Short Buildup">
      <formula>NOT(ISERROR(SEARCH("Short Buildup",S665)))</formula>
    </cfRule>
    <cfRule type="containsText" dxfId="762" priority="1322" operator="containsText" text="Long Liquidation">
      <formula>NOT(ISERROR(SEARCH("Long Liquidation",S665)))</formula>
    </cfRule>
    <cfRule type="containsText" dxfId="761" priority="1323" operator="containsText" text="Short covering">
      <formula>NOT(ISERROR(SEARCH("Short covering",S665)))</formula>
    </cfRule>
    <cfRule type="containsText" dxfId="760" priority="1324" operator="containsText" text="Long Buildup">
      <formula>NOT(ISERROR(SEARCH("Long Buildup",S665)))</formula>
    </cfRule>
  </conditionalFormatting>
  <conditionalFormatting sqref="R682:R698 D682:D697 C698">
    <cfRule type="containsText" dxfId="759" priority="1307" operator="containsText" text="DOWN">
      <formula>NOT(ISERROR(SEARCH("DOWN",C682)))</formula>
    </cfRule>
  </conditionalFormatting>
  <conditionalFormatting sqref="R682:R698 D682:D697 C698">
    <cfRule type="containsText" dxfId="758" priority="1306" operator="containsText" text="UP">
      <formula>NOT(ISERROR(SEARCH("UP",C682)))</formula>
    </cfRule>
  </conditionalFormatting>
  <conditionalFormatting sqref="I682:I698">
    <cfRule type="colorScale" priority="1308">
      <colorScale>
        <cfvo type="min"/>
        <cfvo type="max"/>
        <color rgb="FFFFEF9C"/>
        <color rgb="FF63BE7B"/>
      </colorScale>
    </cfRule>
  </conditionalFormatting>
  <conditionalFormatting sqref="M682:M698">
    <cfRule type="colorScale" priority="1309">
      <colorScale>
        <cfvo type="min"/>
        <cfvo type="max"/>
        <color rgb="FFFF7128"/>
        <color rgb="FFFFEF9C"/>
      </colorScale>
    </cfRule>
  </conditionalFormatting>
  <conditionalFormatting sqref="Q682:Q698">
    <cfRule type="dataBar" priority="1310">
      <dataBar>
        <cfvo type="min"/>
        <cfvo type="max"/>
        <color rgb="FFFF555A"/>
      </dataBar>
    </cfRule>
  </conditionalFormatting>
  <conditionalFormatting sqref="E682:E698">
    <cfRule type="dataBar" priority="1311">
      <dataBar>
        <cfvo type="min"/>
        <cfvo type="max"/>
        <color rgb="FFFF555A"/>
      </dataBar>
    </cfRule>
  </conditionalFormatting>
  <conditionalFormatting sqref="F682:F698">
    <cfRule type="top10" dxfId="757" priority="1312" rank="1"/>
  </conditionalFormatting>
  <conditionalFormatting sqref="P682:P697">
    <cfRule type="top10" dxfId="756" priority="1313" rank="1"/>
  </conditionalFormatting>
  <conditionalFormatting sqref="G682:G698 O682:O697 P698">
    <cfRule type="cellIs" dxfId="755" priority="1314" operator="equal">
      <formula>$G$135</formula>
    </cfRule>
  </conditionalFormatting>
  <conditionalFormatting sqref="O682:O697 P698">
    <cfRule type="cellIs" dxfId="754" priority="1315" operator="equal">
      <formula>$J$135</formula>
    </cfRule>
  </conditionalFormatting>
  <conditionalFormatting sqref="G682:G698 O682:O697 P698">
    <cfRule type="cellIs" dxfId="753" priority="1316" operator="equal">
      <formula>#REF!</formula>
    </cfRule>
  </conditionalFormatting>
  <conditionalFormatting sqref="G682:G698">
    <cfRule type="top10" dxfId="752" priority="1317" rank="1"/>
    <cfRule type="cellIs" dxfId="751" priority="1318" operator="equal">
      <formula>$G$133</formula>
    </cfRule>
  </conditionalFormatting>
  <conditionalFormatting sqref="O682:O697 P698">
    <cfRule type="top10" dxfId="750" priority="1319" rank="1"/>
    <cfRule type="cellIs" dxfId="749" priority="1320" operator="equal">
      <formula>$G$133</formula>
    </cfRule>
  </conditionalFormatting>
  <conditionalFormatting sqref="C682:C697">
    <cfRule type="containsText" dxfId="748" priority="1302" operator="containsText" text="Short Buildup">
      <formula>NOT(ISERROR(SEARCH("Short Buildup",C682)))</formula>
    </cfRule>
    <cfRule type="containsText" dxfId="747" priority="1303" operator="containsText" text="Long Liquidation">
      <formula>NOT(ISERROR(SEARCH("Long Liquidation",C682)))</formula>
    </cfRule>
    <cfRule type="containsText" dxfId="746" priority="1304" operator="containsText" text="Short covering">
      <formula>NOT(ISERROR(SEARCH("Short covering",C682)))</formula>
    </cfRule>
    <cfRule type="containsText" dxfId="745" priority="1305" operator="containsText" text="Long Buildup">
      <formula>NOT(ISERROR(SEARCH("Long Buildup",C682)))</formula>
    </cfRule>
  </conditionalFormatting>
  <conditionalFormatting sqref="H682:H698">
    <cfRule type="colorScale" priority="1297">
      <colorScale>
        <cfvo type="min"/>
        <cfvo type="percentile" val="20"/>
        <cfvo type="max"/>
        <color rgb="FF92D050"/>
        <color theme="5" tint="0.79998168889431442"/>
        <color rgb="FFFF0000"/>
      </colorScale>
    </cfRule>
    <cfRule type="colorScale" priority="1298">
      <colorScale>
        <cfvo type="min"/>
        <cfvo type="max"/>
        <color rgb="FFFF0000"/>
        <color rgb="FF92D050"/>
      </colorScale>
    </cfRule>
    <cfRule type="colorScale" priority="1299">
      <colorScale>
        <cfvo type="min"/>
        <cfvo type="percentile" val="50"/>
        <cfvo type="max"/>
        <color rgb="FF5A8AC6"/>
        <color rgb="FFFCFCFF"/>
        <color rgb="FFF8696B"/>
      </colorScale>
    </cfRule>
    <cfRule type="colorScale" priority="1300">
      <colorScale>
        <cfvo type="formula" val="&quot;&gt;20&quot;"/>
        <cfvo type="formula" val="35"/>
        <color rgb="FFF8696B"/>
        <color rgb="FFFCFCFF"/>
      </colorScale>
    </cfRule>
    <cfRule type="colorScale" priority="1301">
      <colorScale>
        <cfvo type="min"/>
        <cfvo type="max"/>
        <color rgb="FFFFEF9C"/>
        <color rgb="FF63BE7B"/>
      </colorScale>
    </cfRule>
  </conditionalFormatting>
  <conditionalFormatting sqref="N682:N698">
    <cfRule type="colorScale" priority="1292">
      <colorScale>
        <cfvo type="min"/>
        <cfvo type="percentile" val="20"/>
        <cfvo type="max"/>
        <color rgb="FF92D050"/>
        <color theme="5" tint="0.79998168889431442"/>
        <color rgb="FFFF0000"/>
      </colorScale>
    </cfRule>
    <cfRule type="colorScale" priority="1293">
      <colorScale>
        <cfvo type="min"/>
        <cfvo type="max"/>
        <color rgb="FFFF0000"/>
        <color rgb="FF92D050"/>
      </colorScale>
    </cfRule>
    <cfRule type="colorScale" priority="1294">
      <colorScale>
        <cfvo type="min"/>
        <cfvo type="percentile" val="50"/>
        <cfvo type="max"/>
        <color rgb="FF5A8AC6"/>
        <color rgb="FFFCFCFF"/>
        <color rgb="FFF8696B"/>
      </colorScale>
    </cfRule>
    <cfRule type="colorScale" priority="1295">
      <colorScale>
        <cfvo type="formula" val="&quot;&gt;20&quot;"/>
        <cfvo type="formula" val="35"/>
        <color rgb="FFF8696B"/>
        <color rgb="FFFCFCFF"/>
      </colorScale>
    </cfRule>
    <cfRule type="colorScale" priority="1296">
      <colorScale>
        <cfvo type="min"/>
        <cfvo type="max"/>
        <color rgb="FFFFEF9C"/>
        <color rgb="FF63BE7B"/>
      </colorScale>
    </cfRule>
  </conditionalFormatting>
  <conditionalFormatting sqref="S682:S698">
    <cfRule type="containsText" dxfId="744" priority="1288" operator="containsText" text="Short Buildup">
      <formula>NOT(ISERROR(SEARCH("Short Buildup",S682)))</formula>
    </cfRule>
    <cfRule type="containsText" dxfId="743" priority="1289" operator="containsText" text="Long Liquidation">
      <formula>NOT(ISERROR(SEARCH("Long Liquidation",S682)))</formula>
    </cfRule>
    <cfRule type="containsText" dxfId="742" priority="1290" operator="containsText" text="Short covering">
      <formula>NOT(ISERROR(SEARCH("Short covering",S682)))</formula>
    </cfRule>
    <cfRule type="containsText" dxfId="741" priority="1291" operator="containsText" text="Long Buildup">
      <formula>NOT(ISERROR(SEARCH("Long Buildup",S682)))</formula>
    </cfRule>
  </conditionalFormatting>
  <conditionalFormatting sqref="R2:R18 D2:D17 C18">
    <cfRule type="containsText" dxfId="740" priority="1274" operator="containsText" text="DOWN">
      <formula>NOT(ISERROR(SEARCH("DOWN",C2)))</formula>
    </cfRule>
  </conditionalFormatting>
  <conditionalFormatting sqref="R2:R18 D2:D17 C18">
    <cfRule type="containsText" dxfId="739" priority="1273" operator="containsText" text="UP">
      <formula>NOT(ISERROR(SEARCH("UP",C2)))</formula>
    </cfRule>
  </conditionalFormatting>
  <conditionalFormatting sqref="I2:I18">
    <cfRule type="colorScale" priority="1275">
      <colorScale>
        <cfvo type="min"/>
        <cfvo type="max"/>
        <color rgb="FFFFEF9C"/>
        <color rgb="FF63BE7B"/>
      </colorScale>
    </cfRule>
  </conditionalFormatting>
  <conditionalFormatting sqref="M2:M18">
    <cfRule type="colorScale" priority="1276">
      <colorScale>
        <cfvo type="min"/>
        <cfvo type="max"/>
        <color rgb="FFFF7128"/>
        <color rgb="FFFFEF9C"/>
      </colorScale>
    </cfRule>
  </conditionalFormatting>
  <conditionalFormatting sqref="Q2:Q18">
    <cfRule type="dataBar" priority="1277">
      <dataBar>
        <cfvo type="min"/>
        <cfvo type="max"/>
        <color rgb="FFFF555A"/>
      </dataBar>
    </cfRule>
  </conditionalFormatting>
  <conditionalFormatting sqref="E2:E18">
    <cfRule type="dataBar" priority="1278">
      <dataBar>
        <cfvo type="min"/>
        <cfvo type="max"/>
        <color rgb="FFFF555A"/>
      </dataBar>
    </cfRule>
  </conditionalFormatting>
  <conditionalFormatting sqref="F2:F18">
    <cfRule type="top10" dxfId="738" priority="1279" rank="1"/>
  </conditionalFormatting>
  <conditionalFormatting sqref="P2:P17">
    <cfRule type="top10" dxfId="737" priority="1280" rank="1"/>
  </conditionalFormatting>
  <conditionalFormatting sqref="G2:G18 O2:O17 P18">
    <cfRule type="cellIs" dxfId="736" priority="1281" operator="equal">
      <formula>$G$135</formula>
    </cfRule>
  </conditionalFormatting>
  <conditionalFormatting sqref="O2:O17 P18">
    <cfRule type="cellIs" dxfId="735" priority="1282" operator="equal">
      <formula>$J$135</formula>
    </cfRule>
  </conditionalFormatting>
  <conditionalFormatting sqref="G2:G18 O2:O17 P18">
    <cfRule type="cellIs" dxfId="734" priority="1283" operator="equal">
      <formula>#REF!</formula>
    </cfRule>
  </conditionalFormatting>
  <conditionalFormatting sqref="G2:G18">
    <cfRule type="top10" dxfId="733" priority="1284" rank="1"/>
    <cfRule type="cellIs" dxfId="732" priority="1285" operator="equal">
      <formula>$G$133</formula>
    </cfRule>
  </conditionalFormatting>
  <conditionalFormatting sqref="O2:O17 P18">
    <cfRule type="top10" dxfId="731" priority="1286" rank="1"/>
    <cfRule type="cellIs" dxfId="730" priority="1287" operator="equal">
      <formula>$G$133</formula>
    </cfRule>
  </conditionalFormatting>
  <conditionalFormatting sqref="C2:C17">
    <cfRule type="containsText" dxfId="729" priority="1269" operator="containsText" text="Short Buildup">
      <formula>NOT(ISERROR(SEARCH("Short Buildup",C2)))</formula>
    </cfRule>
    <cfRule type="containsText" dxfId="728" priority="1270" operator="containsText" text="Long Liquidation">
      <formula>NOT(ISERROR(SEARCH("Long Liquidation",C2)))</formula>
    </cfRule>
    <cfRule type="containsText" dxfId="727" priority="1271" operator="containsText" text="Short covering">
      <formula>NOT(ISERROR(SEARCH("Short covering",C2)))</formula>
    </cfRule>
    <cfRule type="containsText" dxfId="726" priority="1272" operator="containsText" text="Long Buildup">
      <formula>NOT(ISERROR(SEARCH("Long Buildup",C2)))</formula>
    </cfRule>
  </conditionalFormatting>
  <conditionalFormatting sqref="H2:H18">
    <cfRule type="colorScale" priority="1264">
      <colorScale>
        <cfvo type="min"/>
        <cfvo type="percentile" val="20"/>
        <cfvo type="max"/>
        <color rgb="FF92D050"/>
        <color theme="5" tint="0.79998168889431442"/>
        <color rgb="FFFF0000"/>
      </colorScale>
    </cfRule>
    <cfRule type="colorScale" priority="1265">
      <colorScale>
        <cfvo type="min"/>
        <cfvo type="max"/>
        <color rgb="FFFF0000"/>
        <color rgb="FF92D050"/>
      </colorScale>
    </cfRule>
    <cfRule type="colorScale" priority="1266">
      <colorScale>
        <cfvo type="min"/>
        <cfvo type="percentile" val="50"/>
        <cfvo type="max"/>
        <color rgb="FF5A8AC6"/>
        <color rgb="FFFCFCFF"/>
        <color rgb="FFF8696B"/>
      </colorScale>
    </cfRule>
    <cfRule type="colorScale" priority="1267">
      <colorScale>
        <cfvo type="formula" val="&quot;&gt;20&quot;"/>
        <cfvo type="formula" val="35"/>
        <color rgb="FFF8696B"/>
        <color rgb="FFFCFCFF"/>
      </colorScale>
    </cfRule>
    <cfRule type="colorScale" priority="1268">
      <colorScale>
        <cfvo type="min"/>
        <cfvo type="max"/>
        <color rgb="FFFFEF9C"/>
        <color rgb="FF63BE7B"/>
      </colorScale>
    </cfRule>
  </conditionalFormatting>
  <conditionalFormatting sqref="N2:N18">
    <cfRule type="colorScale" priority="1259">
      <colorScale>
        <cfvo type="min"/>
        <cfvo type="percentile" val="20"/>
        <cfvo type="max"/>
        <color rgb="FF92D050"/>
        <color theme="5" tint="0.79998168889431442"/>
        <color rgb="FFFF0000"/>
      </colorScale>
    </cfRule>
    <cfRule type="colorScale" priority="1260">
      <colorScale>
        <cfvo type="min"/>
        <cfvo type="max"/>
        <color rgb="FFFF0000"/>
        <color rgb="FF92D050"/>
      </colorScale>
    </cfRule>
    <cfRule type="colorScale" priority="1261">
      <colorScale>
        <cfvo type="min"/>
        <cfvo type="percentile" val="50"/>
        <cfvo type="max"/>
        <color rgb="FF5A8AC6"/>
        <color rgb="FFFCFCFF"/>
        <color rgb="FFF8696B"/>
      </colorScale>
    </cfRule>
    <cfRule type="colorScale" priority="1262">
      <colorScale>
        <cfvo type="formula" val="&quot;&gt;20&quot;"/>
        <cfvo type="formula" val="35"/>
        <color rgb="FFF8696B"/>
        <color rgb="FFFCFCFF"/>
      </colorScale>
    </cfRule>
    <cfRule type="colorScale" priority="1263">
      <colorScale>
        <cfvo type="min"/>
        <cfvo type="max"/>
        <color rgb="FFFFEF9C"/>
        <color rgb="FF63BE7B"/>
      </colorScale>
    </cfRule>
  </conditionalFormatting>
  <conditionalFormatting sqref="S2:S18">
    <cfRule type="containsText" dxfId="725" priority="1255" operator="containsText" text="Short Buildup">
      <formula>NOT(ISERROR(SEARCH("Short Buildup",S2)))</formula>
    </cfRule>
    <cfRule type="containsText" dxfId="724" priority="1256" operator="containsText" text="Long Liquidation">
      <formula>NOT(ISERROR(SEARCH("Long Liquidation",S2)))</formula>
    </cfRule>
    <cfRule type="containsText" dxfId="723" priority="1257" operator="containsText" text="Short covering">
      <formula>NOT(ISERROR(SEARCH("Short covering",S2)))</formula>
    </cfRule>
    <cfRule type="containsText" dxfId="722" priority="1258" operator="containsText" text="Long Buildup">
      <formula>NOT(ISERROR(SEARCH("Long Buildup",S2)))</formula>
    </cfRule>
  </conditionalFormatting>
  <conditionalFormatting sqref="R19:R35 D19:D34 C35">
    <cfRule type="containsText" dxfId="721" priority="1241" operator="containsText" text="DOWN">
      <formula>NOT(ISERROR(SEARCH("DOWN",C19)))</formula>
    </cfRule>
  </conditionalFormatting>
  <conditionalFormatting sqref="R19:R35 D19:D34 C35">
    <cfRule type="containsText" dxfId="720" priority="1240" operator="containsText" text="UP">
      <formula>NOT(ISERROR(SEARCH("UP",C19)))</formula>
    </cfRule>
  </conditionalFormatting>
  <conditionalFormatting sqref="I19:I35">
    <cfRule type="colorScale" priority="1242">
      <colorScale>
        <cfvo type="min"/>
        <cfvo type="max"/>
        <color rgb="FFFFEF9C"/>
        <color rgb="FF63BE7B"/>
      </colorScale>
    </cfRule>
  </conditionalFormatting>
  <conditionalFormatting sqref="M19:M35">
    <cfRule type="colorScale" priority="1243">
      <colorScale>
        <cfvo type="min"/>
        <cfvo type="max"/>
        <color rgb="FFFF7128"/>
        <color rgb="FFFFEF9C"/>
      </colorScale>
    </cfRule>
  </conditionalFormatting>
  <conditionalFormatting sqref="Q19:Q35">
    <cfRule type="dataBar" priority="1244">
      <dataBar>
        <cfvo type="min"/>
        <cfvo type="max"/>
        <color rgb="FFFF555A"/>
      </dataBar>
    </cfRule>
  </conditionalFormatting>
  <conditionalFormatting sqref="E19:E35">
    <cfRule type="dataBar" priority="1245">
      <dataBar>
        <cfvo type="min"/>
        <cfvo type="max"/>
        <color rgb="FFFF555A"/>
      </dataBar>
    </cfRule>
  </conditionalFormatting>
  <conditionalFormatting sqref="F19:F35">
    <cfRule type="top10" dxfId="719" priority="1246" rank="1"/>
  </conditionalFormatting>
  <conditionalFormatting sqref="P19:P34">
    <cfRule type="top10" dxfId="718" priority="1247" rank="1"/>
  </conditionalFormatting>
  <conditionalFormatting sqref="G19:G35 O19:O34 P35">
    <cfRule type="cellIs" dxfId="717" priority="1248" operator="equal">
      <formula>$G$135</formula>
    </cfRule>
  </conditionalFormatting>
  <conditionalFormatting sqref="O19:O34 P35">
    <cfRule type="cellIs" dxfId="716" priority="1249" operator="equal">
      <formula>$J$135</formula>
    </cfRule>
  </conditionalFormatting>
  <conditionalFormatting sqref="G19:G35 O19:O34 P35">
    <cfRule type="cellIs" dxfId="715" priority="1250" operator="equal">
      <formula>#REF!</formula>
    </cfRule>
  </conditionalFormatting>
  <conditionalFormatting sqref="G19:G35">
    <cfRule type="top10" dxfId="714" priority="1251" rank="1"/>
    <cfRule type="cellIs" dxfId="713" priority="1252" operator="equal">
      <formula>$G$133</formula>
    </cfRule>
  </conditionalFormatting>
  <conditionalFormatting sqref="O19:O34 P35">
    <cfRule type="top10" dxfId="712" priority="1253" rank="1"/>
    <cfRule type="cellIs" dxfId="711" priority="1254" operator="equal">
      <formula>$G$133</formula>
    </cfRule>
  </conditionalFormatting>
  <conditionalFormatting sqref="C19:C34">
    <cfRule type="containsText" dxfId="710" priority="1236" operator="containsText" text="Short Buildup">
      <formula>NOT(ISERROR(SEARCH("Short Buildup",C19)))</formula>
    </cfRule>
    <cfRule type="containsText" dxfId="709" priority="1237" operator="containsText" text="Long Liquidation">
      <formula>NOT(ISERROR(SEARCH("Long Liquidation",C19)))</formula>
    </cfRule>
    <cfRule type="containsText" dxfId="708" priority="1238" operator="containsText" text="Short covering">
      <formula>NOT(ISERROR(SEARCH("Short covering",C19)))</formula>
    </cfRule>
    <cfRule type="containsText" dxfId="707" priority="1239" operator="containsText" text="Long Buildup">
      <formula>NOT(ISERROR(SEARCH("Long Buildup",C19)))</formula>
    </cfRule>
  </conditionalFormatting>
  <conditionalFormatting sqref="H19:H35">
    <cfRule type="colorScale" priority="1231">
      <colorScale>
        <cfvo type="min"/>
        <cfvo type="percentile" val="20"/>
        <cfvo type="max"/>
        <color rgb="FF92D050"/>
        <color theme="5" tint="0.79998168889431442"/>
        <color rgb="FFFF0000"/>
      </colorScale>
    </cfRule>
    <cfRule type="colorScale" priority="1232">
      <colorScale>
        <cfvo type="min"/>
        <cfvo type="max"/>
        <color rgb="FFFF0000"/>
        <color rgb="FF92D050"/>
      </colorScale>
    </cfRule>
    <cfRule type="colorScale" priority="1233">
      <colorScale>
        <cfvo type="min"/>
        <cfvo type="percentile" val="50"/>
        <cfvo type="max"/>
        <color rgb="FF5A8AC6"/>
        <color rgb="FFFCFCFF"/>
        <color rgb="FFF8696B"/>
      </colorScale>
    </cfRule>
    <cfRule type="colorScale" priority="1234">
      <colorScale>
        <cfvo type="formula" val="&quot;&gt;20&quot;"/>
        <cfvo type="formula" val="35"/>
        <color rgb="FFF8696B"/>
        <color rgb="FFFCFCFF"/>
      </colorScale>
    </cfRule>
    <cfRule type="colorScale" priority="1235">
      <colorScale>
        <cfvo type="min"/>
        <cfvo type="max"/>
        <color rgb="FFFFEF9C"/>
        <color rgb="FF63BE7B"/>
      </colorScale>
    </cfRule>
  </conditionalFormatting>
  <conditionalFormatting sqref="N19:N35">
    <cfRule type="colorScale" priority="1226">
      <colorScale>
        <cfvo type="min"/>
        <cfvo type="percentile" val="20"/>
        <cfvo type="max"/>
        <color rgb="FF92D050"/>
        <color theme="5" tint="0.79998168889431442"/>
        <color rgb="FFFF0000"/>
      </colorScale>
    </cfRule>
    <cfRule type="colorScale" priority="1227">
      <colorScale>
        <cfvo type="min"/>
        <cfvo type="max"/>
        <color rgb="FFFF0000"/>
        <color rgb="FF92D050"/>
      </colorScale>
    </cfRule>
    <cfRule type="colorScale" priority="1228">
      <colorScale>
        <cfvo type="min"/>
        <cfvo type="percentile" val="50"/>
        <cfvo type="max"/>
        <color rgb="FF5A8AC6"/>
        <color rgb="FFFCFCFF"/>
        <color rgb="FFF8696B"/>
      </colorScale>
    </cfRule>
    <cfRule type="colorScale" priority="1229">
      <colorScale>
        <cfvo type="formula" val="&quot;&gt;20&quot;"/>
        <cfvo type="formula" val="35"/>
        <color rgb="FFF8696B"/>
        <color rgb="FFFCFCFF"/>
      </colorScale>
    </cfRule>
    <cfRule type="colorScale" priority="1230">
      <colorScale>
        <cfvo type="min"/>
        <cfvo type="max"/>
        <color rgb="FFFFEF9C"/>
        <color rgb="FF63BE7B"/>
      </colorScale>
    </cfRule>
  </conditionalFormatting>
  <conditionalFormatting sqref="S19:S35">
    <cfRule type="containsText" dxfId="706" priority="1222" operator="containsText" text="Short Buildup">
      <formula>NOT(ISERROR(SEARCH("Short Buildup",S19)))</formula>
    </cfRule>
    <cfRule type="containsText" dxfId="705" priority="1223" operator="containsText" text="Long Liquidation">
      <formula>NOT(ISERROR(SEARCH("Long Liquidation",S19)))</formula>
    </cfRule>
    <cfRule type="containsText" dxfId="704" priority="1224" operator="containsText" text="Short covering">
      <formula>NOT(ISERROR(SEARCH("Short covering",S19)))</formula>
    </cfRule>
    <cfRule type="containsText" dxfId="703" priority="1225" operator="containsText" text="Long Buildup">
      <formula>NOT(ISERROR(SEARCH("Long Buildup",S19)))</formula>
    </cfRule>
  </conditionalFormatting>
  <conditionalFormatting sqref="R36:R52 D36:D51 C52">
    <cfRule type="containsText" dxfId="702" priority="1208" operator="containsText" text="DOWN">
      <formula>NOT(ISERROR(SEARCH("DOWN",C36)))</formula>
    </cfRule>
  </conditionalFormatting>
  <conditionalFormatting sqref="R36:R52 D36:D51 C52">
    <cfRule type="containsText" dxfId="701" priority="1207" operator="containsText" text="UP">
      <formula>NOT(ISERROR(SEARCH("UP",C36)))</formula>
    </cfRule>
  </conditionalFormatting>
  <conditionalFormatting sqref="I36:I52">
    <cfRule type="colorScale" priority="1209">
      <colorScale>
        <cfvo type="min"/>
        <cfvo type="max"/>
        <color rgb="FFFFEF9C"/>
        <color rgb="FF63BE7B"/>
      </colorScale>
    </cfRule>
  </conditionalFormatting>
  <conditionalFormatting sqref="M36:M52">
    <cfRule type="colorScale" priority="1210">
      <colorScale>
        <cfvo type="min"/>
        <cfvo type="max"/>
        <color rgb="FFFF7128"/>
        <color rgb="FFFFEF9C"/>
      </colorScale>
    </cfRule>
  </conditionalFormatting>
  <conditionalFormatting sqref="Q36:Q52">
    <cfRule type="dataBar" priority="1211">
      <dataBar>
        <cfvo type="min"/>
        <cfvo type="max"/>
        <color rgb="FFFF555A"/>
      </dataBar>
    </cfRule>
  </conditionalFormatting>
  <conditionalFormatting sqref="E36:E52">
    <cfRule type="dataBar" priority="1212">
      <dataBar>
        <cfvo type="min"/>
        <cfvo type="max"/>
        <color rgb="FFFF555A"/>
      </dataBar>
    </cfRule>
  </conditionalFormatting>
  <conditionalFormatting sqref="F36:F52">
    <cfRule type="top10" dxfId="700" priority="1213" rank="1"/>
  </conditionalFormatting>
  <conditionalFormatting sqref="P36:P51">
    <cfRule type="top10" dxfId="699" priority="1214" rank="1"/>
  </conditionalFormatting>
  <conditionalFormatting sqref="G36:G52 O36:O51 P52">
    <cfRule type="cellIs" dxfId="698" priority="1215" operator="equal">
      <formula>$G$135</formula>
    </cfRule>
  </conditionalFormatting>
  <conditionalFormatting sqref="O36:O51 P52">
    <cfRule type="cellIs" dxfId="697" priority="1216" operator="equal">
      <formula>$J$135</formula>
    </cfRule>
  </conditionalFormatting>
  <conditionalFormatting sqref="G36:G52 O36:O51 P52">
    <cfRule type="cellIs" dxfId="696" priority="1217" operator="equal">
      <formula>#REF!</formula>
    </cfRule>
  </conditionalFormatting>
  <conditionalFormatting sqref="G36:G52">
    <cfRule type="top10" dxfId="695" priority="1218" rank="1"/>
    <cfRule type="cellIs" dxfId="694" priority="1219" operator="equal">
      <formula>$G$133</formula>
    </cfRule>
  </conditionalFormatting>
  <conditionalFormatting sqref="O36:O51 P52">
    <cfRule type="top10" dxfId="693" priority="1220" rank="1"/>
    <cfRule type="cellIs" dxfId="692" priority="1221" operator="equal">
      <formula>$G$133</formula>
    </cfRule>
  </conditionalFormatting>
  <conditionalFormatting sqref="C36:C51">
    <cfRule type="containsText" dxfId="691" priority="1203" operator="containsText" text="Short Buildup">
      <formula>NOT(ISERROR(SEARCH("Short Buildup",C36)))</formula>
    </cfRule>
    <cfRule type="containsText" dxfId="690" priority="1204" operator="containsText" text="Long Liquidation">
      <formula>NOT(ISERROR(SEARCH("Long Liquidation",C36)))</formula>
    </cfRule>
    <cfRule type="containsText" dxfId="689" priority="1205" operator="containsText" text="Short covering">
      <formula>NOT(ISERROR(SEARCH("Short covering",C36)))</formula>
    </cfRule>
    <cfRule type="containsText" dxfId="688" priority="1206" operator="containsText" text="Long Buildup">
      <formula>NOT(ISERROR(SEARCH("Long Buildup",C36)))</formula>
    </cfRule>
  </conditionalFormatting>
  <conditionalFormatting sqref="H36:H52">
    <cfRule type="colorScale" priority="1198">
      <colorScale>
        <cfvo type="min"/>
        <cfvo type="percentile" val="20"/>
        <cfvo type="max"/>
        <color rgb="FF92D050"/>
        <color theme="5" tint="0.79998168889431442"/>
        <color rgb="FFFF0000"/>
      </colorScale>
    </cfRule>
    <cfRule type="colorScale" priority="1199">
      <colorScale>
        <cfvo type="min"/>
        <cfvo type="max"/>
        <color rgb="FFFF0000"/>
        <color rgb="FF92D050"/>
      </colorScale>
    </cfRule>
    <cfRule type="colorScale" priority="1200">
      <colorScale>
        <cfvo type="min"/>
        <cfvo type="percentile" val="50"/>
        <cfvo type="max"/>
        <color rgb="FF5A8AC6"/>
        <color rgb="FFFCFCFF"/>
        <color rgb="FFF8696B"/>
      </colorScale>
    </cfRule>
    <cfRule type="colorScale" priority="1201">
      <colorScale>
        <cfvo type="formula" val="&quot;&gt;20&quot;"/>
        <cfvo type="formula" val="35"/>
        <color rgb="FFF8696B"/>
        <color rgb="FFFCFCFF"/>
      </colorScale>
    </cfRule>
    <cfRule type="colorScale" priority="1202">
      <colorScale>
        <cfvo type="min"/>
        <cfvo type="max"/>
        <color rgb="FFFFEF9C"/>
        <color rgb="FF63BE7B"/>
      </colorScale>
    </cfRule>
  </conditionalFormatting>
  <conditionalFormatting sqref="N36:N52">
    <cfRule type="colorScale" priority="1193">
      <colorScale>
        <cfvo type="min"/>
        <cfvo type="percentile" val="20"/>
        <cfvo type="max"/>
        <color rgb="FF92D050"/>
        <color theme="5" tint="0.79998168889431442"/>
        <color rgb="FFFF0000"/>
      </colorScale>
    </cfRule>
    <cfRule type="colorScale" priority="1194">
      <colorScale>
        <cfvo type="min"/>
        <cfvo type="max"/>
        <color rgb="FFFF0000"/>
        <color rgb="FF92D050"/>
      </colorScale>
    </cfRule>
    <cfRule type="colorScale" priority="1195">
      <colorScale>
        <cfvo type="min"/>
        <cfvo type="percentile" val="50"/>
        <cfvo type="max"/>
        <color rgb="FF5A8AC6"/>
        <color rgb="FFFCFCFF"/>
        <color rgb="FFF8696B"/>
      </colorScale>
    </cfRule>
    <cfRule type="colorScale" priority="1196">
      <colorScale>
        <cfvo type="formula" val="&quot;&gt;20&quot;"/>
        <cfvo type="formula" val="35"/>
        <color rgb="FFF8696B"/>
        <color rgb="FFFCFCFF"/>
      </colorScale>
    </cfRule>
    <cfRule type="colorScale" priority="1197">
      <colorScale>
        <cfvo type="min"/>
        <cfvo type="max"/>
        <color rgb="FFFFEF9C"/>
        <color rgb="FF63BE7B"/>
      </colorScale>
    </cfRule>
  </conditionalFormatting>
  <conditionalFormatting sqref="S36:S52">
    <cfRule type="containsText" dxfId="687" priority="1189" operator="containsText" text="Short Buildup">
      <formula>NOT(ISERROR(SEARCH("Short Buildup",S36)))</formula>
    </cfRule>
    <cfRule type="containsText" dxfId="686" priority="1190" operator="containsText" text="Long Liquidation">
      <formula>NOT(ISERROR(SEARCH("Long Liquidation",S36)))</formula>
    </cfRule>
    <cfRule type="containsText" dxfId="685" priority="1191" operator="containsText" text="Short covering">
      <formula>NOT(ISERROR(SEARCH("Short covering",S36)))</formula>
    </cfRule>
    <cfRule type="containsText" dxfId="684" priority="1192" operator="containsText" text="Long Buildup">
      <formula>NOT(ISERROR(SEARCH("Long Buildup",S36)))</formula>
    </cfRule>
  </conditionalFormatting>
  <conditionalFormatting sqref="R53:R69 D53:D68 C69">
    <cfRule type="containsText" dxfId="683" priority="1175" operator="containsText" text="DOWN">
      <formula>NOT(ISERROR(SEARCH("DOWN",C53)))</formula>
    </cfRule>
  </conditionalFormatting>
  <conditionalFormatting sqref="R53:R69 D53:D68 C69">
    <cfRule type="containsText" dxfId="682" priority="1174" operator="containsText" text="UP">
      <formula>NOT(ISERROR(SEARCH("UP",C53)))</formula>
    </cfRule>
  </conditionalFormatting>
  <conditionalFormatting sqref="I53:I69">
    <cfRule type="colorScale" priority="1176">
      <colorScale>
        <cfvo type="min"/>
        <cfvo type="max"/>
        <color rgb="FFFFEF9C"/>
        <color rgb="FF63BE7B"/>
      </colorScale>
    </cfRule>
  </conditionalFormatting>
  <conditionalFormatting sqref="M53:M69">
    <cfRule type="colorScale" priority="1177">
      <colorScale>
        <cfvo type="min"/>
        <cfvo type="max"/>
        <color rgb="FFFF7128"/>
        <color rgb="FFFFEF9C"/>
      </colorScale>
    </cfRule>
  </conditionalFormatting>
  <conditionalFormatting sqref="Q53:Q69">
    <cfRule type="dataBar" priority="1178">
      <dataBar>
        <cfvo type="min"/>
        <cfvo type="max"/>
        <color rgb="FFFF555A"/>
      </dataBar>
    </cfRule>
  </conditionalFormatting>
  <conditionalFormatting sqref="E53:E69">
    <cfRule type="dataBar" priority="1179">
      <dataBar>
        <cfvo type="min"/>
        <cfvo type="max"/>
        <color rgb="FFFF555A"/>
      </dataBar>
    </cfRule>
  </conditionalFormatting>
  <conditionalFormatting sqref="F53:F69">
    <cfRule type="top10" dxfId="681" priority="1180" rank="1"/>
  </conditionalFormatting>
  <conditionalFormatting sqref="P53:P68">
    <cfRule type="top10" dxfId="680" priority="1181" rank="1"/>
  </conditionalFormatting>
  <conditionalFormatting sqref="G53:G69 O53:O68 P69">
    <cfRule type="cellIs" dxfId="679" priority="1182" operator="equal">
      <formula>$G$135</formula>
    </cfRule>
  </conditionalFormatting>
  <conditionalFormatting sqref="O53:O68 P69">
    <cfRule type="cellIs" dxfId="678" priority="1183" operator="equal">
      <formula>$J$135</formula>
    </cfRule>
  </conditionalFormatting>
  <conditionalFormatting sqref="G53:G69 O53:O68 P69">
    <cfRule type="cellIs" dxfId="677" priority="1184" operator="equal">
      <formula>#REF!</formula>
    </cfRule>
  </conditionalFormatting>
  <conditionalFormatting sqref="G53:G69">
    <cfRule type="top10" dxfId="676" priority="1185" rank="1"/>
    <cfRule type="cellIs" dxfId="675" priority="1186" operator="equal">
      <formula>$G$133</formula>
    </cfRule>
  </conditionalFormatting>
  <conditionalFormatting sqref="O53:O68 P69">
    <cfRule type="top10" dxfId="674" priority="1187" rank="1"/>
    <cfRule type="cellIs" dxfId="673" priority="1188" operator="equal">
      <formula>$G$133</formula>
    </cfRule>
  </conditionalFormatting>
  <conditionalFormatting sqref="C53:C68">
    <cfRule type="containsText" dxfId="672" priority="1170" operator="containsText" text="Short Buildup">
      <formula>NOT(ISERROR(SEARCH("Short Buildup",C53)))</formula>
    </cfRule>
    <cfRule type="containsText" dxfId="671" priority="1171" operator="containsText" text="Long Liquidation">
      <formula>NOT(ISERROR(SEARCH("Long Liquidation",C53)))</formula>
    </cfRule>
    <cfRule type="containsText" dxfId="670" priority="1172" operator="containsText" text="Short covering">
      <formula>NOT(ISERROR(SEARCH("Short covering",C53)))</formula>
    </cfRule>
    <cfRule type="containsText" dxfId="669" priority="1173" operator="containsText" text="Long Buildup">
      <formula>NOT(ISERROR(SEARCH("Long Buildup",C53)))</formula>
    </cfRule>
  </conditionalFormatting>
  <conditionalFormatting sqref="H53:H69">
    <cfRule type="colorScale" priority="1165">
      <colorScale>
        <cfvo type="min"/>
        <cfvo type="percentile" val="20"/>
        <cfvo type="max"/>
        <color rgb="FF92D050"/>
        <color theme="5" tint="0.79998168889431442"/>
        <color rgb="FFFF0000"/>
      </colorScale>
    </cfRule>
    <cfRule type="colorScale" priority="1166">
      <colorScale>
        <cfvo type="min"/>
        <cfvo type="max"/>
        <color rgb="FFFF0000"/>
        <color rgb="FF92D050"/>
      </colorScale>
    </cfRule>
    <cfRule type="colorScale" priority="1167">
      <colorScale>
        <cfvo type="min"/>
        <cfvo type="percentile" val="50"/>
        <cfvo type="max"/>
        <color rgb="FF5A8AC6"/>
        <color rgb="FFFCFCFF"/>
        <color rgb="FFF8696B"/>
      </colorScale>
    </cfRule>
    <cfRule type="colorScale" priority="1168">
      <colorScale>
        <cfvo type="formula" val="&quot;&gt;20&quot;"/>
        <cfvo type="formula" val="35"/>
        <color rgb="FFF8696B"/>
        <color rgb="FFFCFCFF"/>
      </colorScale>
    </cfRule>
    <cfRule type="colorScale" priority="1169">
      <colorScale>
        <cfvo type="min"/>
        <cfvo type="max"/>
        <color rgb="FFFFEF9C"/>
        <color rgb="FF63BE7B"/>
      </colorScale>
    </cfRule>
  </conditionalFormatting>
  <conditionalFormatting sqref="N53:N69">
    <cfRule type="colorScale" priority="1160">
      <colorScale>
        <cfvo type="min"/>
        <cfvo type="percentile" val="20"/>
        <cfvo type="max"/>
        <color rgb="FF92D050"/>
        <color theme="5" tint="0.79998168889431442"/>
        <color rgb="FFFF0000"/>
      </colorScale>
    </cfRule>
    <cfRule type="colorScale" priority="1161">
      <colorScale>
        <cfvo type="min"/>
        <cfvo type="max"/>
        <color rgb="FFFF0000"/>
        <color rgb="FF92D050"/>
      </colorScale>
    </cfRule>
    <cfRule type="colorScale" priority="1162">
      <colorScale>
        <cfvo type="min"/>
        <cfvo type="percentile" val="50"/>
        <cfvo type="max"/>
        <color rgb="FF5A8AC6"/>
        <color rgb="FFFCFCFF"/>
        <color rgb="FFF8696B"/>
      </colorScale>
    </cfRule>
    <cfRule type="colorScale" priority="1163">
      <colorScale>
        <cfvo type="formula" val="&quot;&gt;20&quot;"/>
        <cfvo type="formula" val="35"/>
        <color rgb="FFF8696B"/>
        <color rgb="FFFCFCFF"/>
      </colorScale>
    </cfRule>
    <cfRule type="colorScale" priority="1164">
      <colorScale>
        <cfvo type="min"/>
        <cfvo type="max"/>
        <color rgb="FFFFEF9C"/>
        <color rgb="FF63BE7B"/>
      </colorScale>
    </cfRule>
  </conditionalFormatting>
  <conditionalFormatting sqref="S53:S69">
    <cfRule type="containsText" dxfId="668" priority="1156" operator="containsText" text="Short Buildup">
      <formula>NOT(ISERROR(SEARCH("Short Buildup",S53)))</formula>
    </cfRule>
    <cfRule type="containsText" dxfId="667" priority="1157" operator="containsText" text="Long Liquidation">
      <formula>NOT(ISERROR(SEARCH("Long Liquidation",S53)))</formula>
    </cfRule>
    <cfRule type="containsText" dxfId="666" priority="1158" operator="containsText" text="Short covering">
      <formula>NOT(ISERROR(SEARCH("Short covering",S53)))</formula>
    </cfRule>
    <cfRule type="containsText" dxfId="665" priority="1159" operator="containsText" text="Long Buildup">
      <formula>NOT(ISERROR(SEARCH("Long Buildup",S53)))</formula>
    </cfRule>
  </conditionalFormatting>
  <conditionalFormatting sqref="R70:R86 D70:D85 C86">
    <cfRule type="containsText" dxfId="664" priority="1142" operator="containsText" text="DOWN">
      <formula>NOT(ISERROR(SEARCH("DOWN",C70)))</formula>
    </cfRule>
  </conditionalFormatting>
  <conditionalFormatting sqref="R70:R86 D70:D85 C86">
    <cfRule type="containsText" dxfId="663" priority="1141" operator="containsText" text="UP">
      <formula>NOT(ISERROR(SEARCH("UP",C70)))</formula>
    </cfRule>
  </conditionalFormatting>
  <conditionalFormatting sqref="I70:I86">
    <cfRule type="colorScale" priority="1143">
      <colorScale>
        <cfvo type="min"/>
        <cfvo type="max"/>
        <color rgb="FFFFEF9C"/>
        <color rgb="FF63BE7B"/>
      </colorScale>
    </cfRule>
  </conditionalFormatting>
  <conditionalFormatting sqref="M70:M86">
    <cfRule type="colorScale" priority="1144">
      <colorScale>
        <cfvo type="min"/>
        <cfvo type="max"/>
        <color rgb="FFFF7128"/>
        <color rgb="FFFFEF9C"/>
      </colorScale>
    </cfRule>
  </conditionalFormatting>
  <conditionalFormatting sqref="Q70:Q86">
    <cfRule type="dataBar" priority="1145">
      <dataBar>
        <cfvo type="min"/>
        <cfvo type="max"/>
        <color rgb="FFFF555A"/>
      </dataBar>
    </cfRule>
  </conditionalFormatting>
  <conditionalFormatting sqref="E70:E86">
    <cfRule type="dataBar" priority="1146">
      <dataBar>
        <cfvo type="min"/>
        <cfvo type="max"/>
        <color rgb="FFFF555A"/>
      </dataBar>
    </cfRule>
  </conditionalFormatting>
  <conditionalFormatting sqref="F70:F86">
    <cfRule type="top10" dxfId="662" priority="1147" rank="1"/>
  </conditionalFormatting>
  <conditionalFormatting sqref="P70:P85">
    <cfRule type="top10" dxfId="661" priority="1148" rank="1"/>
  </conditionalFormatting>
  <conditionalFormatting sqref="G70:G86 O70:O85 P86">
    <cfRule type="cellIs" dxfId="660" priority="1149" operator="equal">
      <formula>$G$135</formula>
    </cfRule>
  </conditionalFormatting>
  <conditionalFormatting sqref="O70:O85 P86">
    <cfRule type="cellIs" dxfId="659" priority="1150" operator="equal">
      <formula>$J$135</formula>
    </cfRule>
  </conditionalFormatting>
  <conditionalFormatting sqref="G70:G86 O70:O85 P86">
    <cfRule type="cellIs" dxfId="658" priority="1151" operator="equal">
      <formula>#REF!</formula>
    </cfRule>
  </conditionalFormatting>
  <conditionalFormatting sqref="G70:G86">
    <cfRule type="top10" dxfId="657" priority="1152" rank="1"/>
    <cfRule type="cellIs" dxfId="656" priority="1153" operator="equal">
      <formula>$G$133</formula>
    </cfRule>
  </conditionalFormatting>
  <conditionalFormatting sqref="O70:O85 P86">
    <cfRule type="top10" dxfId="655" priority="1154" rank="1"/>
    <cfRule type="cellIs" dxfId="654" priority="1155" operator="equal">
      <formula>$G$133</formula>
    </cfRule>
  </conditionalFormatting>
  <conditionalFormatting sqref="C70:C85">
    <cfRule type="containsText" dxfId="653" priority="1137" operator="containsText" text="Short Buildup">
      <formula>NOT(ISERROR(SEARCH("Short Buildup",C70)))</formula>
    </cfRule>
    <cfRule type="containsText" dxfId="652" priority="1138" operator="containsText" text="Long Liquidation">
      <formula>NOT(ISERROR(SEARCH("Long Liquidation",C70)))</formula>
    </cfRule>
    <cfRule type="containsText" dxfId="651" priority="1139" operator="containsText" text="Short covering">
      <formula>NOT(ISERROR(SEARCH("Short covering",C70)))</formula>
    </cfRule>
    <cfRule type="containsText" dxfId="650" priority="1140" operator="containsText" text="Long Buildup">
      <formula>NOT(ISERROR(SEARCH("Long Buildup",C70)))</formula>
    </cfRule>
  </conditionalFormatting>
  <conditionalFormatting sqref="H70:H86">
    <cfRule type="colorScale" priority="1132">
      <colorScale>
        <cfvo type="min"/>
        <cfvo type="percentile" val="20"/>
        <cfvo type="max"/>
        <color rgb="FF92D050"/>
        <color theme="5" tint="0.79998168889431442"/>
        <color rgb="FFFF0000"/>
      </colorScale>
    </cfRule>
    <cfRule type="colorScale" priority="1133">
      <colorScale>
        <cfvo type="min"/>
        <cfvo type="max"/>
        <color rgb="FFFF0000"/>
        <color rgb="FF92D050"/>
      </colorScale>
    </cfRule>
    <cfRule type="colorScale" priority="1134">
      <colorScale>
        <cfvo type="min"/>
        <cfvo type="percentile" val="50"/>
        <cfvo type="max"/>
        <color rgb="FF5A8AC6"/>
        <color rgb="FFFCFCFF"/>
        <color rgb="FFF8696B"/>
      </colorScale>
    </cfRule>
    <cfRule type="colorScale" priority="1135">
      <colorScale>
        <cfvo type="formula" val="&quot;&gt;20&quot;"/>
        <cfvo type="formula" val="35"/>
        <color rgb="FFF8696B"/>
        <color rgb="FFFCFCFF"/>
      </colorScale>
    </cfRule>
    <cfRule type="colorScale" priority="1136">
      <colorScale>
        <cfvo type="min"/>
        <cfvo type="max"/>
        <color rgb="FFFFEF9C"/>
        <color rgb="FF63BE7B"/>
      </colorScale>
    </cfRule>
  </conditionalFormatting>
  <conditionalFormatting sqref="N70:N86">
    <cfRule type="colorScale" priority="1127">
      <colorScale>
        <cfvo type="min"/>
        <cfvo type="percentile" val="20"/>
        <cfvo type="max"/>
        <color rgb="FF92D050"/>
        <color theme="5" tint="0.79998168889431442"/>
        <color rgb="FFFF0000"/>
      </colorScale>
    </cfRule>
    <cfRule type="colorScale" priority="1128">
      <colorScale>
        <cfvo type="min"/>
        <cfvo type="max"/>
        <color rgb="FFFF0000"/>
        <color rgb="FF92D050"/>
      </colorScale>
    </cfRule>
    <cfRule type="colorScale" priority="1129">
      <colorScale>
        <cfvo type="min"/>
        <cfvo type="percentile" val="50"/>
        <cfvo type="max"/>
        <color rgb="FF5A8AC6"/>
        <color rgb="FFFCFCFF"/>
        <color rgb="FFF8696B"/>
      </colorScale>
    </cfRule>
    <cfRule type="colorScale" priority="1130">
      <colorScale>
        <cfvo type="formula" val="&quot;&gt;20&quot;"/>
        <cfvo type="formula" val="35"/>
        <color rgb="FFF8696B"/>
        <color rgb="FFFCFCFF"/>
      </colorScale>
    </cfRule>
    <cfRule type="colorScale" priority="1131">
      <colorScale>
        <cfvo type="min"/>
        <cfvo type="max"/>
        <color rgb="FFFFEF9C"/>
        <color rgb="FF63BE7B"/>
      </colorScale>
    </cfRule>
  </conditionalFormatting>
  <conditionalFormatting sqref="S70:S86">
    <cfRule type="containsText" dxfId="649" priority="1123" operator="containsText" text="Short Buildup">
      <formula>NOT(ISERROR(SEARCH("Short Buildup",S70)))</formula>
    </cfRule>
    <cfRule type="containsText" dxfId="648" priority="1124" operator="containsText" text="Long Liquidation">
      <formula>NOT(ISERROR(SEARCH("Long Liquidation",S70)))</formula>
    </cfRule>
    <cfRule type="containsText" dxfId="647" priority="1125" operator="containsText" text="Short covering">
      <formula>NOT(ISERROR(SEARCH("Short covering",S70)))</formula>
    </cfRule>
    <cfRule type="containsText" dxfId="646" priority="1126" operator="containsText" text="Long Buildup">
      <formula>NOT(ISERROR(SEARCH("Long Buildup",S70)))</formula>
    </cfRule>
  </conditionalFormatting>
  <conditionalFormatting sqref="R87:R103 D87:D102 C103">
    <cfRule type="containsText" dxfId="645" priority="1109" operator="containsText" text="DOWN">
      <formula>NOT(ISERROR(SEARCH("DOWN",C87)))</formula>
    </cfRule>
  </conditionalFormatting>
  <conditionalFormatting sqref="R87:R103 D87:D102 C103">
    <cfRule type="containsText" dxfId="644" priority="1108" operator="containsText" text="UP">
      <formula>NOT(ISERROR(SEARCH("UP",C87)))</formula>
    </cfRule>
  </conditionalFormatting>
  <conditionalFormatting sqref="I87:I103">
    <cfRule type="colorScale" priority="1110">
      <colorScale>
        <cfvo type="min"/>
        <cfvo type="max"/>
        <color rgb="FFFFEF9C"/>
        <color rgb="FF63BE7B"/>
      </colorScale>
    </cfRule>
  </conditionalFormatting>
  <conditionalFormatting sqref="M87:M103">
    <cfRule type="colorScale" priority="1111">
      <colorScale>
        <cfvo type="min"/>
        <cfvo type="max"/>
        <color rgb="FFFF7128"/>
        <color rgb="FFFFEF9C"/>
      </colorScale>
    </cfRule>
  </conditionalFormatting>
  <conditionalFormatting sqref="Q87:Q103">
    <cfRule type="dataBar" priority="1112">
      <dataBar>
        <cfvo type="min"/>
        <cfvo type="max"/>
        <color rgb="FFFF555A"/>
      </dataBar>
    </cfRule>
  </conditionalFormatting>
  <conditionalFormatting sqref="E87:E103">
    <cfRule type="dataBar" priority="1113">
      <dataBar>
        <cfvo type="min"/>
        <cfvo type="max"/>
        <color rgb="FFFF555A"/>
      </dataBar>
    </cfRule>
  </conditionalFormatting>
  <conditionalFormatting sqref="F87:F103">
    <cfRule type="top10" dxfId="643" priority="1114" rank="1"/>
  </conditionalFormatting>
  <conditionalFormatting sqref="P87:P102">
    <cfRule type="top10" dxfId="642" priority="1115" rank="1"/>
  </conditionalFormatting>
  <conditionalFormatting sqref="G87:G103 O87:O102 P103">
    <cfRule type="cellIs" dxfId="641" priority="1116" operator="equal">
      <formula>$G$135</formula>
    </cfRule>
  </conditionalFormatting>
  <conditionalFormatting sqref="O87:O102 P103">
    <cfRule type="cellIs" dxfId="640" priority="1117" operator="equal">
      <formula>$J$135</formula>
    </cfRule>
  </conditionalFormatting>
  <conditionalFormatting sqref="G87:G103 O87:O102 P103">
    <cfRule type="cellIs" dxfId="639" priority="1118" operator="equal">
      <formula>#REF!</formula>
    </cfRule>
  </conditionalFormatting>
  <conditionalFormatting sqref="G87:G103">
    <cfRule type="top10" dxfId="638" priority="1119" rank="1"/>
    <cfRule type="cellIs" dxfId="637" priority="1120" operator="equal">
      <formula>$G$133</formula>
    </cfRule>
  </conditionalFormatting>
  <conditionalFormatting sqref="O87:O102 P103">
    <cfRule type="top10" dxfId="636" priority="1121" rank="1"/>
    <cfRule type="cellIs" dxfId="635" priority="1122" operator="equal">
      <formula>$G$133</formula>
    </cfRule>
  </conditionalFormatting>
  <conditionalFormatting sqref="C87:C102">
    <cfRule type="containsText" dxfId="634" priority="1104" operator="containsText" text="Short Buildup">
      <formula>NOT(ISERROR(SEARCH("Short Buildup",C87)))</formula>
    </cfRule>
    <cfRule type="containsText" dxfId="633" priority="1105" operator="containsText" text="Long Liquidation">
      <formula>NOT(ISERROR(SEARCH("Long Liquidation",C87)))</formula>
    </cfRule>
    <cfRule type="containsText" dxfId="632" priority="1106" operator="containsText" text="Short covering">
      <formula>NOT(ISERROR(SEARCH("Short covering",C87)))</formula>
    </cfRule>
    <cfRule type="containsText" dxfId="631" priority="1107" operator="containsText" text="Long Buildup">
      <formula>NOT(ISERROR(SEARCH("Long Buildup",C87)))</formula>
    </cfRule>
  </conditionalFormatting>
  <conditionalFormatting sqref="H87:H103">
    <cfRule type="colorScale" priority="1099">
      <colorScale>
        <cfvo type="min"/>
        <cfvo type="percentile" val="20"/>
        <cfvo type="max"/>
        <color rgb="FF92D050"/>
        <color theme="5" tint="0.79998168889431442"/>
        <color rgb="FFFF0000"/>
      </colorScale>
    </cfRule>
    <cfRule type="colorScale" priority="1100">
      <colorScale>
        <cfvo type="min"/>
        <cfvo type="max"/>
        <color rgb="FFFF0000"/>
        <color rgb="FF92D050"/>
      </colorScale>
    </cfRule>
    <cfRule type="colorScale" priority="1101">
      <colorScale>
        <cfvo type="min"/>
        <cfvo type="percentile" val="50"/>
        <cfvo type="max"/>
        <color rgb="FF5A8AC6"/>
        <color rgb="FFFCFCFF"/>
        <color rgb="FFF8696B"/>
      </colorScale>
    </cfRule>
    <cfRule type="colorScale" priority="1102">
      <colorScale>
        <cfvo type="formula" val="&quot;&gt;20&quot;"/>
        <cfvo type="formula" val="35"/>
        <color rgb="FFF8696B"/>
        <color rgb="FFFCFCFF"/>
      </colorScale>
    </cfRule>
    <cfRule type="colorScale" priority="1103">
      <colorScale>
        <cfvo type="min"/>
        <cfvo type="max"/>
        <color rgb="FFFFEF9C"/>
        <color rgb="FF63BE7B"/>
      </colorScale>
    </cfRule>
  </conditionalFormatting>
  <conditionalFormatting sqref="N87:N103">
    <cfRule type="colorScale" priority="1094">
      <colorScale>
        <cfvo type="min"/>
        <cfvo type="percentile" val="20"/>
        <cfvo type="max"/>
        <color rgb="FF92D050"/>
        <color theme="5" tint="0.79998168889431442"/>
        <color rgb="FFFF0000"/>
      </colorScale>
    </cfRule>
    <cfRule type="colorScale" priority="1095">
      <colorScale>
        <cfvo type="min"/>
        <cfvo type="max"/>
        <color rgb="FFFF0000"/>
        <color rgb="FF92D050"/>
      </colorScale>
    </cfRule>
    <cfRule type="colorScale" priority="1096">
      <colorScale>
        <cfvo type="min"/>
        <cfvo type="percentile" val="50"/>
        <cfvo type="max"/>
        <color rgb="FF5A8AC6"/>
        <color rgb="FFFCFCFF"/>
        <color rgb="FFF8696B"/>
      </colorScale>
    </cfRule>
    <cfRule type="colorScale" priority="1097">
      <colorScale>
        <cfvo type="formula" val="&quot;&gt;20&quot;"/>
        <cfvo type="formula" val="35"/>
        <color rgb="FFF8696B"/>
        <color rgb="FFFCFCFF"/>
      </colorScale>
    </cfRule>
    <cfRule type="colorScale" priority="1098">
      <colorScale>
        <cfvo type="min"/>
        <cfvo type="max"/>
        <color rgb="FFFFEF9C"/>
        <color rgb="FF63BE7B"/>
      </colorScale>
    </cfRule>
  </conditionalFormatting>
  <conditionalFormatting sqref="S87:S103">
    <cfRule type="containsText" dxfId="630" priority="1090" operator="containsText" text="Short Buildup">
      <formula>NOT(ISERROR(SEARCH("Short Buildup",S87)))</formula>
    </cfRule>
    <cfRule type="containsText" dxfId="629" priority="1091" operator="containsText" text="Long Liquidation">
      <formula>NOT(ISERROR(SEARCH("Long Liquidation",S87)))</formula>
    </cfRule>
    <cfRule type="containsText" dxfId="628" priority="1092" operator="containsText" text="Short covering">
      <formula>NOT(ISERROR(SEARCH("Short covering",S87)))</formula>
    </cfRule>
    <cfRule type="containsText" dxfId="627" priority="1093" operator="containsText" text="Long Buildup">
      <formula>NOT(ISERROR(SEARCH("Long Buildup",S87)))</formula>
    </cfRule>
  </conditionalFormatting>
  <conditionalFormatting sqref="R104:R120 D104:D119 C120">
    <cfRule type="containsText" dxfId="626" priority="1076" operator="containsText" text="DOWN">
      <formula>NOT(ISERROR(SEARCH("DOWN",C104)))</formula>
    </cfRule>
  </conditionalFormatting>
  <conditionalFormatting sqref="R104:R120 D104:D119 C120">
    <cfRule type="containsText" dxfId="625" priority="1075" operator="containsText" text="UP">
      <formula>NOT(ISERROR(SEARCH("UP",C104)))</formula>
    </cfRule>
  </conditionalFormatting>
  <conditionalFormatting sqref="I104:I120">
    <cfRule type="colorScale" priority="1077">
      <colorScale>
        <cfvo type="min"/>
        <cfvo type="max"/>
        <color rgb="FFFFEF9C"/>
        <color rgb="FF63BE7B"/>
      </colorScale>
    </cfRule>
  </conditionalFormatting>
  <conditionalFormatting sqref="M104:M120">
    <cfRule type="colorScale" priority="1078">
      <colorScale>
        <cfvo type="min"/>
        <cfvo type="max"/>
        <color rgb="FFFF7128"/>
        <color rgb="FFFFEF9C"/>
      </colorScale>
    </cfRule>
  </conditionalFormatting>
  <conditionalFormatting sqref="Q104:Q120">
    <cfRule type="dataBar" priority="1079">
      <dataBar>
        <cfvo type="min"/>
        <cfvo type="max"/>
        <color rgb="FFFF555A"/>
      </dataBar>
    </cfRule>
  </conditionalFormatting>
  <conditionalFormatting sqref="E104:E120">
    <cfRule type="dataBar" priority="1080">
      <dataBar>
        <cfvo type="min"/>
        <cfvo type="max"/>
        <color rgb="FFFF555A"/>
      </dataBar>
    </cfRule>
  </conditionalFormatting>
  <conditionalFormatting sqref="F104:F120">
    <cfRule type="top10" dxfId="624" priority="1081" rank="1"/>
  </conditionalFormatting>
  <conditionalFormatting sqref="P104:P119">
    <cfRule type="top10" dxfId="623" priority="1082" rank="1"/>
  </conditionalFormatting>
  <conditionalFormatting sqref="G104:G120 O104:O119 P120">
    <cfRule type="cellIs" dxfId="622" priority="1083" operator="equal">
      <formula>$G$135</formula>
    </cfRule>
  </conditionalFormatting>
  <conditionalFormatting sqref="O104:O119 P120">
    <cfRule type="cellIs" dxfId="621" priority="1084" operator="equal">
      <formula>$J$135</formula>
    </cfRule>
  </conditionalFormatting>
  <conditionalFormatting sqref="G104:G120 O104:O119 P120">
    <cfRule type="cellIs" dxfId="620" priority="1085" operator="equal">
      <formula>#REF!</formula>
    </cfRule>
  </conditionalFormatting>
  <conditionalFormatting sqref="G104:G120">
    <cfRule type="top10" dxfId="619" priority="1086" rank="1"/>
    <cfRule type="cellIs" dxfId="618" priority="1087" operator="equal">
      <formula>$G$133</formula>
    </cfRule>
  </conditionalFormatting>
  <conditionalFormatting sqref="O104:O119 P120">
    <cfRule type="top10" dxfId="617" priority="1088" rank="1"/>
    <cfRule type="cellIs" dxfId="616" priority="1089" operator="equal">
      <formula>$G$133</formula>
    </cfRule>
  </conditionalFormatting>
  <conditionalFormatting sqref="C104:C119">
    <cfRule type="containsText" dxfId="615" priority="1071" operator="containsText" text="Short Buildup">
      <formula>NOT(ISERROR(SEARCH("Short Buildup",C104)))</formula>
    </cfRule>
    <cfRule type="containsText" dxfId="614" priority="1072" operator="containsText" text="Long Liquidation">
      <formula>NOT(ISERROR(SEARCH("Long Liquidation",C104)))</formula>
    </cfRule>
    <cfRule type="containsText" dxfId="613" priority="1073" operator="containsText" text="Short covering">
      <formula>NOT(ISERROR(SEARCH("Short covering",C104)))</formula>
    </cfRule>
    <cfRule type="containsText" dxfId="612" priority="1074" operator="containsText" text="Long Buildup">
      <formula>NOT(ISERROR(SEARCH("Long Buildup",C104)))</formula>
    </cfRule>
  </conditionalFormatting>
  <conditionalFormatting sqref="H104:H120">
    <cfRule type="colorScale" priority="1066">
      <colorScale>
        <cfvo type="min"/>
        <cfvo type="percentile" val="20"/>
        <cfvo type="max"/>
        <color rgb="FF92D050"/>
        <color theme="5" tint="0.79998168889431442"/>
        <color rgb="FFFF0000"/>
      </colorScale>
    </cfRule>
    <cfRule type="colorScale" priority="1067">
      <colorScale>
        <cfvo type="min"/>
        <cfvo type="max"/>
        <color rgb="FFFF0000"/>
        <color rgb="FF92D050"/>
      </colorScale>
    </cfRule>
    <cfRule type="colorScale" priority="1068">
      <colorScale>
        <cfvo type="min"/>
        <cfvo type="percentile" val="50"/>
        <cfvo type="max"/>
        <color rgb="FF5A8AC6"/>
        <color rgb="FFFCFCFF"/>
        <color rgb="FFF8696B"/>
      </colorScale>
    </cfRule>
    <cfRule type="colorScale" priority="1069">
      <colorScale>
        <cfvo type="formula" val="&quot;&gt;20&quot;"/>
        <cfvo type="formula" val="35"/>
        <color rgb="FFF8696B"/>
        <color rgb="FFFCFCFF"/>
      </colorScale>
    </cfRule>
    <cfRule type="colorScale" priority="1070">
      <colorScale>
        <cfvo type="min"/>
        <cfvo type="max"/>
        <color rgb="FFFFEF9C"/>
        <color rgb="FF63BE7B"/>
      </colorScale>
    </cfRule>
  </conditionalFormatting>
  <conditionalFormatting sqref="N104:N120">
    <cfRule type="colorScale" priority="1061">
      <colorScale>
        <cfvo type="min"/>
        <cfvo type="percentile" val="20"/>
        <cfvo type="max"/>
        <color rgb="FF92D050"/>
        <color theme="5" tint="0.79998168889431442"/>
        <color rgb="FFFF0000"/>
      </colorScale>
    </cfRule>
    <cfRule type="colorScale" priority="1062">
      <colorScale>
        <cfvo type="min"/>
        <cfvo type="max"/>
        <color rgb="FFFF0000"/>
        <color rgb="FF92D050"/>
      </colorScale>
    </cfRule>
    <cfRule type="colorScale" priority="1063">
      <colorScale>
        <cfvo type="min"/>
        <cfvo type="percentile" val="50"/>
        <cfvo type="max"/>
        <color rgb="FF5A8AC6"/>
        <color rgb="FFFCFCFF"/>
        <color rgb="FFF8696B"/>
      </colorScale>
    </cfRule>
    <cfRule type="colorScale" priority="1064">
      <colorScale>
        <cfvo type="formula" val="&quot;&gt;20&quot;"/>
        <cfvo type="formula" val="35"/>
        <color rgb="FFF8696B"/>
        <color rgb="FFFCFCFF"/>
      </colorScale>
    </cfRule>
    <cfRule type="colorScale" priority="1065">
      <colorScale>
        <cfvo type="min"/>
        <cfvo type="max"/>
        <color rgb="FFFFEF9C"/>
        <color rgb="FF63BE7B"/>
      </colorScale>
    </cfRule>
  </conditionalFormatting>
  <conditionalFormatting sqref="S104:S120">
    <cfRule type="containsText" dxfId="611" priority="1057" operator="containsText" text="Short Buildup">
      <formula>NOT(ISERROR(SEARCH("Short Buildup",S104)))</formula>
    </cfRule>
    <cfRule type="containsText" dxfId="610" priority="1058" operator="containsText" text="Long Liquidation">
      <formula>NOT(ISERROR(SEARCH("Long Liquidation",S104)))</formula>
    </cfRule>
    <cfRule type="containsText" dxfId="609" priority="1059" operator="containsText" text="Short covering">
      <formula>NOT(ISERROR(SEARCH("Short covering",S104)))</formula>
    </cfRule>
    <cfRule type="containsText" dxfId="608" priority="1060" operator="containsText" text="Long Buildup">
      <formula>NOT(ISERROR(SEARCH("Long Buildup",S104)))</formula>
    </cfRule>
  </conditionalFormatting>
  <conditionalFormatting sqref="R121:R137 D121:D136 C137">
    <cfRule type="containsText" dxfId="607" priority="1043" operator="containsText" text="DOWN">
      <formula>NOT(ISERROR(SEARCH("DOWN",C121)))</formula>
    </cfRule>
  </conditionalFormatting>
  <conditionalFormatting sqref="R121:R137 D121:D136 C137">
    <cfRule type="containsText" dxfId="606" priority="1042" operator="containsText" text="UP">
      <formula>NOT(ISERROR(SEARCH("UP",C121)))</formula>
    </cfRule>
  </conditionalFormatting>
  <conditionalFormatting sqref="I121:I137">
    <cfRule type="colorScale" priority="1044">
      <colorScale>
        <cfvo type="min"/>
        <cfvo type="max"/>
        <color rgb="FFFFEF9C"/>
        <color rgb="FF63BE7B"/>
      </colorScale>
    </cfRule>
  </conditionalFormatting>
  <conditionalFormatting sqref="M121:M137">
    <cfRule type="colorScale" priority="1045">
      <colorScale>
        <cfvo type="min"/>
        <cfvo type="max"/>
        <color rgb="FFFF7128"/>
        <color rgb="FFFFEF9C"/>
      </colorScale>
    </cfRule>
  </conditionalFormatting>
  <conditionalFormatting sqref="Q121:Q137">
    <cfRule type="dataBar" priority="1046">
      <dataBar>
        <cfvo type="min"/>
        <cfvo type="max"/>
        <color rgb="FFFF555A"/>
      </dataBar>
    </cfRule>
  </conditionalFormatting>
  <conditionalFormatting sqref="E121:E137">
    <cfRule type="dataBar" priority="1047">
      <dataBar>
        <cfvo type="min"/>
        <cfvo type="max"/>
        <color rgb="FFFF555A"/>
      </dataBar>
    </cfRule>
  </conditionalFormatting>
  <conditionalFormatting sqref="F121:F137">
    <cfRule type="top10" dxfId="605" priority="1048" rank="1"/>
  </conditionalFormatting>
  <conditionalFormatting sqref="P121:P136">
    <cfRule type="top10" dxfId="604" priority="1049" rank="1"/>
  </conditionalFormatting>
  <conditionalFormatting sqref="G121:G137 O121:O136 P137">
    <cfRule type="cellIs" dxfId="603" priority="1050" operator="equal">
      <formula>$G$135</formula>
    </cfRule>
  </conditionalFormatting>
  <conditionalFormatting sqref="O121:O136 P137">
    <cfRule type="cellIs" dxfId="602" priority="1051" operator="equal">
      <formula>$J$135</formula>
    </cfRule>
  </conditionalFormatting>
  <conditionalFormatting sqref="G121:G137 O121:O136 P137">
    <cfRule type="cellIs" dxfId="601" priority="1052" operator="equal">
      <formula>#REF!</formula>
    </cfRule>
  </conditionalFormatting>
  <conditionalFormatting sqref="G121:G137">
    <cfRule type="top10" dxfId="600" priority="1053" rank="1"/>
    <cfRule type="cellIs" dxfId="599" priority="1054" operator="equal">
      <formula>$G$133</formula>
    </cfRule>
  </conditionalFormatting>
  <conditionalFormatting sqref="O121:O136 P137">
    <cfRule type="top10" dxfId="598" priority="1055" rank="1"/>
    <cfRule type="cellIs" dxfId="597" priority="1056" operator="equal">
      <formula>$G$133</formula>
    </cfRule>
  </conditionalFormatting>
  <conditionalFormatting sqref="C121:C136">
    <cfRule type="containsText" dxfId="596" priority="1038" operator="containsText" text="Short Buildup">
      <formula>NOT(ISERROR(SEARCH("Short Buildup",C121)))</formula>
    </cfRule>
    <cfRule type="containsText" dxfId="595" priority="1039" operator="containsText" text="Long Liquidation">
      <formula>NOT(ISERROR(SEARCH("Long Liquidation",C121)))</formula>
    </cfRule>
    <cfRule type="containsText" dxfId="594" priority="1040" operator="containsText" text="Short covering">
      <formula>NOT(ISERROR(SEARCH("Short covering",C121)))</formula>
    </cfRule>
    <cfRule type="containsText" dxfId="593" priority="1041" operator="containsText" text="Long Buildup">
      <formula>NOT(ISERROR(SEARCH("Long Buildup",C121)))</formula>
    </cfRule>
  </conditionalFormatting>
  <conditionalFormatting sqref="H121:H137">
    <cfRule type="colorScale" priority="1033">
      <colorScale>
        <cfvo type="min"/>
        <cfvo type="percentile" val="20"/>
        <cfvo type="max"/>
        <color rgb="FF92D050"/>
        <color theme="5" tint="0.79998168889431442"/>
        <color rgb="FFFF0000"/>
      </colorScale>
    </cfRule>
    <cfRule type="colorScale" priority="1034">
      <colorScale>
        <cfvo type="min"/>
        <cfvo type="max"/>
        <color rgb="FFFF0000"/>
        <color rgb="FF92D050"/>
      </colorScale>
    </cfRule>
    <cfRule type="colorScale" priority="1035">
      <colorScale>
        <cfvo type="min"/>
        <cfvo type="percentile" val="50"/>
        <cfvo type="max"/>
        <color rgb="FF5A8AC6"/>
        <color rgb="FFFCFCFF"/>
        <color rgb="FFF8696B"/>
      </colorScale>
    </cfRule>
    <cfRule type="colorScale" priority="1036">
      <colorScale>
        <cfvo type="formula" val="&quot;&gt;20&quot;"/>
        <cfvo type="formula" val="35"/>
        <color rgb="FFF8696B"/>
        <color rgb="FFFCFCFF"/>
      </colorScale>
    </cfRule>
    <cfRule type="colorScale" priority="1037">
      <colorScale>
        <cfvo type="min"/>
        <cfvo type="max"/>
        <color rgb="FFFFEF9C"/>
        <color rgb="FF63BE7B"/>
      </colorScale>
    </cfRule>
  </conditionalFormatting>
  <conditionalFormatting sqref="N121:N137">
    <cfRule type="colorScale" priority="1028">
      <colorScale>
        <cfvo type="min"/>
        <cfvo type="percentile" val="20"/>
        <cfvo type="max"/>
        <color rgb="FF92D050"/>
        <color theme="5" tint="0.79998168889431442"/>
        <color rgb="FFFF0000"/>
      </colorScale>
    </cfRule>
    <cfRule type="colorScale" priority="1029">
      <colorScale>
        <cfvo type="min"/>
        <cfvo type="max"/>
        <color rgb="FFFF0000"/>
        <color rgb="FF92D050"/>
      </colorScale>
    </cfRule>
    <cfRule type="colorScale" priority="1030">
      <colorScale>
        <cfvo type="min"/>
        <cfvo type="percentile" val="50"/>
        <cfvo type="max"/>
        <color rgb="FF5A8AC6"/>
        <color rgb="FFFCFCFF"/>
        <color rgb="FFF8696B"/>
      </colorScale>
    </cfRule>
    <cfRule type="colorScale" priority="1031">
      <colorScale>
        <cfvo type="formula" val="&quot;&gt;20&quot;"/>
        <cfvo type="formula" val="35"/>
        <color rgb="FFF8696B"/>
        <color rgb="FFFCFCFF"/>
      </colorScale>
    </cfRule>
    <cfRule type="colorScale" priority="1032">
      <colorScale>
        <cfvo type="min"/>
        <cfvo type="max"/>
        <color rgb="FFFFEF9C"/>
        <color rgb="FF63BE7B"/>
      </colorScale>
    </cfRule>
  </conditionalFormatting>
  <conditionalFormatting sqref="S121:S137">
    <cfRule type="containsText" dxfId="592" priority="1024" operator="containsText" text="Short Buildup">
      <formula>NOT(ISERROR(SEARCH("Short Buildup",S121)))</formula>
    </cfRule>
    <cfRule type="containsText" dxfId="591" priority="1025" operator="containsText" text="Long Liquidation">
      <formula>NOT(ISERROR(SEARCH("Long Liquidation",S121)))</formula>
    </cfRule>
    <cfRule type="containsText" dxfId="590" priority="1026" operator="containsText" text="Short covering">
      <formula>NOT(ISERROR(SEARCH("Short covering",S121)))</formula>
    </cfRule>
    <cfRule type="containsText" dxfId="589" priority="1027" operator="containsText" text="Long Buildup">
      <formula>NOT(ISERROR(SEARCH("Long Buildup",S121)))</formula>
    </cfRule>
  </conditionalFormatting>
  <conditionalFormatting sqref="R138:R154 D138:D153 C154">
    <cfRule type="containsText" dxfId="588" priority="1010" operator="containsText" text="DOWN">
      <formula>NOT(ISERROR(SEARCH("DOWN",C138)))</formula>
    </cfRule>
  </conditionalFormatting>
  <conditionalFormatting sqref="R138:R154 D138:D153 C154">
    <cfRule type="containsText" dxfId="587" priority="1009" operator="containsText" text="UP">
      <formula>NOT(ISERROR(SEARCH("UP",C138)))</formula>
    </cfRule>
  </conditionalFormatting>
  <conditionalFormatting sqref="I138:I154">
    <cfRule type="colorScale" priority="1011">
      <colorScale>
        <cfvo type="min"/>
        <cfvo type="max"/>
        <color rgb="FFFFEF9C"/>
        <color rgb="FF63BE7B"/>
      </colorScale>
    </cfRule>
  </conditionalFormatting>
  <conditionalFormatting sqref="M138:M154">
    <cfRule type="colorScale" priority="1012">
      <colorScale>
        <cfvo type="min"/>
        <cfvo type="max"/>
        <color rgb="FFFF7128"/>
        <color rgb="FFFFEF9C"/>
      </colorScale>
    </cfRule>
  </conditionalFormatting>
  <conditionalFormatting sqref="Q138:Q154">
    <cfRule type="dataBar" priority="1013">
      <dataBar>
        <cfvo type="min"/>
        <cfvo type="max"/>
        <color rgb="FFFF555A"/>
      </dataBar>
    </cfRule>
  </conditionalFormatting>
  <conditionalFormatting sqref="E138:E154">
    <cfRule type="dataBar" priority="1014">
      <dataBar>
        <cfvo type="min"/>
        <cfvo type="max"/>
        <color rgb="FFFF555A"/>
      </dataBar>
    </cfRule>
  </conditionalFormatting>
  <conditionalFormatting sqref="F138:F154">
    <cfRule type="top10" dxfId="586" priority="1015" rank="1"/>
  </conditionalFormatting>
  <conditionalFormatting sqref="P138:P153">
    <cfRule type="top10" dxfId="585" priority="1016" rank="1"/>
  </conditionalFormatting>
  <conditionalFormatting sqref="G138:G154 O138:O153 P154">
    <cfRule type="cellIs" dxfId="584" priority="1017" operator="equal">
      <formula>$G$135</formula>
    </cfRule>
  </conditionalFormatting>
  <conditionalFormatting sqref="O138:O153 P154">
    <cfRule type="cellIs" dxfId="583" priority="1018" operator="equal">
      <formula>$J$135</formula>
    </cfRule>
  </conditionalFormatting>
  <conditionalFormatting sqref="G138:G154 O138:O153 P154">
    <cfRule type="cellIs" dxfId="582" priority="1019" operator="equal">
      <formula>#REF!</formula>
    </cfRule>
  </conditionalFormatting>
  <conditionalFormatting sqref="G138:G154">
    <cfRule type="top10" dxfId="581" priority="1020" rank="1"/>
    <cfRule type="cellIs" dxfId="580" priority="1021" operator="equal">
      <formula>$G$133</formula>
    </cfRule>
  </conditionalFormatting>
  <conditionalFormatting sqref="O138:O153 P154">
    <cfRule type="top10" dxfId="579" priority="1022" rank="1"/>
    <cfRule type="cellIs" dxfId="578" priority="1023" operator="equal">
      <formula>$G$133</formula>
    </cfRule>
  </conditionalFormatting>
  <conditionalFormatting sqref="C138:C153">
    <cfRule type="containsText" dxfId="577" priority="1005" operator="containsText" text="Short Buildup">
      <formula>NOT(ISERROR(SEARCH("Short Buildup",C138)))</formula>
    </cfRule>
    <cfRule type="containsText" dxfId="576" priority="1006" operator="containsText" text="Long Liquidation">
      <formula>NOT(ISERROR(SEARCH("Long Liquidation",C138)))</formula>
    </cfRule>
    <cfRule type="containsText" dxfId="575" priority="1007" operator="containsText" text="Short covering">
      <formula>NOT(ISERROR(SEARCH("Short covering",C138)))</formula>
    </cfRule>
    <cfRule type="containsText" dxfId="574" priority="1008" operator="containsText" text="Long Buildup">
      <formula>NOT(ISERROR(SEARCH("Long Buildup",C138)))</formula>
    </cfRule>
  </conditionalFormatting>
  <conditionalFormatting sqref="H138:H154">
    <cfRule type="colorScale" priority="1000">
      <colorScale>
        <cfvo type="min"/>
        <cfvo type="percentile" val="20"/>
        <cfvo type="max"/>
        <color rgb="FF92D050"/>
        <color theme="5" tint="0.79998168889431442"/>
        <color rgb="FFFF0000"/>
      </colorScale>
    </cfRule>
    <cfRule type="colorScale" priority="1001">
      <colorScale>
        <cfvo type="min"/>
        <cfvo type="max"/>
        <color rgb="FFFF0000"/>
        <color rgb="FF92D050"/>
      </colorScale>
    </cfRule>
    <cfRule type="colorScale" priority="1002">
      <colorScale>
        <cfvo type="min"/>
        <cfvo type="percentile" val="50"/>
        <cfvo type="max"/>
        <color rgb="FF5A8AC6"/>
        <color rgb="FFFCFCFF"/>
        <color rgb="FFF8696B"/>
      </colorScale>
    </cfRule>
    <cfRule type="colorScale" priority="1003">
      <colorScale>
        <cfvo type="formula" val="&quot;&gt;20&quot;"/>
        <cfvo type="formula" val="35"/>
        <color rgb="FFF8696B"/>
        <color rgb="FFFCFCFF"/>
      </colorScale>
    </cfRule>
    <cfRule type="colorScale" priority="1004">
      <colorScale>
        <cfvo type="min"/>
        <cfvo type="max"/>
        <color rgb="FFFFEF9C"/>
        <color rgb="FF63BE7B"/>
      </colorScale>
    </cfRule>
  </conditionalFormatting>
  <conditionalFormatting sqref="N138:N154">
    <cfRule type="colorScale" priority="995">
      <colorScale>
        <cfvo type="min"/>
        <cfvo type="percentile" val="20"/>
        <cfvo type="max"/>
        <color rgb="FF92D050"/>
        <color theme="5" tint="0.79998168889431442"/>
        <color rgb="FFFF0000"/>
      </colorScale>
    </cfRule>
    <cfRule type="colorScale" priority="996">
      <colorScale>
        <cfvo type="min"/>
        <cfvo type="max"/>
        <color rgb="FFFF0000"/>
        <color rgb="FF92D050"/>
      </colorScale>
    </cfRule>
    <cfRule type="colorScale" priority="997">
      <colorScale>
        <cfvo type="min"/>
        <cfvo type="percentile" val="50"/>
        <cfvo type="max"/>
        <color rgb="FF5A8AC6"/>
        <color rgb="FFFCFCFF"/>
        <color rgb="FFF8696B"/>
      </colorScale>
    </cfRule>
    <cfRule type="colorScale" priority="998">
      <colorScale>
        <cfvo type="formula" val="&quot;&gt;20&quot;"/>
        <cfvo type="formula" val="35"/>
        <color rgb="FFF8696B"/>
        <color rgb="FFFCFCFF"/>
      </colorScale>
    </cfRule>
    <cfRule type="colorScale" priority="999">
      <colorScale>
        <cfvo type="min"/>
        <cfvo type="max"/>
        <color rgb="FFFFEF9C"/>
        <color rgb="FF63BE7B"/>
      </colorScale>
    </cfRule>
  </conditionalFormatting>
  <conditionalFormatting sqref="S138:S154">
    <cfRule type="containsText" dxfId="573" priority="991" operator="containsText" text="Short Buildup">
      <formula>NOT(ISERROR(SEARCH("Short Buildup",S138)))</formula>
    </cfRule>
    <cfRule type="containsText" dxfId="572" priority="992" operator="containsText" text="Long Liquidation">
      <formula>NOT(ISERROR(SEARCH("Long Liquidation",S138)))</formula>
    </cfRule>
    <cfRule type="containsText" dxfId="571" priority="993" operator="containsText" text="Short covering">
      <formula>NOT(ISERROR(SEARCH("Short covering",S138)))</formula>
    </cfRule>
    <cfRule type="containsText" dxfId="570" priority="994" operator="containsText" text="Long Buildup">
      <formula>NOT(ISERROR(SEARCH("Long Buildup",S138)))</formula>
    </cfRule>
  </conditionalFormatting>
  <conditionalFormatting sqref="R155:R171 D155:D170 C171">
    <cfRule type="containsText" dxfId="569" priority="977" operator="containsText" text="DOWN">
      <formula>NOT(ISERROR(SEARCH("DOWN",C155)))</formula>
    </cfRule>
  </conditionalFormatting>
  <conditionalFormatting sqref="R155:R171 D155:D170 C171">
    <cfRule type="containsText" dxfId="568" priority="976" operator="containsText" text="UP">
      <formula>NOT(ISERROR(SEARCH("UP",C155)))</formula>
    </cfRule>
  </conditionalFormatting>
  <conditionalFormatting sqref="I155:I171">
    <cfRule type="colorScale" priority="978">
      <colorScale>
        <cfvo type="min"/>
        <cfvo type="max"/>
        <color rgb="FFFFEF9C"/>
        <color rgb="FF63BE7B"/>
      </colorScale>
    </cfRule>
  </conditionalFormatting>
  <conditionalFormatting sqref="M155:M171">
    <cfRule type="colorScale" priority="979">
      <colorScale>
        <cfvo type="min"/>
        <cfvo type="max"/>
        <color rgb="FFFF7128"/>
        <color rgb="FFFFEF9C"/>
      </colorScale>
    </cfRule>
  </conditionalFormatting>
  <conditionalFormatting sqref="Q155:Q171">
    <cfRule type="dataBar" priority="980">
      <dataBar>
        <cfvo type="min"/>
        <cfvo type="max"/>
        <color rgb="FFFF555A"/>
      </dataBar>
    </cfRule>
  </conditionalFormatting>
  <conditionalFormatting sqref="E155:E171">
    <cfRule type="dataBar" priority="981">
      <dataBar>
        <cfvo type="min"/>
        <cfvo type="max"/>
        <color rgb="FFFF555A"/>
      </dataBar>
    </cfRule>
  </conditionalFormatting>
  <conditionalFormatting sqref="F155:F171">
    <cfRule type="top10" dxfId="567" priority="982" rank="1"/>
  </conditionalFormatting>
  <conditionalFormatting sqref="P155:P170">
    <cfRule type="top10" dxfId="566" priority="983" rank="1"/>
  </conditionalFormatting>
  <conditionalFormatting sqref="G155:G171 O155:O170 P171">
    <cfRule type="cellIs" dxfId="565" priority="984" operator="equal">
      <formula>$G$135</formula>
    </cfRule>
  </conditionalFormatting>
  <conditionalFormatting sqref="O155:O170 P171">
    <cfRule type="cellIs" dxfId="564" priority="985" operator="equal">
      <formula>$J$135</formula>
    </cfRule>
  </conditionalFormatting>
  <conditionalFormatting sqref="G155:G171 O155:O170 P171">
    <cfRule type="cellIs" dxfId="563" priority="986" operator="equal">
      <formula>#REF!</formula>
    </cfRule>
  </conditionalFormatting>
  <conditionalFormatting sqref="G155:G171">
    <cfRule type="top10" dxfId="562" priority="987" rank="1"/>
    <cfRule type="cellIs" dxfId="561" priority="988" operator="equal">
      <formula>$G$133</formula>
    </cfRule>
  </conditionalFormatting>
  <conditionalFormatting sqref="O155:O170 P171">
    <cfRule type="top10" dxfId="560" priority="989" rank="1"/>
    <cfRule type="cellIs" dxfId="559" priority="990" operator="equal">
      <formula>$G$133</formula>
    </cfRule>
  </conditionalFormatting>
  <conditionalFormatting sqref="C155:C170">
    <cfRule type="containsText" dxfId="558" priority="972" operator="containsText" text="Short Buildup">
      <formula>NOT(ISERROR(SEARCH("Short Buildup",C155)))</formula>
    </cfRule>
    <cfRule type="containsText" dxfId="557" priority="973" operator="containsText" text="Long Liquidation">
      <formula>NOT(ISERROR(SEARCH("Long Liquidation",C155)))</formula>
    </cfRule>
    <cfRule type="containsText" dxfId="556" priority="974" operator="containsText" text="Short covering">
      <formula>NOT(ISERROR(SEARCH("Short covering",C155)))</formula>
    </cfRule>
    <cfRule type="containsText" dxfId="555" priority="975" operator="containsText" text="Long Buildup">
      <formula>NOT(ISERROR(SEARCH("Long Buildup",C155)))</formula>
    </cfRule>
  </conditionalFormatting>
  <conditionalFormatting sqref="H155:H171">
    <cfRule type="colorScale" priority="967">
      <colorScale>
        <cfvo type="min"/>
        <cfvo type="percentile" val="20"/>
        <cfvo type="max"/>
        <color rgb="FF92D050"/>
        <color theme="5" tint="0.79998168889431442"/>
        <color rgb="FFFF0000"/>
      </colorScale>
    </cfRule>
    <cfRule type="colorScale" priority="968">
      <colorScale>
        <cfvo type="min"/>
        <cfvo type="max"/>
        <color rgb="FFFF0000"/>
        <color rgb="FF92D050"/>
      </colorScale>
    </cfRule>
    <cfRule type="colorScale" priority="969">
      <colorScale>
        <cfvo type="min"/>
        <cfvo type="percentile" val="50"/>
        <cfvo type="max"/>
        <color rgb="FF5A8AC6"/>
        <color rgb="FFFCFCFF"/>
        <color rgb="FFF8696B"/>
      </colorScale>
    </cfRule>
    <cfRule type="colorScale" priority="970">
      <colorScale>
        <cfvo type="formula" val="&quot;&gt;20&quot;"/>
        <cfvo type="formula" val="35"/>
        <color rgb="FFF8696B"/>
        <color rgb="FFFCFCFF"/>
      </colorScale>
    </cfRule>
    <cfRule type="colorScale" priority="971">
      <colorScale>
        <cfvo type="min"/>
        <cfvo type="max"/>
        <color rgb="FFFFEF9C"/>
        <color rgb="FF63BE7B"/>
      </colorScale>
    </cfRule>
  </conditionalFormatting>
  <conditionalFormatting sqref="N155:N171">
    <cfRule type="colorScale" priority="962">
      <colorScale>
        <cfvo type="min"/>
        <cfvo type="percentile" val="20"/>
        <cfvo type="max"/>
        <color rgb="FF92D050"/>
        <color theme="5" tint="0.79998168889431442"/>
        <color rgb="FFFF0000"/>
      </colorScale>
    </cfRule>
    <cfRule type="colorScale" priority="963">
      <colorScale>
        <cfvo type="min"/>
        <cfvo type="max"/>
        <color rgb="FFFF0000"/>
        <color rgb="FF92D050"/>
      </colorScale>
    </cfRule>
    <cfRule type="colorScale" priority="964">
      <colorScale>
        <cfvo type="min"/>
        <cfvo type="percentile" val="50"/>
        <cfvo type="max"/>
        <color rgb="FF5A8AC6"/>
        <color rgb="FFFCFCFF"/>
        <color rgb="FFF8696B"/>
      </colorScale>
    </cfRule>
    <cfRule type="colorScale" priority="965">
      <colorScale>
        <cfvo type="formula" val="&quot;&gt;20&quot;"/>
        <cfvo type="formula" val="35"/>
        <color rgb="FFF8696B"/>
        <color rgb="FFFCFCFF"/>
      </colorScale>
    </cfRule>
    <cfRule type="colorScale" priority="966">
      <colorScale>
        <cfvo type="min"/>
        <cfvo type="max"/>
        <color rgb="FFFFEF9C"/>
        <color rgb="FF63BE7B"/>
      </colorScale>
    </cfRule>
  </conditionalFormatting>
  <conditionalFormatting sqref="S155:S171">
    <cfRule type="containsText" dxfId="554" priority="958" operator="containsText" text="Short Buildup">
      <formula>NOT(ISERROR(SEARCH("Short Buildup",S155)))</formula>
    </cfRule>
    <cfRule type="containsText" dxfId="553" priority="959" operator="containsText" text="Long Liquidation">
      <formula>NOT(ISERROR(SEARCH("Long Liquidation",S155)))</formula>
    </cfRule>
    <cfRule type="containsText" dxfId="552" priority="960" operator="containsText" text="Short covering">
      <formula>NOT(ISERROR(SEARCH("Short covering",S155)))</formula>
    </cfRule>
    <cfRule type="containsText" dxfId="551" priority="961" operator="containsText" text="Long Buildup">
      <formula>NOT(ISERROR(SEARCH("Long Buildup",S155)))</formula>
    </cfRule>
  </conditionalFormatting>
  <conditionalFormatting sqref="R172:R188 D172:D187 C188">
    <cfRule type="containsText" dxfId="550" priority="944" operator="containsText" text="DOWN">
      <formula>NOT(ISERROR(SEARCH("DOWN",C172)))</formula>
    </cfRule>
  </conditionalFormatting>
  <conditionalFormatting sqref="R172:R188 D172:D187 C188">
    <cfRule type="containsText" dxfId="549" priority="943" operator="containsText" text="UP">
      <formula>NOT(ISERROR(SEARCH("UP",C172)))</formula>
    </cfRule>
  </conditionalFormatting>
  <conditionalFormatting sqref="I172:I188">
    <cfRule type="colorScale" priority="945">
      <colorScale>
        <cfvo type="min"/>
        <cfvo type="max"/>
        <color rgb="FFFFEF9C"/>
        <color rgb="FF63BE7B"/>
      </colorScale>
    </cfRule>
  </conditionalFormatting>
  <conditionalFormatting sqref="M172:M188">
    <cfRule type="colorScale" priority="946">
      <colorScale>
        <cfvo type="min"/>
        <cfvo type="max"/>
        <color rgb="FFFF7128"/>
        <color rgb="FFFFEF9C"/>
      </colorScale>
    </cfRule>
  </conditionalFormatting>
  <conditionalFormatting sqref="Q172:Q188">
    <cfRule type="dataBar" priority="947">
      <dataBar>
        <cfvo type="min"/>
        <cfvo type="max"/>
        <color rgb="FFFF555A"/>
      </dataBar>
    </cfRule>
  </conditionalFormatting>
  <conditionalFormatting sqref="E172:E188">
    <cfRule type="dataBar" priority="948">
      <dataBar>
        <cfvo type="min"/>
        <cfvo type="max"/>
        <color rgb="FFFF555A"/>
      </dataBar>
    </cfRule>
  </conditionalFormatting>
  <conditionalFormatting sqref="F172:F188">
    <cfRule type="top10" dxfId="548" priority="949" rank="1"/>
  </conditionalFormatting>
  <conditionalFormatting sqref="P172:P187">
    <cfRule type="top10" dxfId="547" priority="950" rank="1"/>
  </conditionalFormatting>
  <conditionalFormatting sqref="G172:G188 O172:O187 P188">
    <cfRule type="cellIs" dxfId="546" priority="951" operator="equal">
      <formula>$G$135</formula>
    </cfRule>
  </conditionalFormatting>
  <conditionalFormatting sqref="O172:O187 P188">
    <cfRule type="cellIs" dxfId="545" priority="952" operator="equal">
      <formula>$J$135</formula>
    </cfRule>
  </conditionalFormatting>
  <conditionalFormatting sqref="G172:G188 O172:O187 P188">
    <cfRule type="cellIs" dxfId="544" priority="953" operator="equal">
      <formula>#REF!</formula>
    </cfRule>
  </conditionalFormatting>
  <conditionalFormatting sqref="G172:G188">
    <cfRule type="top10" dxfId="543" priority="954" rank="1"/>
    <cfRule type="cellIs" dxfId="542" priority="955" operator="equal">
      <formula>$G$133</formula>
    </cfRule>
  </conditionalFormatting>
  <conditionalFormatting sqref="O172:O187 P188">
    <cfRule type="top10" dxfId="541" priority="956" rank="1"/>
    <cfRule type="cellIs" dxfId="540" priority="957" operator="equal">
      <formula>$G$133</formula>
    </cfRule>
  </conditionalFormatting>
  <conditionalFormatting sqref="C172:C187">
    <cfRule type="containsText" dxfId="539" priority="939" operator="containsText" text="Short Buildup">
      <formula>NOT(ISERROR(SEARCH("Short Buildup",C172)))</formula>
    </cfRule>
    <cfRule type="containsText" dxfId="538" priority="940" operator="containsText" text="Long Liquidation">
      <formula>NOT(ISERROR(SEARCH("Long Liquidation",C172)))</formula>
    </cfRule>
    <cfRule type="containsText" dxfId="537" priority="941" operator="containsText" text="Short covering">
      <formula>NOT(ISERROR(SEARCH("Short covering",C172)))</formula>
    </cfRule>
    <cfRule type="containsText" dxfId="536" priority="942" operator="containsText" text="Long Buildup">
      <formula>NOT(ISERROR(SEARCH("Long Buildup",C172)))</formula>
    </cfRule>
  </conditionalFormatting>
  <conditionalFormatting sqref="H172:H188">
    <cfRule type="colorScale" priority="934">
      <colorScale>
        <cfvo type="min"/>
        <cfvo type="percentile" val="20"/>
        <cfvo type="max"/>
        <color rgb="FF92D050"/>
        <color theme="5" tint="0.79998168889431442"/>
        <color rgb="FFFF0000"/>
      </colorScale>
    </cfRule>
    <cfRule type="colorScale" priority="935">
      <colorScale>
        <cfvo type="min"/>
        <cfvo type="max"/>
        <color rgb="FFFF0000"/>
        <color rgb="FF92D050"/>
      </colorScale>
    </cfRule>
    <cfRule type="colorScale" priority="936">
      <colorScale>
        <cfvo type="min"/>
        <cfvo type="percentile" val="50"/>
        <cfvo type="max"/>
        <color rgb="FF5A8AC6"/>
        <color rgb="FFFCFCFF"/>
        <color rgb="FFF8696B"/>
      </colorScale>
    </cfRule>
    <cfRule type="colorScale" priority="937">
      <colorScale>
        <cfvo type="formula" val="&quot;&gt;20&quot;"/>
        <cfvo type="formula" val="35"/>
        <color rgb="FFF8696B"/>
        <color rgb="FFFCFCFF"/>
      </colorScale>
    </cfRule>
    <cfRule type="colorScale" priority="938">
      <colorScale>
        <cfvo type="min"/>
        <cfvo type="max"/>
        <color rgb="FFFFEF9C"/>
        <color rgb="FF63BE7B"/>
      </colorScale>
    </cfRule>
  </conditionalFormatting>
  <conditionalFormatting sqref="N172:N188">
    <cfRule type="colorScale" priority="929">
      <colorScale>
        <cfvo type="min"/>
        <cfvo type="percentile" val="20"/>
        <cfvo type="max"/>
        <color rgb="FF92D050"/>
        <color theme="5" tint="0.79998168889431442"/>
        <color rgb="FFFF0000"/>
      </colorScale>
    </cfRule>
    <cfRule type="colorScale" priority="930">
      <colorScale>
        <cfvo type="min"/>
        <cfvo type="max"/>
        <color rgb="FFFF0000"/>
        <color rgb="FF92D050"/>
      </colorScale>
    </cfRule>
    <cfRule type="colorScale" priority="931">
      <colorScale>
        <cfvo type="min"/>
        <cfvo type="percentile" val="50"/>
        <cfvo type="max"/>
        <color rgb="FF5A8AC6"/>
        <color rgb="FFFCFCFF"/>
        <color rgb="FFF8696B"/>
      </colorScale>
    </cfRule>
    <cfRule type="colorScale" priority="932">
      <colorScale>
        <cfvo type="formula" val="&quot;&gt;20&quot;"/>
        <cfvo type="formula" val="35"/>
        <color rgb="FFF8696B"/>
        <color rgb="FFFCFCFF"/>
      </colorScale>
    </cfRule>
    <cfRule type="colorScale" priority="933">
      <colorScale>
        <cfvo type="min"/>
        <cfvo type="max"/>
        <color rgb="FFFFEF9C"/>
        <color rgb="FF63BE7B"/>
      </colorScale>
    </cfRule>
  </conditionalFormatting>
  <conditionalFormatting sqref="S172:S188">
    <cfRule type="containsText" dxfId="535" priority="925" operator="containsText" text="Short Buildup">
      <formula>NOT(ISERROR(SEARCH("Short Buildup",S172)))</formula>
    </cfRule>
    <cfRule type="containsText" dxfId="534" priority="926" operator="containsText" text="Long Liquidation">
      <formula>NOT(ISERROR(SEARCH("Long Liquidation",S172)))</formula>
    </cfRule>
    <cfRule type="containsText" dxfId="533" priority="927" operator="containsText" text="Short covering">
      <formula>NOT(ISERROR(SEARCH("Short covering",S172)))</formula>
    </cfRule>
    <cfRule type="containsText" dxfId="532" priority="928" operator="containsText" text="Long Buildup">
      <formula>NOT(ISERROR(SEARCH("Long Buildup",S172)))</formula>
    </cfRule>
  </conditionalFormatting>
  <conditionalFormatting sqref="R189:R205 D189:D204 C205">
    <cfRule type="containsText" dxfId="531" priority="911" operator="containsText" text="DOWN">
      <formula>NOT(ISERROR(SEARCH("DOWN",C189)))</formula>
    </cfRule>
  </conditionalFormatting>
  <conditionalFormatting sqref="R189:R205 D189:D204 C205">
    <cfRule type="containsText" dxfId="530" priority="910" operator="containsText" text="UP">
      <formula>NOT(ISERROR(SEARCH("UP",C189)))</formula>
    </cfRule>
  </conditionalFormatting>
  <conditionalFormatting sqref="I189:I205">
    <cfRule type="colorScale" priority="912">
      <colorScale>
        <cfvo type="min"/>
        <cfvo type="max"/>
        <color rgb="FFFFEF9C"/>
        <color rgb="FF63BE7B"/>
      </colorScale>
    </cfRule>
  </conditionalFormatting>
  <conditionalFormatting sqref="M189:M205">
    <cfRule type="colorScale" priority="913">
      <colorScale>
        <cfvo type="min"/>
        <cfvo type="max"/>
        <color rgb="FFFF7128"/>
        <color rgb="FFFFEF9C"/>
      </colorScale>
    </cfRule>
  </conditionalFormatting>
  <conditionalFormatting sqref="Q189:Q205">
    <cfRule type="dataBar" priority="914">
      <dataBar>
        <cfvo type="min"/>
        <cfvo type="max"/>
        <color rgb="FFFF555A"/>
      </dataBar>
    </cfRule>
  </conditionalFormatting>
  <conditionalFormatting sqref="E189:E205">
    <cfRule type="dataBar" priority="915">
      <dataBar>
        <cfvo type="min"/>
        <cfvo type="max"/>
        <color rgb="FFFF555A"/>
      </dataBar>
    </cfRule>
  </conditionalFormatting>
  <conditionalFormatting sqref="F189:F205">
    <cfRule type="top10" dxfId="529" priority="916" rank="1"/>
  </conditionalFormatting>
  <conditionalFormatting sqref="P189:P204">
    <cfRule type="top10" dxfId="528" priority="917" rank="1"/>
  </conditionalFormatting>
  <conditionalFormatting sqref="G189:G205 O189:O204 P205">
    <cfRule type="cellIs" dxfId="527" priority="918" operator="equal">
      <formula>$G$135</formula>
    </cfRule>
  </conditionalFormatting>
  <conditionalFormatting sqref="O189:O204 P205">
    <cfRule type="cellIs" dxfId="526" priority="919" operator="equal">
      <formula>$J$135</formula>
    </cfRule>
  </conditionalFormatting>
  <conditionalFormatting sqref="G189:G205 O189:O204 P205">
    <cfRule type="cellIs" dxfId="525" priority="920" operator="equal">
      <formula>#REF!</formula>
    </cfRule>
  </conditionalFormatting>
  <conditionalFormatting sqref="G189:G205">
    <cfRule type="top10" dxfId="524" priority="921" rank="1"/>
    <cfRule type="cellIs" dxfId="523" priority="922" operator="equal">
      <formula>$G$133</formula>
    </cfRule>
  </conditionalFormatting>
  <conditionalFormatting sqref="O189:O204 P205">
    <cfRule type="top10" dxfId="522" priority="923" rank="1"/>
    <cfRule type="cellIs" dxfId="521" priority="924" operator="equal">
      <formula>$G$133</formula>
    </cfRule>
  </conditionalFormatting>
  <conditionalFormatting sqref="C189:C204">
    <cfRule type="containsText" dxfId="520" priority="906" operator="containsText" text="Short Buildup">
      <formula>NOT(ISERROR(SEARCH("Short Buildup",C189)))</formula>
    </cfRule>
    <cfRule type="containsText" dxfId="519" priority="907" operator="containsText" text="Long Liquidation">
      <formula>NOT(ISERROR(SEARCH("Long Liquidation",C189)))</formula>
    </cfRule>
    <cfRule type="containsText" dxfId="518" priority="908" operator="containsText" text="Short covering">
      <formula>NOT(ISERROR(SEARCH("Short covering",C189)))</formula>
    </cfRule>
    <cfRule type="containsText" dxfId="517" priority="909" operator="containsText" text="Long Buildup">
      <formula>NOT(ISERROR(SEARCH("Long Buildup",C189)))</formula>
    </cfRule>
  </conditionalFormatting>
  <conditionalFormatting sqref="H189:H205">
    <cfRule type="colorScale" priority="901">
      <colorScale>
        <cfvo type="min"/>
        <cfvo type="percentile" val="20"/>
        <cfvo type="max"/>
        <color rgb="FF92D050"/>
        <color theme="5" tint="0.79998168889431442"/>
        <color rgb="FFFF0000"/>
      </colorScale>
    </cfRule>
    <cfRule type="colorScale" priority="902">
      <colorScale>
        <cfvo type="min"/>
        <cfvo type="max"/>
        <color rgb="FFFF0000"/>
        <color rgb="FF92D050"/>
      </colorScale>
    </cfRule>
    <cfRule type="colorScale" priority="903">
      <colorScale>
        <cfvo type="min"/>
        <cfvo type="percentile" val="50"/>
        <cfvo type="max"/>
        <color rgb="FF5A8AC6"/>
        <color rgb="FFFCFCFF"/>
        <color rgb="FFF8696B"/>
      </colorScale>
    </cfRule>
    <cfRule type="colorScale" priority="904">
      <colorScale>
        <cfvo type="formula" val="&quot;&gt;20&quot;"/>
        <cfvo type="formula" val="35"/>
        <color rgb="FFF8696B"/>
        <color rgb="FFFCFCFF"/>
      </colorScale>
    </cfRule>
    <cfRule type="colorScale" priority="905">
      <colorScale>
        <cfvo type="min"/>
        <cfvo type="max"/>
        <color rgb="FFFFEF9C"/>
        <color rgb="FF63BE7B"/>
      </colorScale>
    </cfRule>
  </conditionalFormatting>
  <conditionalFormatting sqref="N189:N205">
    <cfRule type="colorScale" priority="896">
      <colorScale>
        <cfvo type="min"/>
        <cfvo type="percentile" val="20"/>
        <cfvo type="max"/>
        <color rgb="FF92D050"/>
        <color theme="5" tint="0.79998168889431442"/>
        <color rgb="FFFF0000"/>
      </colorScale>
    </cfRule>
    <cfRule type="colorScale" priority="897">
      <colorScale>
        <cfvo type="min"/>
        <cfvo type="max"/>
        <color rgb="FFFF0000"/>
        <color rgb="FF92D050"/>
      </colorScale>
    </cfRule>
    <cfRule type="colorScale" priority="898">
      <colorScale>
        <cfvo type="min"/>
        <cfvo type="percentile" val="50"/>
        <cfvo type="max"/>
        <color rgb="FF5A8AC6"/>
        <color rgb="FFFCFCFF"/>
        <color rgb="FFF8696B"/>
      </colorScale>
    </cfRule>
    <cfRule type="colorScale" priority="899">
      <colorScale>
        <cfvo type="formula" val="&quot;&gt;20&quot;"/>
        <cfvo type="formula" val="35"/>
        <color rgb="FFF8696B"/>
        <color rgb="FFFCFCFF"/>
      </colorScale>
    </cfRule>
    <cfRule type="colorScale" priority="900">
      <colorScale>
        <cfvo type="min"/>
        <cfvo type="max"/>
        <color rgb="FFFFEF9C"/>
        <color rgb="FF63BE7B"/>
      </colorScale>
    </cfRule>
  </conditionalFormatting>
  <conditionalFormatting sqref="S189:S205">
    <cfRule type="containsText" dxfId="516" priority="892" operator="containsText" text="Short Buildup">
      <formula>NOT(ISERROR(SEARCH("Short Buildup",S189)))</formula>
    </cfRule>
    <cfRule type="containsText" dxfId="515" priority="893" operator="containsText" text="Long Liquidation">
      <formula>NOT(ISERROR(SEARCH("Long Liquidation",S189)))</formula>
    </cfRule>
    <cfRule type="containsText" dxfId="514" priority="894" operator="containsText" text="Short covering">
      <formula>NOT(ISERROR(SEARCH("Short covering",S189)))</formula>
    </cfRule>
    <cfRule type="containsText" dxfId="513" priority="895" operator="containsText" text="Long Buildup">
      <formula>NOT(ISERROR(SEARCH("Long Buildup",S189)))</formula>
    </cfRule>
  </conditionalFormatting>
  <conditionalFormatting sqref="R206:R222 D206:D221 C222">
    <cfRule type="containsText" dxfId="512" priority="878" operator="containsText" text="DOWN">
      <formula>NOT(ISERROR(SEARCH("DOWN",C206)))</formula>
    </cfRule>
  </conditionalFormatting>
  <conditionalFormatting sqref="R206:R222 D206:D221 C222">
    <cfRule type="containsText" dxfId="511" priority="877" operator="containsText" text="UP">
      <formula>NOT(ISERROR(SEARCH("UP",C206)))</formula>
    </cfRule>
  </conditionalFormatting>
  <conditionalFormatting sqref="I206:I222">
    <cfRule type="colorScale" priority="879">
      <colorScale>
        <cfvo type="min"/>
        <cfvo type="max"/>
        <color rgb="FFFFEF9C"/>
        <color rgb="FF63BE7B"/>
      </colorScale>
    </cfRule>
  </conditionalFormatting>
  <conditionalFormatting sqref="M206:M222">
    <cfRule type="colorScale" priority="880">
      <colorScale>
        <cfvo type="min"/>
        <cfvo type="max"/>
        <color rgb="FFFF7128"/>
        <color rgb="FFFFEF9C"/>
      </colorScale>
    </cfRule>
  </conditionalFormatting>
  <conditionalFormatting sqref="Q206:Q222">
    <cfRule type="dataBar" priority="881">
      <dataBar>
        <cfvo type="min"/>
        <cfvo type="max"/>
        <color rgb="FFFF555A"/>
      </dataBar>
    </cfRule>
  </conditionalFormatting>
  <conditionalFormatting sqref="E206:E222">
    <cfRule type="dataBar" priority="882">
      <dataBar>
        <cfvo type="min"/>
        <cfvo type="max"/>
        <color rgb="FFFF555A"/>
      </dataBar>
    </cfRule>
  </conditionalFormatting>
  <conditionalFormatting sqref="F206:F222">
    <cfRule type="top10" dxfId="510" priority="883" rank="1"/>
  </conditionalFormatting>
  <conditionalFormatting sqref="P206:P221">
    <cfRule type="top10" dxfId="509" priority="884" rank="1"/>
  </conditionalFormatting>
  <conditionalFormatting sqref="G206:G222 O206:O221 P222">
    <cfRule type="cellIs" dxfId="508" priority="885" operator="equal">
      <formula>$G$135</formula>
    </cfRule>
  </conditionalFormatting>
  <conditionalFormatting sqref="O206:O221 P222">
    <cfRule type="cellIs" dxfId="507" priority="886" operator="equal">
      <formula>$J$135</formula>
    </cfRule>
  </conditionalFormatting>
  <conditionalFormatting sqref="G206:G222 O206:O221 P222">
    <cfRule type="cellIs" dxfId="506" priority="887" operator="equal">
      <formula>#REF!</formula>
    </cfRule>
  </conditionalFormatting>
  <conditionalFormatting sqref="G206:G222">
    <cfRule type="top10" dxfId="505" priority="888" rank="1"/>
    <cfRule type="cellIs" dxfId="504" priority="889" operator="equal">
      <formula>$G$133</formula>
    </cfRule>
  </conditionalFormatting>
  <conditionalFormatting sqref="O206:O221 P222">
    <cfRule type="top10" dxfId="503" priority="890" rank="1"/>
    <cfRule type="cellIs" dxfId="502" priority="891" operator="equal">
      <formula>$G$133</formula>
    </cfRule>
  </conditionalFormatting>
  <conditionalFormatting sqref="C206:C221">
    <cfRule type="containsText" dxfId="501" priority="873" operator="containsText" text="Short Buildup">
      <formula>NOT(ISERROR(SEARCH("Short Buildup",C206)))</formula>
    </cfRule>
    <cfRule type="containsText" dxfId="500" priority="874" operator="containsText" text="Long Liquidation">
      <formula>NOT(ISERROR(SEARCH("Long Liquidation",C206)))</formula>
    </cfRule>
    <cfRule type="containsText" dxfId="499" priority="875" operator="containsText" text="Short covering">
      <formula>NOT(ISERROR(SEARCH("Short covering",C206)))</formula>
    </cfRule>
    <cfRule type="containsText" dxfId="498" priority="876" operator="containsText" text="Long Buildup">
      <formula>NOT(ISERROR(SEARCH("Long Buildup",C206)))</formula>
    </cfRule>
  </conditionalFormatting>
  <conditionalFormatting sqref="H206:H222">
    <cfRule type="colorScale" priority="868">
      <colorScale>
        <cfvo type="min"/>
        <cfvo type="percentile" val="20"/>
        <cfvo type="max"/>
        <color rgb="FF92D050"/>
        <color theme="5" tint="0.79998168889431442"/>
        <color rgb="FFFF0000"/>
      </colorScale>
    </cfRule>
    <cfRule type="colorScale" priority="869">
      <colorScale>
        <cfvo type="min"/>
        <cfvo type="max"/>
        <color rgb="FFFF0000"/>
        <color rgb="FF92D050"/>
      </colorScale>
    </cfRule>
    <cfRule type="colorScale" priority="870">
      <colorScale>
        <cfvo type="min"/>
        <cfvo type="percentile" val="50"/>
        <cfvo type="max"/>
        <color rgb="FF5A8AC6"/>
        <color rgb="FFFCFCFF"/>
        <color rgb="FFF8696B"/>
      </colorScale>
    </cfRule>
    <cfRule type="colorScale" priority="871">
      <colorScale>
        <cfvo type="formula" val="&quot;&gt;20&quot;"/>
        <cfvo type="formula" val="35"/>
        <color rgb="FFF8696B"/>
        <color rgb="FFFCFCFF"/>
      </colorScale>
    </cfRule>
    <cfRule type="colorScale" priority="872">
      <colorScale>
        <cfvo type="min"/>
        <cfvo type="max"/>
        <color rgb="FFFFEF9C"/>
        <color rgb="FF63BE7B"/>
      </colorScale>
    </cfRule>
  </conditionalFormatting>
  <conditionalFormatting sqref="N206:N222">
    <cfRule type="colorScale" priority="863">
      <colorScale>
        <cfvo type="min"/>
        <cfvo type="percentile" val="20"/>
        <cfvo type="max"/>
        <color rgb="FF92D050"/>
        <color theme="5" tint="0.79998168889431442"/>
        <color rgb="FFFF0000"/>
      </colorScale>
    </cfRule>
    <cfRule type="colorScale" priority="864">
      <colorScale>
        <cfvo type="min"/>
        <cfvo type="max"/>
        <color rgb="FFFF0000"/>
        <color rgb="FF92D050"/>
      </colorScale>
    </cfRule>
    <cfRule type="colorScale" priority="865">
      <colorScale>
        <cfvo type="min"/>
        <cfvo type="percentile" val="50"/>
        <cfvo type="max"/>
        <color rgb="FF5A8AC6"/>
        <color rgb="FFFCFCFF"/>
        <color rgb="FFF8696B"/>
      </colorScale>
    </cfRule>
    <cfRule type="colorScale" priority="866">
      <colorScale>
        <cfvo type="formula" val="&quot;&gt;20&quot;"/>
        <cfvo type="formula" val="35"/>
        <color rgb="FFF8696B"/>
        <color rgb="FFFCFCFF"/>
      </colorScale>
    </cfRule>
    <cfRule type="colorScale" priority="867">
      <colorScale>
        <cfvo type="min"/>
        <cfvo type="max"/>
        <color rgb="FFFFEF9C"/>
        <color rgb="FF63BE7B"/>
      </colorScale>
    </cfRule>
  </conditionalFormatting>
  <conditionalFormatting sqref="S206:S222">
    <cfRule type="containsText" dxfId="497" priority="859" operator="containsText" text="Short Buildup">
      <formula>NOT(ISERROR(SEARCH("Short Buildup",S206)))</formula>
    </cfRule>
    <cfRule type="containsText" dxfId="496" priority="860" operator="containsText" text="Long Liquidation">
      <formula>NOT(ISERROR(SEARCH("Long Liquidation",S206)))</formula>
    </cfRule>
    <cfRule type="containsText" dxfId="495" priority="861" operator="containsText" text="Short covering">
      <formula>NOT(ISERROR(SEARCH("Short covering",S206)))</formula>
    </cfRule>
    <cfRule type="containsText" dxfId="494" priority="862" operator="containsText" text="Long Buildup">
      <formula>NOT(ISERROR(SEARCH("Long Buildup",S206)))</formula>
    </cfRule>
  </conditionalFormatting>
  <conditionalFormatting sqref="R223:R239 D223:D238 C239">
    <cfRule type="containsText" dxfId="493" priority="845" operator="containsText" text="DOWN">
      <formula>NOT(ISERROR(SEARCH("DOWN",C223)))</formula>
    </cfRule>
  </conditionalFormatting>
  <conditionalFormatting sqref="R223:R239 D223:D238 C239">
    <cfRule type="containsText" dxfId="492" priority="844" operator="containsText" text="UP">
      <formula>NOT(ISERROR(SEARCH("UP",C223)))</formula>
    </cfRule>
  </conditionalFormatting>
  <conditionalFormatting sqref="I223:I239">
    <cfRule type="colorScale" priority="846">
      <colorScale>
        <cfvo type="min"/>
        <cfvo type="max"/>
        <color rgb="FFFFEF9C"/>
        <color rgb="FF63BE7B"/>
      </colorScale>
    </cfRule>
  </conditionalFormatting>
  <conditionalFormatting sqref="M223:M239">
    <cfRule type="colorScale" priority="847">
      <colorScale>
        <cfvo type="min"/>
        <cfvo type="max"/>
        <color rgb="FFFF7128"/>
        <color rgb="FFFFEF9C"/>
      </colorScale>
    </cfRule>
  </conditionalFormatting>
  <conditionalFormatting sqref="Q223:Q239">
    <cfRule type="dataBar" priority="848">
      <dataBar>
        <cfvo type="min"/>
        <cfvo type="max"/>
        <color rgb="FFFF555A"/>
      </dataBar>
    </cfRule>
  </conditionalFormatting>
  <conditionalFormatting sqref="E223:E239">
    <cfRule type="dataBar" priority="849">
      <dataBar>
        <cfvo type="min"/>
        <cfvo type="max"/>
        <color rgb="FFFF555A"/>
      </dataBar>
    </cfRule>
  </conditionalFormatting>
  <conditionalFormatting sqref="F223:F239">
    <cfRule type="top10" dxfId="491" priority="850" rank="1"/>
  </conditionalFormatting>
  <conditionalFormatting sqref="P223:P238">
    <cfRule type="top10" dxfId="490" priority="851" rank="1"/>
  </conditionalFormatting>
  <conditionalFormatting sqref="G223:G239 O223:O238 P239">
    <cfRule type="cellIs" dxfId="489" priority="852" operator="equal">
      <formula>$G$135</formula>
    </cfRule>
  </conditionalFormatting>
  <conditionalFormatting sqref="O223:O238 P239">
    <cfRule type="cellIs" dxfId="488" priority="853" operator="equal">
      <formula>$J$135</formula>
    </cfRule>
  </conditionalFormatting>
  <conditionalFormatting sqref="G223:G239 O223:O238 P239">
    <cfRule type="cellIs" dxfId="487" priority="854" operator="equal">
      <formula>#REF!</formula>
    </cfRule>
  </conditionalFormatting>
  <conditionalFormatting sqref="G223:G239">
    <cfRule type="top10" dxfId="486" priority="855" rank="1"/>
    <cfRule type="cellIs" dxfId="485" priority="856" operator="equal">
      <formula>$G$133</formula>
    </cfRule>
  </conditionalFormatting>
  <conditionalFormatting sqref="O223:O238 P239">
    <cfRule type="top10" dxfId="484" priority="857" rank="1"/>
    <cfRule type="cellIs" dxfId="483" priority="858" operator="equal">
      <formula>$G$133</formula>
    </cfRule>
  </conditionalFormatting>
  <conditionalFormatting sqref="C223:C238">
    <cfRule type="containsText" dxfId="482" priority="840" operator="containsText" text="Short Buildup">
      <formula>NOT(ISERROR(SEARCH("Short Buildup",C223)))</formula>
    </cfRule>
    <cfRule type="containsText" dxfId="481" priority="841" operator="containsText" text="Long Liquidation">
      <formula>NOT(ISERROR(SEARCH("Long Liquidation",C223)))</formula>
    </cfRule>
    <cfRule type="containsText" dxfId="480" priority="842" operator="containsText" text="Short covering">
      <formula>NOT(ISERROR(SEARCH("Short covering",C223)))</formula>
    </cfRule>
    <cfRule type="containsText" dxfId="479" priority="843" operator="containsText" text="Long Buildup">
      <formula>NOT(ISERROR(SEARCH("Long Buildup",C223)))</formula>
    </cfRule>
  </conditionalFormatting>
  <conditionalFormatting sqref="H223:H239">
    <cfRule type="colorScale" priority="835">
      <colorScale>
        <cfvo type="min"/>
        <cfvo type="percentile" val="20"/>
        <cfvo type="max"/>
        <color rgb="FF92D050"/>
        <color theme="5" tint="0.79998168889431442"/>
        <color rgb="FFFF0000"/>
      </colorScale>
    </cfRule>
    <cfRule type="colorScale" priority="836">
      <colorScale>
        <cfvo type="min"/>
        <cfvo type="max"/>
        <color rgb="FFFF0000"/>
        <color rgb="FF92D050"/>
      </colorScale>
    </cfRule>
    <cfRule type="colorScale" priority="837">
      <colorScale>
        <cfvo type="min"/>
        <cfvo type="percentile" val="50"/>
        <cfvo type="max"/>
        <color rgb="FF5A8AC6"/>
        <color rgb="FFFCFCFF"/>
        <color rgb="FFF8696B"/>
      </colorScale>
    </cfRule>
    <cfRule type="colorScale" priority="838">
      <colorScale>
        <cfvo type="formula" val="&quot;&gt;20&quot;"/>
        <cfvo type="formula" val="35"/>
        <color rgb="FFF8696B"/>
        <color rgb="FFFCFCFF"/>
      </colorScale>
    </cfRule>
    <cfRule type="colorScale" priority="839">
      <colorScale>
        <cfvo type="min"/>
        <cfvo type="max"/>
        <color rgb="FFFFEF9C"/>
        <color rgb="FF63BE7B"/>
      </colorScale>
    </cfRule>
  </conditionalFormatting>
  <conditionalFormatting sqref="N223:N239">
    <cfRule type="colorScale" priority="830">
      <colorScale>
        <cfvo type="min"/>
        <cfvo type="percentile" val="20"/>
        <cfvo type="max"/>
        <color rgb="FF92D050"/>
        <color theme="5" tint="0.79998168889431442"/>
        <color rgb="FFFF0000"/>
      </colorScale>
    </cfRule>
    <cfRule type="colorScale" priority="831">
      <colorScale>
        <cfvo type="min"/>
        <cfvo type="max"/>
        <color rgb="FFFF0000"/>
        <color rgb="FF92D050"/>
      </colorScale>
    </cfRule>
    <cfRule type="colorScale" priority="832">
      <colorScale>
        <cfvo type="min"/>
        <cfvo type="percentile" val="50"/>
        <cfvo type="max"/>
        <color rgb="FF5A8AC6"/>
        <color rgb="FFFCFCFF"/>
        <color rgb="FFF8696B"/>
      </colorScale>
    </cfRule>
    <cfRule type="colorScale" priority="833">
      <colorScale>
        <cfvo type="formula" val="&quot;&gt;20&quot;"/>
        <cfvo type="formula" val="35"/>
        <color rgb="FFF8696B"/>
        <color rgb="FFFCFCFF"/>
      </colorScale>
    </cfRule>
    <cfRule type="colorScale" priority="834">
      <colorScale>
        <cfvo type="min"/>
        <cfvo type="max"/>
        <color rgb="FFFFEF9C"/>
        <color rgb="FF63BE7B"/>
      </colorScale>
    </cfRule>
  </conditionalFormatting>
  <conditionalFormatting sqref="S223:S239">
    <cfRule type="containsText" dxfId="478" priority="826" operator="containsText" text="Short Buildup">
      <formula>NOT(ISERROR(SEARCH("Short Buildup",S223)))</formula>
    </cfRule>
    <cfRule type="containsText" dxfId="477" priority="827" operator="containsText" text="Long Liquidation">
      <formula>NOT(ISERROR(SEARCH("Long Liquidation",S223)))</formula>
    </cfRule>
    <cfRule type="containsText" dxfId="476" priority="828" operator="containsText" text="Short covering">
      <formula>NOT(ISERROR(SEARCH("Short covering",S223)))</formula>
    </cfRule>
    <cfRule type="containsText" dxfId="475" priority="829" operator="containsText" text="Long Buildup">
      <formula>NOT(ISERROR(SEARCH("Long Buildup",S223)))</formula>
    </cfRule>
  </conditionalFormatting>
  <conditionalFormatting sqref="R240:R256 D240:D255 C256">
    <cfRule type="containsText" dxfId="474" priority="812" operator="containsText" text="DOWN">
      <formula>NOT(ISERROR(SEARCH("DOWN",C240)))</formula>
    </cfRule>
  </conditionalFormatting>
  <conditionalFormatting sqref="R240:R256 D240:D255 C256">
    <cfRule type="containsText" dxfId="473" priority="811" operator="containsText" text="UP">
      <formula>NOT(ISERROR(SEARCH("UP",C240)))</formula>
    </cfRule>
  </conditionalFormatting>
  <conditionalFormatting sqref="I240:I256">
    <cfRule type="colorScale" priority="813">
      <colorScale>
        <cfvo type="min"/>
        <cfvo type="max"/>
        <color rgb="FFFFEF9C"/>
        <color rgb="FF63BE7B"/>
      </colorScale>
    </cfRule>
  </conditionalFormatting>
  <conditionalFormatting sqref="M240:M256">
    <cfRule type="colorScale" priority="814">
      <colorScale>
        <cfvo type="min"/>
        <cfvo type="max"/>
        <color rgb="FFFF7128"/>
        <color rgb="FFFFEF9C"/>
      </colorScale>
    </cfRule>
  </conditionalFormatting>
  <conditionalFormatting sqref="Q240:Q256">
    <cfRule type="dataBar" priority="815">
      <dataBar>
        <cfvo type="min"/>
        <cfvo type="max"/>
        <color rgb="FFFF555A"/>
      </dataBar>
    </cfRule>
  </conditionalFormatting>
  <conditionalFormatting sqref="E240:E256">
    <cfRule type="dataBar" priority="816">
      <dataBar>
        <cfvo type="min"/>
        <cfvo type="max"/>
        <color rgb="FFFF555A"/>
      </dataBar>
    </cfRule>
  </conditionalFormatting>
  <conditionalFormatting sqref="F240:F256">
    <cfRule type="top10" dxfId="472" priority="817" rank="1"/>
  </conditionalFormatting>
  <conditionalFormatting sqref="P240:P255">
    <cfRule type="top10" dxfId="471" priority="818" rank="1"/>
  </conditionalFormatting>
  <conditionalFormatting sqref="G240:G256 O240:O255 P256">
    <cfRule type="cellIs" dxfId="470" priority="819" operator="equal">
      <formula>$G$135</formula>
    </cfRule>
  </conditionalFormatting>
  <conditionalFormatting sqref="O240:O255 P256">
    <cfRule type="cellIs" dxfId="469" priority="820" operator="equal">
      <formula>$J$135</formula>
    </cfRule>
  </conditionalFormatting>
  <conditionalFormatting sqref="G240:G256 O240:O255 P256">
    <cfRule type="cellIs" dxfId="468" priority="821" operator="equal">
      <formula>#REF!</formula>
    </cfRule>
  </conditionalFormatting>
  <conditionalFormatting sqref="G240:G256">
    <cfRule type="top10" dxfId="467" priority="822" rank="1"/>
    <cfRule type="cellIs" dxfId="466" priority="823" operator="equal">
      <formula>$G$133</formula>
    </cfRule>
  </conditionalFormatting>
  <conditionalFormatting sqref="O240:O255 P256">
    <cfRule type="top10" dxfId="465" priority="824" rank="1"/>
    <cfRule type="cellIs" dxfId="464" priority="825" operator="equal">
      <formula>$G$133</formula>
    </cfRule>
  </conditionalFormatting>
  <conditionalFormatting sqref="C240:C255">
    <cfRule type="containsText" dxfId="463" priority="807" operator="containsText" text="Short Buildup">
      <formula>NOT(ISERROR(SEARCH("Short Buildup",C240)))</formula>
    </cfRule>
    <cfRule type="containsText" dxfId="462" priority="808" operator="containsText" text="Long Liquidation">
      <formula>NOT(ISERROR(SEARCH("Long Liquidation",C240)))</formula>
    </cfRule>
    <cfRule type="containsText" dxfId="461" priority="809" operator="containsText" text="Short covering">
      <formula>NOT(ISERROR(SEARCH("Short covering",C240)))</formula>
    </cfRule>
    <cfRule type="containsText" dxfId="460" priority="810" operator="containsText" text="Long Buildup">
      <formula>NOT(ISERROR(SEARCH("Long Buildup",C240)))</formula>
    </cfRule>
  </conditionalFormatting>
  <conditionalFormatting sqref="H240:H256">
    <cfRule type="colorScale" priority="802">
      <colorScale>
        <cfvo type="min"/>
        <cfvo type="percentile" val="20"/>
        <cfvo type="max"/>
        <color rgb="FF92D050"/>
        <color theme="5" tint="0.79998168889431442"/>
        <color rgb="FFFF0000"/>
      </colorScale>
    </cfRule>
    <cfRule type="colorScale" priority="803">
      <colorScale>
        <cfvo type="min"/>
        <cfvo type="max"/>
        <color rgb="FFFF0000"/>
        <color rgb="FF92D050"/>
      </colorScale>
    </cfRule>
    <cfRule type="colorScale" priority="804">
      <colorScale>
        <cfvo type="min"/>
        <cfvo type="percentile" val="50"/>
        <cfvo type="max"/>
        <color rgb="FF5A8AC6"/>
        <color rgb="FFFCFCFF"/>
        <color rgb="FFF8696B"/>
      </colorScale>
    </cfRule>
    <cfRule type="colorScale" priority="805">
      <colorScale>
        <cfvo type="formula" val="&quot;&gt;20&quot;"/>
        <cfvo type="formula" val="35"/>
        <color rgb="FFF8696B"/>
        <color rgb="FFFCFCFF"/>
      </colorScale>
    </cfRule>
    <cfRule type="colorScale" priority="806">
      <colorScale>
        <cfvo type="min"/>
        <cfvo type="max"/>
        <color rgb="FFFFEF9C"/>
        <color rgb="FF63BE7B"/>
      </colorScale>
    </cfRule>
  </conditionalFormatting>
  <conditionalFormatting sqref="N240:N256">
    <cfRule type="colorScale" priority="797">
      <colorScale>
        <cfvo type="min"/>
        <cfvo type="percentile" val="20"/>
        <cfvo type="max"/>
        <color rgb="FF92D050"/>
        <color theme="5" tint="0.79998168889431442"/>
        <color rgb="FFFF0000"/>
      </colorScale>
    </cfRule>
    <cfRule type="colorScale" priority="798">
      <colorScale>
        <cfvo type="min"/>
        <cfvo type="max"/>
        <color rgb="FFFF0000"/>
        <color rgb="FF92D050"/>
      </colorScale>
    </cfRule>
    <cfRule type="colorScale" priority="799">
      <colorScale>
        <cfvo type="min"/>
        <cfvo type="percentile" val="50"/>
        <cfvo type="max"/>
        <color rgb="FF5A8AC6"/>
        <color rgb="FFFCFCFF"/>
        <color rgb="FFF8696B"/>
      </colorScale>
    </cfRule>
    <cfRule type="colorScale" priority="800">
      <colorScale>
        <cfvo type="formula" val="&quot;&gt;20&quot;"/>
        <cfvo type="formula" val="35"/>
        <color rgb="FFF8696B"/>
        <color rgb="FFFCFCFF"/>
      </colorScale>
    </cfRule>
    <cfRule type="colorScale" priority="801">
      <colorScale>
        <cfvo type="min"/>
        <cfvo type="max"/>
        <color rgb="FFFFEF9C"/>
        <color rgb="FF63BE7B"/>
      </colorScale>
    </cfRule>
  </conditionalFormatting>
  <conditionalFormatting sqref="S240:S256">
    <cfRule type="containsText" dxfId="459" priority="793" operator="containsText" text="Short Buildup">
      <formula>NOT(ISERROR(SEARCH("Short Buildup",S240)))</formula>
    </cfRule>
    <cfRule type="containsText" dxfId="458" priority="794" operator="containsText" text="Long Liquidation">
      <formula>NOT(ISERROR(SEARCH("Long Liquidation",S240)))</formula>
    </cfRule>
    <cfRule type="containsText" dxfId="457" priority="795" operator="containsText" text="Short covering">
      <formula>NOT(ISERROR(SEARCH("Short covering",S240)))</formula>
    </cfRule>
    <cfRule type="containsText" dxfId="456" priority="796" operator="containsText" text="Long Buildup">
      <formula>NOT(ISERROR(SEARCH("Long Buildup",S240)))</formula>
    </cfRule>
  </conditionalFormatting>
  <conditionalFormatting sqref="R257:R273 D257:D272 C273">
    <cfRule type="containsText" dxfId="455" priority="779" operator="containsText" text="DOWN">
      <formula>NOT(ISERROR(SEARCH("DOWN",C257)))</formula>
    </cfRule>
  </conditionalFormatting>
  <conditionalFormatting sqref="R257:R273 D257:D272 C273">
    <cfRule type="containsText" dxfId="454" priority="778" operator="containsText" text="UP">
      <formula>NOT(ISERROR(SEARCH("UP",C257)))</formula>
    </cfRule>
  </conditionalFormatting>
  <conditionalFormatting sqref="I257:I273">
    <cfRule type="colorScale" priority="780">
      <colorScale>
        <cfvo type="min"/>
        <cfvo type="max"/>
        <color rgb="FFFFEF9C"/>
        <color rgb="FF63BE7B"/>
      </colorScale>
    </cfRule>
  </conditionalFormatting>
  <conditionalFormatting sqref="M257:M273">
    <cfRule type="colorScale" priority="781">
      <colorScale>
        <cfvo type="min"/>
        <cfvo type="max"/>
        <color rgb="FFFF7128"/>
        <color rgb="FFFFEF9C"/>
      </colorScale>
    </cfRule>
  </conditionalFormatting>
  <conditionalFormatting sqref="Q257:Q273">
    <cfRule type="dataBar" priority="782">
      <dataBar>
        <cfvo type="min"/>
        <cfvo type="max"/>
        <color rgb="FFFF555A"/>
      </dataBar>
    </cfRule>
  </conditionalFormatting>
  <conditionalFormatting sqref="E257:E273">
    <cfRule type="dataBar" priority="783">
      <dataBar>
        <cfvo type="min"/>
        <cfvo type="max"/>
        <color rgb="FFFF555A"/>
      </dataBar>
    </cfRule>
  </conditionalFormatting>
  <conditionalFormatting sqref="F257:F273">
    <cfRule type="top10" dxfId="453" priority="784" rank="1"/>
  </conditionalFormatting>
  <conditionalFormatting sqref="P257:P272">
    <cfRule type="top10" dxfId="452" priority="785" rank="1"/>
  </conditionalFormatting>
  <conditionalFormatting sqref="G257:G273 O257:O272 P273">
    <cfRule type="cellIs" dxfId="451" priority="786" operator="equal">
      <formula>$G$135</formula>
    </cfRule>
  </conditionalFormatting>
  <conditionalFormatting sqref="O257:O272 P273">
    <cfRule type="cellIs" dxfId="450" priority="787" operator="equal">
      <formula>$J$135</formula>
    </cfRule>
  </conditionalFormatting>
  <conditionalFormatting sqref="G257:G273 O257:O272 P273">
    <cfRule type="cellIs" dxfId="449" priority="788" operator="equal">
      <formula>#REF!</formula>
    </cfRule>
  </conditionalFormatting>
  <conditionalFormatting sqref="G257:G273">
    <cfRule type="top10" dxfId="448" priority="789" rank="1"/>
    <cfRule type="cellIs" dxfId="447" priority="790" operator="equal">
      <formula>$G$133</formula>
    </cfRule>
  </conditionalFormatting>
  <conditionalFormatting sqref="O257:O272 P273">
    <cfRule type="top10" dxfId="446" priority="791" rank="1"/>
    <cfRule type="cellIs" dxfId="445" priority="792" operator="equal">
      <formula>$G$133</formula>
    </cfRule>
  </conditionalFormatting>
  <conditionalFormatting sqref="C257:C272">
    <cfRule type="containsText" dxfId="444" priority="774" operator="containsText" text="Short Buildup">
      <formula>NOT(ISERROR(SEARCH("Short Buildup",C257)))</formula>
    </cfRule>
    <cfRule type="containsText" dxfId="443" priority="775" operator="containsText" text="Long Liquidation">
      <formula>NOT(ISERROR(SEARCH("Long Liquidation",C257)))</formula>
    </cfRule>
    <cfRule type="containsText" dxfId="442" priority="776" operator="containsText" text="Short covering">
      <formula>NOT(ISERROR(SEARCH("Short covering",C257)))</formula>
    </cfRule>
    <cfRule type="containsText" dxfId="441" priority="777" operator="containsText" text="Long Buildup">
      <formula>NOT(ISERROR(SEARCH("Long Buildup",C257)))</formula>
    </cfRule>
  </conditionalFormatting>
  <conditionalFormatting sqref="H257:H273">
    <cfRule type="colorScale" priority="769">
      <colorScale>
        <cfvo type="min"/>
        <cfvo type="percentile" val="20"/>
        <cfvo type="max"/>
        <color rgb="FF92D050"/>
        <color theme="5" tint="0.79998168889431442"/>
        <color rgb="FFFF0000"/>
      </colorScale>
    </cfRule>
    <cfRule type="colorScale" priority="770">
      <colorScale>
        <cfvo type="min"/>
        <cfvo type="max"/>
        <color rgb="FFFF0000"/>
        <color rgb="FF92D050"/>
      </colorScale>
    </cfRule>
    <cfRule type="colorScale" priority="771">
      <colorScale>
        <cfvo type="min"/>
        <cfvo type="percentile" val="50"/>
        <cfvo type="max"/>
        <color rgb="FF5A8AC6"/>
        <color rgb="FFFCFCFF"/>
        <color rgb="FFF8696B"/>
      </colorScale>
    </cfRule>
    <cfRule type="colorScale" priority="772">
      <colorScale>
        <cfvo type="formula" val="&quot;&gt;20&quot;"/>
        <cfvo type="formula" val="35"/>
        <color rgb="FFF8696B"/>
        <color rgb="FFFCFCFF"/>
      </colorScale>
    </cfRule>
    <cfRule type="colorScale" priority="773">
      <colorScale>
        <cfvo type="min"/>
        <cfvo type="max"/>
        <color rgb="FFFFEF9C"/>
        <color rgb="FF63BE7B"/>
      </colorScale>
    </cfRule>
  </conditionalFormatting>
  <conditionalFormatting sqref="N257:N273">
    <cfRule type="colorScale" priority="764">
      <colorScale>
        <cfvo type="min"/>
        <cfvo type="percentile" val="20"/>
        <cfvo type="max"/>
        <color rgb="FF92D050"/>
        <color theme="5" tint="0.79998168889431442"/>
        <color rgb="FFFF0000"/>
      </colorScale>
    </cfRule>
    <cfRule type="colorScale" priority="765">
      <colorScale>
        <cfvo type="min"/>
        <cfvo type="max"/>
        <color rgb="FFFF0000"/>
        <color rgb="FF92D050"/>
      </colorScale>
    </cfRule>
    <cfRule type="colorScale" priority="766">
      <colorScale>
        <cfvo type="min"/>
        <cfvo type="percentile" val="50"/>
        <cfvo type="max"/>
        <color rgb="FF5A8AC6"/>
        <color rgb="FFFCFCFF"/>
        <color rgb="FFF8696B"/>
      </colorScale>
    </cfRule>
    <cfRule type="colorScale" priority="767">
      <colorScale>
        <cfvo type="formula" val="&quot;&gt;20&quot;"/>
        <cfvo type="formula" val="35"/>
        <color rgb="FFF8696B"/>
        <color rgb="FFFCFCFF"/>
      </colorScale>
    </cfRule>
    <cfRule type="colorScale" priority="768">
      <colorScale>
        <cfvo type="min"/>
        <cfvo type="max"/>
        <color rgb="FFFFEF9C"/>
        <color rgb="FF63BE7B"/>
      </colorScale>
    </cfRule>
  </conditionalFormatting>
  <conditionalFormatting sqref="S257:S273">
    <cfRule type="containsText" dxfId="440" priority="760" operator="containsText" text="Short Buildup">
      <formula>NOT(ISERROR(SEARCH("Short Buildup",S257)))</formula>
    </cfRule>
    <cfRule type="containsText" dxfId="439" priority="761" operator="containsText" text="Long Liquidation">
      <formula>NOT(ISERROR(SEARCH("Long Liquidation",S257)))</formula>
    </cfRule>
    <cfRule type="containsText" dxfId="438" priority="762" operator="containsText" text="Short covering">
      <formula>NOT(ISERROR(SEARCH("Short covering",S257)))</formula>
    </cfRule>
    <cfRule type="containsText" dxfId="437" priority="763" operator="containsText" text="Long Buildup">
      <formula>NOT(ISERROR(SEARCH("Long Buildup",S257)))</formula>
    </cfRule>
  </conditionalFormatting>
  <conditionalFormatting sqref="R274:R290 D274:D289 C290">
    <cfRule type="containsText" dxfId="436" priority="746" operator="containsText" text="DOWN">
      <formula>NOT(ISERROR(SEARCH("DOWN",C274)))</formula>
    </cfRule>
  </conditionalFormatting>
  <conditionalFormatting sqref="R274:R290 D274:D289 C290">
    <cfRule type="containsText" dxfId="435" priority="745" operator="containsText" text="UP">
      <formula>NOT(ISERROR(SEARCH("UP",C274)))</formula>
    </cfRule>
  </conditionalFormatting>
  <conditionalFormatting sqref="I274:I290">
    <cfRule type="colorScale" priority="747">
      <colorScale>
        <cfvo type="min"/>
        <cfvo type="max"/>
        <color rgb="FFFFEF9C"/>
        <color rgb="FF63BE7B"/>
      </colorScale>
    </cfRule>
  </conditionalFormatting>
  <conditionalFormatting sqref="M274:M290">
    <cfRule type="colorScale" priority="748">
      <colorScale>
        <cfvo type="min"/>
        <cfvo type="max"/>
        <color rgb="FFFF7128"/>
        <color rgb="FFFFEF9C"/>
      </colorScale>
    </cfRule>
  </conditionalFormatting>
  <conditionalFormatting sqref="Q274:Q290">
    <cfRule type="dataBar" priority="749">
      <dataBar>
        <cfvo type="min"/>
        <cfvo type="max"/>
        <color rgb="FFFF555A"/>
      </dataBar>
    </cfRule>
  </conditionalFormatting>
  <conditionalFormatting sqref="E274:E290">
    <cfRule type="dataBar" priority="750">
      <dataBar>
        <cfvo type="min"/>
        <cfvo type="max"/>
        <color rgb="FFFF555A"/>
      </dataBar>
    </cfRule>
  </conditionalFormatting>
  <conditionalFormatting sqref="F274:F290">
    <cfRule type="top10" dxfId="434" priority="751" rank="1"/>
  </conditionalFormatting>
  <conditionalFormatting sqref="P274:P289">
    <cfRule type="top10" dxfId="433" priority="752" rank="1"/>
  </conditionalFormatting>
  <conditionalFormatting sqref="G274:G290 O274:O289 P290">
    <cfRule type="cellIs" dxfId="432" priority="753" operator="equal">
      <formula>$G$135</formula>
    </cfRule>
  </conditionalFormatting>
  <conditionalFormatting sqref="O274:O289 P290">
    <cfRule type="cellIs" dxfId="431" priority="754" operator="equal">
      <formula>$J$135</formula>
    </cfRule>
  </conditionalFormatting>
  <conditionalFormatting sqref="G274:G290 O274:O289 P290">
    <cfRule type="cellIs" dxfId="430" priority="755" operator="equal">
      <formula>#REF!</formula>
    </cfRule>
  </conditionalFormatting>
  <conditionalFormatting sqref="G274:G290">
    <cfRule type="top10" dxfId="429" priority="756" rank="1"/>
    <cfRule type="cellIs" dxfId="428" priority="757" operator="equal">
      <formula>$G$133</formula>
    </cfRule>
  </conditionalFormatting>
  <conditionalFormatting sqref="O274:O289 P290">
    <cfRule type="top10" dxfId="427" priority="758" rank="1"/>
    <cfRule type="cellIs" dxfId="426" priority="759" operator="equal">
      <formula>$G$133</formula>
    </cfRule>
  </conditionalFormatting>
  <conditionalFormatting sqref="C274:C289">
    <cfRule type="containsText" dxfId="425" priority="741" operator="containsText" text="Short Buildup">
      <formula>NOT(ISERROR(SEARCH("Short Buildup",C274)))</formula>
    </cfRule>
    <cfRule type="containsText" dxfId="424" priority="742" operator="containsText" text="Long Liquidation">
      <formula>NOT(ISERROR(SEARCH("Long Liquidation",C274)))</formula>
    </cfRule>
    <cfRule type="containsText" dxfId="423" priority="743" operator="containsText" text="Short covering">
      <formula>NOT(ISERROR(SEARCH("Short covering",C274)))</formula>
    </cfRule>
    <cfRule type="containsText" dxfId="422" priority="744" operator="containsText" text="Long Buildup">
      <formula>NOT(ISERROR(SEARCH("Long Buildup",C274)))</formula>
    </cfRule>
  </conditionalFormatting>
  <conditionalFormatting sqref="H274:H290">
    <cfRule type="colorScale" priority="736">
      <colorScale>
        <cfvo type="min"/>
        <cfvo type="percentile" val="20"/>
        <cfvo type="max"/>
        <color rgb="FF92D050"/>
        <color theme="5" tint="0.79998168889431442"/>
        <color rgb="FFFF0000"/>
      </colorScale>
    </cfRule>
    <cfRule type="colorScale" priority="737">
      <colorScale>
        <cfvo type="min"/>
        <cfvo type="max"/>
        <color rgb="FFFF0000"/>
        <color rgb="FF92D050"/>
      </colorScale>
    </cfRule>
    <cfRule type="colorScale" priority="738">
      <colorScale>
        <cfvo type="min"/>
        <cfvo type="percentile" val="50"/>
        <cfvo type="max"/>
        <color rgb="FF5A8AC6"/>
        <color rgb="FFFCFCFF"/>
        <color rgb="FFF8696B"/>
      </colorScale>
    </cfRule>
    <cfRule type="colorScale" priority="739">
      <colorScale>
        <cfvo type="formula" val="&quot;&gt;20&quot;"/>
        <cfvo type="formula" val="35"/>
        <color rgb="FFF8696B"/>
        <color rgb="FFFCFCFF"/>
      </colorScale>
    </cfRule>
    <cfRule type="colorScale" priority="740">
      <colorScale>
        <cfvo type="min"/>
        <cfvo type="max"/>
        <color rgb="FFFFEF9C"/>
        <color rgb="FF63BE7B"/>
      </colorScale>
    </cfRule>
  </conditionalFormatting>
  <conditionalFormatting sqref="N274:N290">
    <cfRule type="colorScale" priority="731">
      <colorScale>
        <cfvo type="min"/>
        <cfvo type="percentile" val="20"/>
        <cfvo type="max"/>
        <color rgb="FF92D050"/>
        <color theme="5" tint="0.79998168889431442"/>
        <color rgb="FFFF0000"/>
      </colorScale>
    </cfRule>
    <cfRule type="colorScale" priority="732">
      <colorScale>
        <cfvo type="min"/>
        <cfvo type="max"/>
        <color rgb="FFFF0000"/>
        <color rgb="FF92D050"/>
      </colorScale>
    </cfRule>
    <cfRule type="colorScale" priority="733">
      <colorScale>
        <cfvo type="min"/>
        <cfvo type="percentile" val="50"/>
        <cfvo type="max"/>
        <color rgb="FF5A8AC6"/>
        <color rgb="FFFCFCFF"/>
        <color rgb="FFF8696B"/>
      </colorScale>
    </cfRule>
    <cfRule type="colorScale" priority="734">
      <colorScale>
        <cfvo type="formula" val="&quot;&gt;20&quot;"/>
        <cfvo type="formula" val="35"/>
        <color rgb="FFF8696B"/>
        <color rgb="FFFCFCFF"/>
      </colorScale>
    </cfRule>
    <cfRule type="colorScale" priority="735">
      <colorScale>
        <cfvo type="min"/>
        <cfvo type="max"/>
        <color rgb="FFFFEF9C"/>
        <color rgb="FF63BE7B"/>
      </colorScale>
    </cfRule>
  </conditionalFormatting>
  <conditionalFormatting sqref="S274:S290">
    <cfRule type="containsText" dxfId="421" priority="727" operator="containsText" text="Short Buildup">
      <formula>NOT(ISERROR(SEARCH("Short Buildup",S274)))</formula>
    </cfRule>
    <cfRule type="containsText" dxfId="420" priority="728" operator="containsText" text="Long Liquidation">
      <formula>NOT(ISERROR(SEARCH("Long Liquidation",S274)))</formula>
    </cfRule>
    <cfRule type="containsText" dxfId="419" priority="729" operator="containsText" text="Short covering">
      <formula>NOT(ISERROR(SEARCH("Short covering",S274)))</formula>
    </cfRule>
    <cfRule type="containsText" dxfId="418" priority="730" operator="containsText" text="Long Buildup">
      <formula>NOT(ISERROR(SEARCH("Long Buildup",S274)))</formula>
    </cfRule>
  </conditionalFormatting>
  <conditionalFormatting sqref="R291:R307 D291:D306 C307">
    <cfRule type="containsText" dxfId="417" priority="713" operator="containsText" text="DOWN">
      <formula>NOT(ISERROR(SEARCH("DOWN",C291)))</formula>
    </cfRule>
  </conditionalFormatting>
  <conditionalFormatting sqref="R291:R307 D291:D306 C307">
    <cfRule type="containsText" dxfId="416" priority="712" operator="containsText" text="UP">
      <formula>NOT(ISERROR(SEARCH("UP",C291)))</formula>
    </cfRule>
  </conditionalFormatting>
  <conditionalFormatting sqref="I291:I307">
    <cfRule type="colorScale" priority="714">
      <colorScale>
        <cfvo type="min"/>
        <cfvo type="max"/>
        <color rgb="FFFFEF9C"/>
        <color rgb="FF63BE7B"/>
      </colorScale>
    </cfRule>
  </conditionalFormatting>
  <conditionalFormatting sqref="M291:M307">
    <cfRule type="colorScale" priority="715">
      <colorScale>
        <cfvo type="min"/>
        <cfvo type="max"/>
        <color rgb="FFFF7128"/>
        <color rgb="FFFFEF9C"/>
      </colorScale>
    </cfRule>
  </conditionalFormatting>
  <conditionalFormatting sqref="Q291:Q307">
    <cfRule type="dataBar" priority="716">
      <dataBar>
        <cfvo type="min"/>
        <cfvo type="max"/>
        <color rgb="FFFF555A"/>
      </dataBar>
    </cfRule>
  </conditionalFormatting>
  <conditionalFormatting sqref="E291:E307">
    <cfRule type="dataBar" priority="717">
      <dataBar>
        <cfvo type="min"/>
        <cfvo type="max"/>
        <color rgb="FFFF555A"/>
      </dataBar>
    </cfRule>
  </conditionalFormatting>
  <conditionalFormatting sqref="F291:F307">
    <cfRule type="top10" dxfId="415" priority="718" rank="1"/>
  </conditionalFormatting>
  <conditionalFormatting sqref="P291:P306">
    <cfRule type="top10" dxfId="414" priority="719" rank="1"/>
  </conditionalFormatting>
  <conditionalFormatting sqref="G291:G307 O291:O306 P307">
    <cfRule type="cellIs" dxfId="413" priority="720" operator="equal">
      <formula>$G$135</formula>
    </cfRule>
  </conditionalFormatting>
  <conditionalFormatting sqref="O291:O306 P307">
    <cfRule type="cellIs" dxfId="412" priority="721" operator="equal">
      <formula>$J$135</formula>
    </cfRule>
  </conditionalFormatting>
  <conditionalFormatting sqref="G291:G307 O291:O306 P307">
    <cfRule type="cellIs" dxfId="411" priority="722" operator="equal">
      <formula>#REF!</formula>
    </cfRule>
  </conditionalFormatting>
  <conditionalFormatting sqref="G291:G307">
    <cfRule type="top10" dxfId="410" priority="723" rank="1"/>
    <cfRule type="cellIs" dxfId="409" priority="724" operator="equal">
      <formula>$G$133</formula>
    </cfRule>
  </conditionalFormatting>
  <conditionalFormatting sqref="O291:O306 P307">
    <cfRule type="top10" dxfId="408" priority="725" rank="1"/>
    <cfRule type="cellIs" dxfId="407" priority="726" operator="equal">
      <formula>$G$133</formula>
    </cfRule>
  </conditionalFormatting>
  <conditionalFormatting sqref="C291:C306">
    <cfRule type="containsText" dxfId="406" priority="708" operator="containsText" text="Short Buildup">
      <formula>NOT(ISERROR(SEARCH("Short Buildup",C291)))</formula>
    </cfRule>
    <cfRule type="containsText" dxfId="405" priority="709" operator="containsText" text="Long Liquidation">
      <formula>NOT(ISERROR(SEARCH("Long Liquidation",C291)))</formula>
    </cfRule>
    <cfRule type="containsText" dxfId="404" priority="710" operator="containsText" text="Short covering">
      <formula>NOT(ISERROR(SEARCH("Short covering",C291)))</formula>
    </cfRule>
    <cfRule type="containsText" dxfId="403" priority="711" operator="containsText" text="Long Buildup">
      <formula>NOT(ISERROR(SEARCH("Long Buildup",C291)))</formula>
    </cfRule>
  </conditionalFormatting>
  <conditionalFormatting sqref="H291:H307">
    <cfRule type="colorScale" priority="703">
      <colorScale>
        <cfvo type="min"/>
        <cfvo type="percentile" val="20"/>
        <cfvo type="max"/>
        <color rgb="FF92D050"/>
        <color theme="5" tint="0.79998168889431442"/>
        <color rgb="FFFF0000"/>
      </colorScale>
    </cfRule>
    <cfRule type="colorScale" priority="704">
      <colorScale>
        <cfvo type="min"/>
        <cfvo type="max"/>
        <color rgb="FFFF0000"/>
        <color rgb="FF92D050"/>
      </colorScale>
    </cfRule>
    <cfRule type="colorScale" priority="705">
      <colorScale>
        <cfvo type="min"/>
        <cfvo type="percentile" val="50"/>
        <cfvo type="max"/>
        <color rgb="FF5A8AC6"/>
        <color rgb="FFFCFCFF"/>
        <color rgb="FFF8696B"/>
      </colorScale>
    </cfRule>
    <cfRule type="colorScale" priority="706">
      <colorScale>
        <cfvo type="formula" val="&quot;&gt;20&quot;"/>
        <cfvo type="formula" val="35"/>
        <color rgb="FFF8696B"/>
        <color rgb="FFFCFCFF"/>
      </colorScale>
    </cfRule>
    <cfRule type="colorScale" priority="707">
      <colorScale>
        <cfvo type="min"/>
        <cfvo type="max"/>
        <color rgb="FFFFEF9C"/>
        <color rgb="FF63BE7B"/>
      </colorScale>
    </cfRule>
  </conditionalFormatting>
  <conditionalFormatting sqref="N291:N307">
    <cfRule type="colorScale" priority="698">
      <colorScale>
        <cfvo type="min"/>
        <cfvo type="percentile" val="20"/>
        <cfvo type="max"/>
        <color rgb="FF92D050"/>
        <color theme="5" tint="0.79998168889431442"/>
        <color rgb="FFFF0000"/>
      </colorScale>
    </cfRule>
    <cfRule type="colorScale" priority="699">
      <colorScale>
        <cfvo type="min"/>
        <cfvo type="max"/>
        <color rgb="FFFF0000"/>
        <color rgb="FF92D050"/>
      </colorScale>
    </cfRule>
    <cfRule type="colorScale" priority="700">
      <colorScale>
        <cfvo type="min"/>
        <cfvo type="percentile" val="50"/>
        <cfvo type="max"/>
        <color rgb="FF5A8AC6"/>
        <color rgb="FFFCFCFF"/>
        <color rgb="FFF8696B"/>
      </colorScale>
    </cfRule>
    <cfRule type="colorScale" priority="701">
      <colorScale>
        <cfvo type="formula" val="&quot;&gt;20&quot;"/>
        <cfvo type="formula" val="35"/>
        <color rgb="FFF8696B"/>
        <color rgb="FFFCFCFF"/>
      </colorScale>
    </cfRule>
    <cfRule type="colorScale" priority="702">
      <colorScale>
        <cfvo type="min"/>
        <cfvo type="max"/>
        <color rgb="FFFFEF9C"/>
        <color rgb="FF63BE7B"/>
      </colorScale>
    </cfRule>
  </conditionalFormatting>
  <conditionalFormatting sqref="S291:S307">
    <cfRule type="containsText" dxfId="402" priority="694" operator="containsText" text="Short Buildup">
      <formula>NOT(ISERROR(SEARCH("Short Buildup",S291)))</formula>
    </cfRule>
    <cfRule type="containsText" dxfId="401" priority="695" operator="containsText" text="Long Liquidation">
      <formula>NOT(ISERROR(SEARCH("Long Liquidation",S291)))</formula>
    </cfRule>
    <cfRule type="containsText" dxfId="400" priority="696" operator="containsText" text="Short covering">
      <formula>NOT(ISERROR(SEARCH("Short covering",S291)))</formula>
    </cfRule>
    <cfRule type="containsText" dxfId="399" priority="697" operator="containsText" text="Long Buildup">
      <formula>NOT(ISERROR(SEARCH("Long Buildup",S291)))</formula>
    </cfRule>
  </conditionalFormatting>
  <conditionalFormatting sqref="R308:R324 D308:D323 C324">
    <cfRule type="containsText" dxfId="398" priority="680" operator="containsText" text="DOWN">
      <formula>NOT(ISERROR(SEARCH("DOWN",C308)))</formula>
    </cfRule>
  </conditionalFormatting>
  <conditionalFormatting sqref="R308:R324 D308:D323 C324">
    <cfRule type="containsText" dxfId="397" priority="679" operator="containsText" text="UP">
      <formula>NOT(ISERROR(SEARCH("UP",C308)))</formula>
    </cfRule>
  </conditionalFormatting>
  <conditionalFormatting sqref="I308:I324">
    <cfRule type="colorScale" priority="681">
      <colorScale>
        <cfvo type="min"/>
        <cfvo type="max"/>
        <color rgb="FFFFEF9C"/>
        <color rgb="FF63BE7B"/>
      </colorScale>
    </cfRule>
  </conditionalFormatting>
  <conditionalFormatting sqref="M308:M324">
    <cfRule type="colorScale" priority="682">
      <colorScale>
        <cfvo type="min"/>
        <cfvo type="max"/>
        <color rgb="FFFF7128"/>
        <color rgb="FFFFEF9C"/>
      </colorScale>
    </cfRule>
  </conditionalFormatting>
  <conditionalFormatting sqref="Q308:Q324">
    <cfRule type="dataBar" priority="683">
      <dataBar>
        <cfvo type="min"/>
        <cfvo type="max"/>
        <color rgb="FFFF555A"/>
      </dataBar>
    </cfRule>
  </conditionalFormatting>
  <conditionalFormatting sqref="E308:E324">
    <cfRule type="dataBar" priority="684">
      <dataBar>
        <cfvo type="min"/>
        <cfvo type="max"/>
        <color rgb="FFFF555A"/>
      </dataBar>
    </cfRule>
  </conditionalFormatting>
  <conditionalFormatting sqref="F308:F324">
    <cfRule type="top10" dxfId="396" priority="685" rank="1"/>
  </conditionalFormatting>
  <conditionalFormatting sqref="P308:P323">
    <cfRule type="top10" dxfId="395" priority="686" rank="1"/>
  </conditionalFormatting>
  <conditionalFormatting sqref="G308:G324 O308:O323 P324">
    <cfRule type="cellIs" dxfId="394" priority="687" operator="equal">
      <formula>$G$135</formula>
    </cfRule>
  </conditionalFormatting>
  <conditionalFormatting sqref="O308:O323 P324">
    <cfRule type="cellIs" dxfId="393" priority="688" operator="equal">
      <formula>$J$135</formula>
    </cfRule>
  </conditionalFormatting>
  <conditionalFormatting sqref="G308:G324 O308:O323 P324">
    <cfRule type="cellIs" dxfId="392" priority="689" operator="equal">
      <formula>#REF!</formula>
    </cfRule>
  </conditionalFormatting>
  <conditionalFormatting sqref="G308:G324">
    <cfRule type="top10" dxfId="391" priority="690" rank="1"/>
    <cfRule type="cellIs" dxfId="390" priority="691" operator="equal">
      <formula>$G$133</formula>
    </cfRule>
  </conditionalFormatting>
  <conditionalFormatting sqref="O308:O323 P324">
    <cfRule type="top10" dxfId="389" priority="692" rank="1"/>
    <cfRule type="cellIs" dxfId="388" priority="693" operator="equal">
      <formula>$G$133</formula>
    </cfRule>
  </conditionalFormatting>
  <conditionalFormatting sqref="C308:C323">
    <cfRule type="containsText" dxfId="387" priority="675" operator="containsText" text="Short Buildup">
      <formula>NOT(ISERROR(SEARCH("Short Buildup",C308)))</formula>
    </cfRule>
    <cfRule type="containsText" dxfId="386" priority="676" operator="containsText" text="Long Liquidation">
      <formula>NOT(ISERROR(SEARCH("Long Liquidation",C308)))</formula>
    </cfRule>
    <cfRule type="containsText" dxfId="385" priority="677" operator="containsText" text="Short covering">
      <formula>NOT(ISERROR(SEARCH("Short covering",C308)))</formula>
    </cfRule>
    <cfRule type="containsText" dxfId="384" priority="678" operator="containsText" text="Long Buildup">
      <formula>NOT(ISERROR(SEARCH("Long Buildup",C308)))</formula>
    </cfRule>
  </conditionalFormatting>
  <conditionalFormatting sqref="H308:H324">
    <cfRule type="colorScale" priority="670">
      <colorScale>
        <cfvo type="min"/>
        <cfvo type="percentile" val="20"/>
        <cfvo type="max"/>
        <color rgb="FF92D050"/>
        <color theme="5" tint="0.79998168889431442"/>
        <color rgb="FFFF0000"/>
      </colorScale>
    </cfRule>
    <cfRule type="colorScale" priority="671">
      <colorScale>
        <cfvo type="min"/>
        <cfvo type="max"/>
        <color rgb="FFFF0000"/>
        <color rgb="FF92D050"/>
      </colorScale>
    </cfRule>
    <cfRule type="colorScale" priority="672">
      <colorScale>
        <cfvo type="min"/>
        <cfvo type="percentile" val="50"/>
        <cfvo type="max"/>
        <color rgb="FF5A8AC6"/>
        <color rgb="FFFCFCFF"/>
        <color rgb="FFF8696B"/>
      </colorScale>
    </cfRule>
    <cfRule type="colorScale" priority="673">
      <colorScale>
        <cfvo type="formula" val="&quot;&gt;20&quot;"/>
        <cfvo type="formula" val="35"/>
        <color rgb="FFF8696B"/>
        <color rgb="FFFCFCFF"/>
      </colorScale>
    </cfRule>
    <cfRule type="colorScale" priority="674">
      <colorScale>
        <cfvo type="min"/>
        <cfvo type="max"/>
        <color rgb="FFFFEF9C"/>
        <color rgb="FF63BE7B"/>
      </colorScale>
    </cfRule>
  </conditionalFormatting>
  <conditionalFormatting sqref="N308:N324">
    <cfRule type="colorScale" priority="665">
      <colorScale>
        <cfvo type="min"/>
        <cfvo type="percentile" val="20"/>
        <cfvo type="max"/>
        <color rgb="FF92D050"/>
        <color theme="5" tint="0.79998168889431442"/>
        <color rgb="FFFF0000"/>
      </colorScale>
    </cfRule>
    <cfRule type="colorScale" priority="666">
      <colorScale>
        <cfvo type="min"/>
        <cfvo type="max"/>
        <color rgb="FFFF0000"/>
        <color rgb="FF92D050"/>
      </colorScale>
    </cfRule>
    <cfRule type="colorScale" priority="667">
      <colorScale>
        <cfvo type="min"/>
        <cfvo type="percentile" val="50"/>
        <cfvo type="max"/>
        <color rgb="FF5A8AC6"/>
        <color rgb="FFFCFCFF"/>
        <color rgb="FFF8696B"/>
      </colorScale>
    </cfRule>
    <cfRule type="colorScale" priority="668">
      <colorScale>
        <cfvo type="formula" val="&quot;&gt;20&quot;"/>
        <cfvo type="formula" val="35"/>
        <color rgb="FFF8696B"/>
        <color rgb="FFFCFCFF"/>
      </colorScale>
    </cfRule>
    <cfRule type="colorScale" priority="669">
      <colorScale>
        <cfvo type="min"/>
        <cfvo type="max"/>
        <color rgb="FFFFEF9C"/>
        <color rgb="FF63BE7B"/>
      </colorScale>
    </cfRule>
  </conditionalFormatting>
  <conditionalFormatting sqref="S308:S324">
    <cfRule type="containsText" dxfId="383" priority="661" operator="containsText" text="Short Buildup">
      <formula>NOT(ISERROR(SEARCH("Short Buildup",S308)))</formula>
    </cfRule>
    <cfRule type="containsText" dxfId="382" priority="662" operator="containsText" text="Long Liquidation">
      <formula>NOT(ISERROR(SEARCH("Long Liquidation",S308)))</formula>
    </cfRule>
    <cfRule type="containsText" dxfId="381" priority="663" operator="containsText" text="Short covering">
      <formula>NOT(ISERROR(SEARCH("Short covering",S308)))</formula>
    </cfRule>
    <cfRule type="containsText" dxfId="380" priority="664" operator="containsText" text="Long Buildup">
      <formula>NOT(ISERROR(SEARCH("Long Buildup",S308)))</formula>
    </cfRule>
  </conditionalFormatting>
  <conditionalFormatting sqref="R325:R341 D325:D340 C341">
    <cfRule type="containsText" dxfId="379" priority="647" operator="containsText" text="DOWN">
      <formula>NOT(ISERROR(SEARCH("DOWN",C325)))</formula>
    </cfRule>
  </conditionalFormatting>
  <conditionalFormatting sqref="R325:R341 D325:D340 C341">
    <cfRule type="containsText" dxfId="378" priority="646" operator="containsText" text="UP">
      <formula>NOT(ISERROR(SEARCH("UP",C325)))</formula>
    </cfRule>
  </conditionalFormatting>
  <conditionalFormatting sqref="I325:I341">
    <cfRule type="colorScale" priority="648">
      <colorScale>
        <cfvo type="min"/>
        <cfvo type="max"/>
        <color rgb="FFFFEF9C"/>
        <color rgb="FF63BE7B"/>
      </colorScale>
    </cfRule>
  </conditionalFormatting>
  <conditionalFormatting sqref="M325:M341">
    <cfRule type="colorScale" priority="649">
      <colorScale>
        <cfvo type="min"/>
        <cfvo type="max"/>
        <color rgb="FFFF7128"/>
        <color rgb="FFFFEF9C"/>
      </colorScale>
    </cfRule>
  </conditionalFormatting>
  <conditionalFormatting sqref="Q325:Q341">
    <cfRule type="dataBar" priority="650">
      <dataBar>
        <cfvo type="min"/>
        <cfvo type="max"/>
        <color rgb="FFFF555A"/>
      </dataBar>
    </cfRule>
  </conditionalFormatting>
  <conditionalFormatting sqref="E325:E341">
    <cfRule type="dataBar" priority="651">
      <dataBar>
        <cfvo type="min"/>
        <cfvo type="max"/>
        <color rgb="FFFF555A"/>
      </dataBar>
    </cfRule>
  </conditionalFormatting>
  <conditionalFormatting sqref="F325:F341">
    <cfRule type="top10" dxfId="377" priority="652" rank="1"/>
  </conditionalFormatting>
  <conditionalFormatting sqref="P325:P340">
    <cfRule type="top10" dxfId="376" priority="653" rank="1"/>
  </conditionalFormatting>
  <conditionalFormatting sqref="G325:G341 O325:O340 P341">
    <cfRule type="cellIs" dxfId="375" priority="654" operator="equal">
      <formula>$G$135</formula>
    </cfRule>
  </conditionalFormatting>
  <conditionalFormatting sqref="O325:O340 P341">
    <cfRule type="cellIs" dxfId="374" priority="655" operator="equal">
      <formula>$J$135</formula>
    </cfRule>
  </conditionalFormatting>
  <conditionalFormatting sqref="G325:G341 O325:O340 P341">
    <cfRule type="cellIs" dxfId="373" priority="656" operator="equal">
      <formula>#REF!</formula>
    </cfRule>
  </conditionalFormatting>
  <conditionalFormatting sqref="G325:G341">
    <cfRule type="top10" dxfId="372" priority="657" rank="1"/>
    <cfRule type="cellIs" dxfId="371" priority="658" operator="equal">
      <formula>$G$133</formula>
    </cfRule>
  </conditionalFormatting>
  <conditionalFormatting sqref="O325:O340 P341">
    <cfRule type="top10" dxfId="370" priority="659" rank="1"/>
    <cfRule type="cellIs" dxfId="369" priority="660" operator="equal">
      <formula>$G$133</formula>
    </cfRule>
  </conditionalFormatting>
  <conditionalFormatting sqref="C325:C340">
    <cfRule type="containsText" dxfId="368" priority="642" operator="containsText" text="Short Buildup">
      <formula>NOT(ISERROR(SEARCH("Short Buildup",C325)))</formula>
    </cfRule>
    <cfRule type="containsText" dxfId="367" priority="643" operator="containsText" text="Long Liquidation">
      <formula>NOT(ISERROR(SEARCH("Long Liquidation",C325)))</formula>
    </cfRule>
    <cfRule type="containsText" dxfId="366" priority="644" operator="containsText" text="Short covering">
      <formula>NOT(ISERROR(SEARCH("Short covering",C325)))</formula>
    </cfRule>
    <cfRule type="containsText" dxfId="365" priority="645" operator="containsText" text="Long Buildup">
      <formula>NOT(ISERROR(SEARCH("Long Buildup",C325)))</formula>
    </cfRule>
  </conditionalFormatting>
  <conditionalFormatting sqref="H325:H341">
    <cfRule type="colorScale" priority="637">
      <colorScale>
        <cfvo type="min"/>
        <cfvo type="percentile" val="20"/>
        <cfvo type="max"/>
        <color rgb="FF92D050"/>
        <color theme="5" tint="0.79998168889431442"/>
        <color rgb="FFFF0000"/>
      </colorScale>
    </cfRule>
    <cfRule type="colorScale" priority="638">
      <colorScale>
        <cfvo type="min"/>
        <cfvo type="max"/>
        <color rgb="FFFF0000"/>
        <color rgb="FF92D050"/>
      </colorScale>
    </cfRule>
    <cfRule type="colorScale" priority="639">
      <colorScale>
        <cfvo type="min"/>
        <cfvo type="percentile" val="50"/>
        <cfvo type="max"/>
        <color rgb="FF5A8AC6"/>
        <color rgb="FFFCFCFF"/>
        <color rgb="FFF8696B"/>
      </colorScale>
    </cfRule>
    <cfRule type="colorScale" priority="640">
      <colorScale>
        <cfvo type="formula" val="&quot;&gt;20&quot;"/>
        <cfvo type="formula" val="35"/>
        <color rgb="FFF8696B"/>
        <color rgb="FFFCFCFF"/>
      </colorScale>
    </cfRule>
    <cfRule type="colorScale" priority="641">
      <colorScale>
        <cfvo type="min"/>
        <cfvo type="max"/>
        <color rgb="FFFFEF9C"/>
        <color rgb="FF63BE7B"/>
      </colorScale>
    </cfRule>
  </conditionalFormatting>
  <conditionalFormatting sqref="N325:N341">
    <cfRule type="colorScale" priority="632">
      <colorScale>
        <cfvo type="min"/>
        <cfvo type="percentile" val="20"/>
        <cfvo type="max"/>
        <color rgb="FF92D050"/>
        <color theme="5" tint="0.79998168889431442"/>
        <color rgb="FFFF0000"/>
      </colorScale>
    </cfRule>
    <cfRule type="colorScale" priority="633">
      <colorScale>
        <cfvo type="min"/>
        <cfvo type="max"/>
        <color rgb="FFFF0000"/>
        <color rgb="FF92D050"/>
      </colorScale>
    </cfRule>
    <cfRule type="colorScale" priority="634">
      <colorScale>
        <cfvo type="min"/>
        <cfvo type="percentile" val="50"/>
        <cfvo type="max"/>
        <color rgb="FF5A8AC6"/>
        <color rgb="FFFCFCFF"/>
        <color rgb="FFF8696B"/>
      </colorScale>
    </cfRule>
    <cfRule type="colorScale" priority="635">
      <colorScale>
        <cfvo type="formula" val="&quot;&gt;20&quot;"/>
        <cfvo type="formula" val="35"/>
        <color rgb="FFF8696B"/>
        <color rgb="FFFCFCFF"/>
      </colorScale>
    </cfRule>
    <cfRule type="colorScale" priority="636">
      <colorScale>
        <cfvo type="min"/>
        <cfvo type="max"/>
        <color rgb="FFFFEF9C"/>
        <color rgb="FF63BE7B"/>
      </colorScale>
    </cfRule>
  </conditionalFormatting>
  <conditionalFormatting sqref="S325:S341">
    <cfRule type="containsText" dxfId="364" priority="628" operator="containsText" text="Short Buildup">
      <formula>NOT(ISERROR(SEARCH("Short Buildup",S325)))</formula>
    </cfRule>
    <cfRule type="containsText" dxfId="363" priority="629" operator="containsText" text="Long Liquidation">
      <formula>NOT(ISERROR(SEARCH("Long Liquidation",S325)))</formula>
    </cfRule>
    <cfRule type="containsText" dxfId="362" priority="630" operator="containsText" text="Short covering">
      <formula>NOT(ISERROR(SEARCH("Short covering",S325)))</formula>
    </cfRule>
    <cfRule type="containsText" dxfId="361" priority="631" operator="containsText" text="Long Buildup">
      <formula>NOT(ISERROR(SEARCH("Long Buildup",S325)))</formula>
    </cfRule>
  </conditionalFormatting>
  <conditionalFormatting sqref="R342:R358 D342:D357 C358">
    <cfRule type="containsText" dxfId="360" priority="614" operator="containsText" text="DOWN">
      <formula>NOT(ISERROR(SEARCH("DOWN",C342)))</formula>
    </cfRule>
  </conditionalFormatting>
  <conditionalFormatting sqref="R342:R358 D342:D357 C358">
    <cfRule type="containsText" dxfId="359" priority="613" operator="containsText" text="UP">
      <formula>NOT(ISERROR(SEARCH("UP",C342)))</formula>
    </cfRule>
  </conditionalFormatting>
  <conditionalFormatting sqref="I342:I358">
    <cfRule type="colorScale" priority="615">
      <colorScale>
        <cfvo type="min"/>
        <cfvo type="max"/>
        <color rgb="FFFFEF9C"/>
        <color rgb="FF63BE7B"/>
      </colorScale>
    </cfRule>
  </conditionalFormatting>
  <conditionalFormatting sqref="M342:M358">
    <cfRule type="colorScale" priority="616">
      <colorScale>
        <cfvo type="min"/>
        <cfvo type="max"/>
        <color rgb="FFFF7128"/>
        <color rgb="FFFFEF9C"/>
      </colorScale>
    </cfRule>
  </conditionalFormatting>
  <conditionalFormatting sqref="Q342:Q358">
    <cfRule type="dataBar" priority="617">
      <dataBar>
        <cfvo type="min"/>
        <cfvo type="max"/>
        <color rgb="FFFF555A"/>
      </dataBar>
    </cfRule>
  </conditionalFormatting>
  <conditionalFormatting sqref="E342:E358">
    <cfRule type="dataBar" priority="618">
      <dataBar>
        <cfvo type="min"/>
        <cfvo type="max"/>
        <color rgb="FFFF555A"/>
      </dataBar>
    </cfRule>
  </conditionalFormatting>
  <conditionalFormatting sqref="F342:F358">
    <cfRule type="top10" dxfId="358" priority="619" rank="1"/>
  </conditionalFormatting>
  <conditionalFormatting sqref="P342:P357">
    <cfRule type="top10" dxfId="357" priority="620" rank="1"/>
  </conditionalFormatting>
  <conditionalFormatting sqref="G342:G358 O342:O357 P358">
    <cfRule type="cellIs" dxfId="356" priority="621" operator="equal">
      <formula>$G$135</formula>
    </cfRule>
  </conditionalFormatting>
  <conditionalFormatting sqref="O342:O357 P358">
    <cfRule type="cellIs" dxfId="355" priority="622" operator="equal">
      <formula>$J$135</formula>
    </cfRule>
  </conditionalFormatting>
  <conditionalFormatting sqref="G342:G358 O342:O357 P358">
    <cfRule type="cellIs" dxfId="354" priority="623" operator="equal">
      <formula>#REF!</formula>
    </cfRule>
  </conditionalFormatting>
  <conditionalFormatting sqref="G342:G358">
    <cfRule type="top10" dxfId="353" priority="624" rank="1"/>
    <cfRule type="cellIs" dxfId="352" priority="625" operator="equal">
      <formula>$G$133</formula>
    </cfRule>
  </conditionalFormatting>
  <conditionalFormatting sqref="O342:O357 P358">
    <cfRule type="top10" dxfId="351" priority="626" rank="1"/>
    <cfRule type="cellIs" dxfId="350" priority="627" operator="equal">
      <formula>$G$133</formula>
    </cfRule>
  </conditionalFormatting>
  <conditionalFormatting sqref="C342:C357">
    <cfRule type="containsText" dxfId="349" priority="609" operator="containsText" text="Short Buildup">
      <formula>NOT(ISERROR(SEARCH("Short Buildup",C342)))</formula>
    </cfRule>
    <cfRule type="containsText" dxfId="348" priority="610" operator="containsText" text="Long Liquidation">
      <formula>NOT(ISERROR(SEARCH("Long Liquidation",C342)))</formula>
    </cfRule>
    <cfRule type="containsText" dxfId="347" priority="611" operator="containsText" text="Short covering">
      <formula>NOT(ISERROR(SEARCH("Short covering",C342)))</formula>
    </cfRule>
    <cfRule type="containsText" dxfId="346" priority="612" operator="containsText" text="Long Buildup">
      <formula>NOT(ISERROR(SEARCH("Long Buildup",C342)))</formula>
    </cfRule>
  </conditionalFormatting>
  <conditionalFormatting sqref="H342:H358">
    <cfRule type="colorScale" priority="604">
      <colorScale>
        <cfvo type="min"/>
        <cfvo type="percentile" val="20"/>
        <cfvo type="max"/>
        <color rgb="FF92D050"/>
        <color theme="5" tint="0.79998168889431442"/>
        <color rgb="FFFF0000"/>
      </colorScale>
    </cfRule>
    <cfRule type="colorScale" priority="605">
      <colorScale>
        <cfvo type="min"/>
        <cfvo type="max"/>
        <color rgb="FFFF0000"/>
        <color rgb="FF92D050"/>
      </colorScale>
    </cfRule>
    <cfRule type="colorScale" priority="606">
      <colorScale>
        <cfvo type="min"/>
        <cfvo type="percentile" val="50"/>
        <cfvo type="max"/>
        <color rgb="FF5A8AC6"/>
        <color rgb="FFFCFCFF"/>
        <color rgb="FFF8696B"/>
      </colorScale>
    </cfRule>
    <cfRule type="colorScale" priority="607">
      <colorScale>
        <cfvo type="formula" val="&quot;&gt;20&quot;"/>
        <cfvo type="formula" val="35"/>
        <color rgb="FFF8696B"/>
        <color rgb="FFFCFCFF"/>
      </colorScale>
    </cfRule>
    <cfRule type="colorScale" priority="608">
      <colorScale>
        <cfvo type="min"/>
        <cfvo type="max"/>
        <color rgb="FFFFEF9C"/>
        <color rgb="FF63BE7B"/>
      </colorScale>
    </cfRule>
  </conditionalFormatting>
  <conditionalFormatting sqref="N342:N358">
    <cfRule type="colorScale" priority="599">
      <colorScale>
        <cfvo type="min"/>
        <cfvo type="percentile" val="20"/>
        <cfvo type="max"/>
        <color rgb="FF92D050"/>
        <color theme="5" tint="0.79998168889431442"/>
        <color rgb="FFFF0000"/>
      </colorScale>
    </cfRule>
    <cfRule type="colorScale" priority="600">
      <colorScale>
        <cfvo type="min"/>
        <cfvo type="max"/>
        <color rgb="FFFF0000"/>
        <color rgb="FF92D050"/>
      </colorScale>
    </cfRule>
    <cfRule type="colorScale" priority="601">
      <colorScale>
        <cfvo type="min"/>
        <cfvo type="percentile" val="50"/>
        <cfvo type="max"/>
        <color rgb="FF5A8AC6"/>
        <color rgb="FFFCFCFF"/>
        <color rgb="FFF8696B"/>
      </colorScale>
    </cfRule>
    <cfRule type="colorScale" priority="602">
      <colorScale>
        <cfvo type="formula" val="&quot;&gt;20&quot;"/>
        <cfvo type="formula" val="35"/>
        <color rgb="FFF8696B"/>
        <color rgb="FFFCFCFF"/>
      </colorScale>
    </cfRule>
    <cfRule type="colorScale" priority="603">
      <colorScale>
        <cfvo type="min"/>
        <cfvo type="max"/>
        <color rgb="FFFFEF9C"/>
        <color rgb="FF63BE7B"/>
      </colorScale>
    </cfRule>
  </conditionalFormatting>
  <conditionalFormatting sqref="S342:S358">
    <cfRule type="containsText" dxfId="345" priority="595" operator="containsText" text="Short Buildup">
      <formula>NOT(ISERROR(SEARCH("Short Buildup",S342)))</formula>
    </cfRule>
    <cfRule type="containsText" dxfId="344" priority="596" operator="containsText" text="Long Liquidation">
      <formula>NOT(ISERROR(SEARCH("Long Liquidation",S342)))</formula>
    </cfRule>
    <cfRule type="containsText" dxfId="343" priority="597" operator="containsText" text="Short covering">
      <formula>NOT(ISERROR(SEARCH("Short covering",S342)))</formula>
    </cfRule>
    <cfRule type="containsText" dxfId="342" priority="598" operator="containsText" text="Long Buildup">
      <formula>NOT(ISERROR(SEARCH("Long Buildup",S342)))</formula>
    </cfRule>
  </conditionalFormatting>
  <conditionalFormatting sqref="R359:R375 D359:D374 C375">
    <cfRule type="containsText" dxfId="341" priority="581" operator="containsText" text="DOWN">
      <formula>NOT(ISERROR(SEARCH("DOWN",C359)))</formula>
    </cfRule>
  </conditionalFormatting>
  <conditionalFormatting sqref="R359:R375 D359:D374 C375">
    <cfRule type="containsText" dxfId="340" priority="580" operator="containsText" text="UP">
      <formula>NOT(ISERROR(SEARCH("UP",C359)))</formula>
    </cfRule>
  </conditionalFormatting>
  <conditionalFormatting sqref="I359:I375">
    <cfRule type="colorScale" priority="582">
      <colorScale>
        <cfvo type="min"/>
        <cfvo type="max"/>
        <color rgb="FFFFEF9C"/>
        <color rgb="FF63BE7B"/>
      </colorScale>
    </cfRule>
  </conditionalFormatting>
  <conditionalFormatting sqref="M359:M375">
    <cfRule type="colorScale" priority="583">
      <colorScale>
        <cfvo type="min"/>
        <cfvo type="max"/>
        <color rgb="FFFF7128"/>
        <color rgb="FFFFEF9C"/>
      </colorScale>
    </cfRule>
  </conditionalFormatting>
  <conditionalFormatting sqref="Q359:Q375">
    <cfRule type="dataBar" priority="584">
      <dataBar>
        <cfvo type="min"/>
        <cfvo type="max"/>
        <color rgb="FFFF555A"/>
      </dataBar>
    </cfRule>
  </conditionalFormatting>
  <conditionalFormatting sqref="E359:E375">
    <cfRule type="dataBar" priority="585">
      <dataBar>
        <cfvo type="min"/>
        <cfvo type="max"/>
        <color rgb="FFFF555A"/>
      </dataBar>
    </cfRule>
  </conditionalFormatting>
  <conditionalFormatting sqref="F359:F375">
    <cfRule type="top10" dxfId="339" priority="586" rank="1"/>
  </conditionalFormatting>
  <conditionalFormatting sqref="P359:P374">
    <cfRule type="top10" dxfId="338" priority="587" rank="1"/>
  </conditionalFormatting>
  <conditionalFormatting sqref="G359:G375 O359:O374 P375">
    <cfRule type="cellIs" dxfId="337" priority="588" operator="equal">
      <formula>$G$135</formula>
    </cfRule>
  </conditionalFormatting>
  <conditionalFormatting sqref="O359:O374 P375">
    <cfRule type="cellIs" dxfId="336" priority="589" operator="equal">
      <formula>$J$135</formula>
    </cfRule>
  </conditionalFormatting>
  <conditionalFormatting sqref="G359:G375 O359:O374 P375">
    <cfRule type="cellIs" dxfId="335" priority="590" operator="equal">
      <formula>#REF!</formula>
    </cfRule>
  </conditionalFormatting>
  <conditionalFormatting sqref="G359:G375">
    <cfRule type="top10" dxfId="334" priority="591" rank="1"/>
    <cfRule type="cellIs" dxfId="333" priority="592" operator="equal">
      <formula>$G$133</formula>
    </cfRule>
  </conditionalFormatting>
  <conditionalFormatting sqref="O359:O374 P375">
    <cfRule type="top10" dxfId="332" priority="593" rank="1"/>
    <cfRule type="cellIs" dxfId="331" priority="594" operator="equal">
      <formula>$G$133</formula>
    </cfRule>
  </conditionalFormatting>
  <conditionalFormatting sqref="C359:C374">
    <cfRule type="containsText" dxfId="330" priority="576" operator="containsText" text="Short Buildup">
      <formula>NOT(ISERROR(SEARCH("Short Buildup",C359)))</formula>
    </cfRule>
    <cfRule type="containsText" dxfId="329" priority="577" operator="containsText" text="Long Liquidation">
      <formula>NOT(ISERROR(SEARCH("Long Liquidation",C359)))</formula>
    </cfRule>
    <cfRule type="containsText" dxfId="328" priority="578" operator="containsText" text="Short covering">
      <formula>NOT(ISERROR(SEARCH("Short covering",C359)))</formula>
    </cfRule>
    <cfRule type="containsText" dxfId="327" priority="579" operator="containsText" text="Long Buildup">
      <formula>NOT(ISERROR(SEARCH("Long Buildup",C359)))</formula>
    </cfRule>
  </conditionalFormatting>
  <conditionalFormatting sqref="H359:H375">
    <cfRule type="colorScale" priority="571">
      <colorScale>
        <cfvo type="min"/>
        <cfvo type="percentile" val="20"/>
        <cfvo type="max"/>
        <color rgb="FF92D050"/>
        <color theme="5" tint="0.79998168889431442"/>
        <color rgb="FFFF0000"/>
      </colorScale>
    </cfRule>
    <cfRule type="colorScale" priority="572">
      <colorScale>
        <cfvo type="min"/>
        <cfvo type="max"/>
        <color rgb="FFFF0000"/>
        <color rgb="FF92D050"/>
      </colorScale>
    </cfRule>
    <cfRule type="colorScale" priority="573">
      <colorScale>
        <cfvo type="min"/>
        <cfvo type="percentile" val="50"/>
        <cfvo type="max"/>
        <color rgb="FF5A8AC6"/>
        <color rgb="FFFCFCFF"/>
        <color rgb="FFF8696B"/>
      </colorScale>
    </cfRule>
    <cfRule type="colorScale" priority="574">
      <colorScale>
        <cfvo type="formula" val="&quot;&gt;20&quot;"/>
        <cfvo type="formula" val="35"/>
        <color rgb="FFF8696B"/>
        <color rgb="FFFCFCFF"/>
      </colorScale>
    </cfRule>
    <cfRule type="colorScale" priority="575">
      <colorScale>
        <cfvo type="min"/>
        <cfvo type="max"/>
        <color rgb="FFFFEF9C"/>
        <color rgb="FF63BE7B"/>
      </colorScale>
    </cfRule>
  </conditionalFormatting>
  <conditionalFormatting sqref="N359:N375">
    <cfRule type="colorScale" priority="566">
      <colorScale>
        <cfvo type="min"/>
        <cfvo type="percentile" val="20"/>
        <cfvo type="max"/>
        <color rgb="FF92D050"/>
        <color theme="5" tint="0.79998168889431442"/>
        <color rgb="FFFF0000"/>
      </colorScale>
    </cfRule>
    <cfRule type="colorScale" priority="567">
      <colorScale>
        <cfvo type="min"/>
        <cfvo type="max"/>
        <color rgb="FFFF0000"/>
        <color rgb="FF92D050"/>
      </colorScale>
    </cfRule>
    <cfRule type="colorScale" priority="568">
      <colorScale>
        <cfvo type="min"/>
        <cfvo type="percentile" val="50"/>
        <cfvo type="max"/>
        <color rgb="FF5A8AC6"/>
        <color rgb="FFFCFCFF"/>
        <color rgb="FFF8696B"/>
      </colorScale>
    </cfRule>
    <cfRule type="colorScale" priority="569">
      <colorScale>
        <cfvo type="formula" val="&quot;&gt;20&quot;"/>
        <cfvo type="formula" val="35"/>
        <color rgb="FFF8696B"/>
        <color rgb="FFFCFCFF"/>
      </colorScale>
    </cfRule>
    <cfRule type="colorScale" priority="570">
      <colorScale>
        <cfvo type="min"/>
        <cfvo type="max"/>
        <color rgb="FFFFEF9C"/>
        <color rgb="FF63BE7B"/>
      </colorScale>
    </cfRule>
  </conditionalFormatting>
  <conditionalFormatting sqref="S359:S375">
    <cfRule type="containsText" dxfId="326" priority="562" operator="containsText" text="Short Buildup">
      <formula>NOT(ISERROR(SEARCH("Short Buildup",S359)))</formula>
    </cfRule>
    <cfRule type="containsText" dxfId="325" priority="563" operator="containsText" text="Long Liquidation">
      <formula>NOT(ISERROR(SEARCH("Long Liquidation",S359)))</formula>
    </cfRule>
    <cfRule type="containsText" dxfId="324" priority="564" operator="containsText" text="Short covering">
      <formula>NOT(ISERROR(SEARCH("Short covering",S359)))</formula>
    </cfRule>
    <cfRule type="containsText" dxfId="323" priority="565" operator="containsText" text="Long Buildup">
      <formula>NOT(ISERROR(SEARCH("Long Buildup",S359)))</formula>
    </cfRule>
  </conditionalFormatting>
  <conditionalFormatting sqref="R376:R392 D376:D391 C392">
    <cfRule type="containsText" dxfId="322" priority="548" operator="containsText" text="DOWN">
      <formula>NOT(ISERROR(SEARCH("DOWN",C376)))</formula>
    </cfRule>
  </conditionalFormatting>
  <conditionalFormatting sqref="R376:R392 D376:D391 C392">
    <cfRule type="containsText" dxfId="321" priority="547" operator="containsText" text="UP">
      <formula>NOT(ISERROR(SEARCH("UP",C376)))</formula>
    </cfRule>
  </conditionalFormatting>
  <conditionalFormatting sqref="I376:I392">
    <cfRule type="colorScale" priority="549">
      <colorScale>
        <cfvo type="min"/>
        <cfvo type="max"/>
        <color rgb="FFFFEF9C"/>
        <color rgb="FF63BE7B"/>
      </colorScale>
    </cfRule>
  </conditionalFormatting>
  <conditionalFormatting sqref="M376:M392">
    <cfRule type="colorScale" priority="550">
      <colorScale>
        <cfvo type="min"/>
        <cfvo type="max"/>
        <color rgb="FFFF7128"/>
        <color rgb="FFFFEF9C"/>
      </colorScale>
    </cfRule>
  </conditionalFormatting>
  <conditionalFormatting sqref="Q376:Q392">
    <cfRule type="dataBar" priority="551">
      <dataBar>
        <cfvo type="min"/>
        <cfvo type="max"/>
        <color rgb="FFFF555A"/>
      </dataBar>
    </cfRule>
  </conditionalFormatting>
  <conditionalFormatting sqref="E376:E392">
    <cfRule type="dataBar" priority="552">
      <dataBar>
        <cfvo type="min"/>
        <cfvo type="max"/>
        <color rgb="FFFF555A"/>
      </dataBar>
    </cfRule>
  </conditionalFormatting>
  <conditionalFormatting sqref="F376:F392">
    <cfRule type="top10" dxfId="320" priority="553" rank="1"/>
  </conditionalFormatting>
  <conditionalFormatting sqref="P376:P391">
    <cfRule type="top10" dxfId="319" priority="554" rank="1"/>
  </conditionalFormatting>
  <conditionalFormatting sqref="G376:G392 O376:O391 P392">
    <cfRule type="cellIs" dxfId="318" priority="555" operator="equal">
      <formula>$G$135</formula>
    </cfRule>
  </conditionalFormatting>
  <conditionalFormatting sqref="O376:O391 P392">
    <cfRule type="cellIs" dxfId="317" priority="556" operator="equal">
      <formula>$J$135</formula>
    </cfRule>
  </conditionalFormatting>
  <conditionalFormatting sqref="G376:G392 O376:O391 P392">
    <cfRule type="cellIs" dxfId="316" priority="557" operator="equal">
      <formula>#REF!</formula>
    </cfRule>
  </conditionalFormatting>
  <conditionalFormatting sqref="G376:G392">
    <cfRule type="top10" dxfId="315" priority="558" rank="1"/>
    <cfRule type="cellIs" dxfId="314" priority="559" operator="equal">
      <formula>$G$133</formula>
    </cfRule>
  </conditionalFormatting>
  <conditionalFormatting sqref="O376:O391 P392">
    <cfRule type="top10" dxfId="313" priority="560" rank="1"/>
    <cfRule type="cellIs" dxfId="312" priority="561" operator="equal">
      <formula>$G$133</formula>
    </cfRule>
  </conditionalFormatting>
  <conditionalFormatting sqref="C376:C391">
    <cfRule type="containsText" dxfId="311" priority="543" operator="containsText" text="Short Buildup">
      <formula>NOT(ISERROR(SEARCH("Short Buildup",C376)))</formula>
    </cfRule>
    <cfRule type="containsText" dxfId="310" priority="544" operator="containsText" text="Long Liquidation">
      <formula>NOT(ISERROR(SEARCH("Long Liquidation",C376)))</formula>
    </cfRule>
    <cfRule type="containsText" dxfId="309" priority="545" operator="containsText" text="Short covering">
      <formula>NOT(ISERROR(SEARCH("Short covering",C376)))</formula>
    </cfRule>
    <cfRule type="containsText" dxfId="308" priority="546" operator="containsText" text="Long Buildup">
      <formula>NOT(ISERROR(SEARCH("Long Buildup",C376)))</formula>
    </cfRule>
  </conditionalFormatting>
  <conditionalFormatting sqref="H376:H392">
    <cfRule type="colorScale" priority="538">
      <colorScale>
        <cfvo type="min"/>
        <cfvo type="percentile" val="20"/>
        <cfvo type="max"/>
        <color rgb="FF92D050"/>
        <color theme="5" tint="0.79998168889431442"/>
        <color rgb="FFFF0000"/>
      </colorScale>
    </cfRule>
    <cfRule type="colorScale" priority="539">
      <colorScale>
        <cfvo type="min"/>
        <cfvo type="max"/>
        <color rgb="FFFF0000"/>
        <color rgb="FF92D050"/>
      </colorScale>
    </cfRule>
    <cfRule type="colorScale" priority="540">
      <colorScale>
        <cfvo type="min"/>
        <cfvo type="percentile" val="50"/>
        <cfvo type="max"/>
        <color rgb="FF5A8AC6"/>
        <color rgb="FFFCFCFF"/>
        <color rgb="FFF8696B"/>
      </colorScale>
    </cfRule>
    <cfRule type="colorScale" priority="541">
      <colorScale>
        <cfvo type="formula" val="&quot;&gt;20&quot;"/>
        <cfvo type="formula" val="35"/>
        <color rgb="FFF8696B"/>
        <color rgb="FFFCFCFF"/>
      </colorScale>
    </cfRule>
    <cfRule type="colorScale" priority="542">
      <colorScale>
        <cfvo type="min"/>
        <cfvo type="max"/>
        <color rgb="FFFFEF9C"/>
        <color rgb="FF63BE7B"/>
      </colorScale>
    </cfRule>
  </conditionalFormatting>
  <conditionalFormatting sqref="N376:N392">
    <cfRule type="colorScale" priority="533">
      <colorScale>
        <cfvo type="min"/>
        <cfvo type="percentile" val="20"/>
        <cfvo type="max"/>
        <color rgb="FF92D050"/>
        <color theme="5" tint="0.79998168889431442"/>
        <color rgb="FFFF0000"/>
      </colorScale>
    </cfRule>
    <cfRule type="colorScale" priority="534">
      <colorScale>
        <cfvo type="min"/>
        <cfvo type="max"/>
        <color rgb="FFFF0000"/>
        <color rgb="FF92D050"/>
      </colorScale>
    </cfRule>
    <cfRule type="colorScale" priority="535">
      <colorScale>
        <cfvo type="min"/>
        <cfvo type="percentile" val="50"/>
        <cfvo type="max"/>
        <color rgb="FF5A8AC6"/>
        <color rgb="FFFCFCFF"/>
        <color rgb="FFF8696B"/>
      </colorScale>
    </cfRule>
    <cfRule type="colorScale" priority="536">
      <colorScale>
        <cfvo type="formula" val="&quot;&gt;20&quot;"/>
        <cfvo type="formula" val="35"/>
        <color rgb="FFF8696B"/>
        <color rgb="FFFCFCFF"/>
      </colorScale>
    </cfRule>
    <cfRule type="colorScale" priority="537">
      <colorScale>
        <cfvo type="min"/>
        <cfvo type="max"/>
        <color rgb="FFFFEF9C"/>
        <color rgb="FF63BE7B"/>
      </colorScale>
    </cfRule>
  </conditionalFormatting>
  <conditionalFormatting sqref="S376:S392">
    <cfRule type="containsText" dxfId="307" priority="529" operator="containsText" text="Short Buildup">
      <formula>NOT(ISERROR(SEARCH("Short Buildup",S376)))</formula>
    </cfRule>
    <cfRule type="containsText" dxfId="306" priority="530" operator="containsText" text="Long Liquidation">
      <formula>NOT(ISERROR(SEARCH("Long Liquidation",S376)))</formula>
    </cfRule>
    <cfRule type="containsText" dxfId="305" priority="531" operator="containsText" text="Short covering">
      <formula>NOT(ISERROR(SEARCH("Short covering",S376)))</formula>
    </cfRule>
    <cfRule type="containsText" dxfId="304" priority="532" operator="containsText" text="Long Buildup">
      <formula>NOT(ISERROR(SEARCH("Long Buildup",S376)))</formula>
    </cfRule>
  </conditionalFormatting>
  <conditionalFormatting sqref="R393:R409 D393:D408 C409">
    <cfRule type="containsText" dxfId="303" priority="515" operator="containsText" text="DOWN">
      <formula>NOT(ISERROR(SEARCH("DOWN",C393)))</formula>
    </cfRule>
  </conditionalFormatting>
  <conditionalFormatting sqref="R393:R409 D393:D408 C409">
    <cfRule type="containsText" dxfId="302" priority="514" operator="containsText" text="UP">
      <formula>NOT(ISERROR(SEARCH("UP",C393)))</formula>
    </cfRule>
  </conditionalFormatting>
  <conditionalFormatting sqref="I393:I409">
    <cfRule type="colorScale" priority="516">
      <colorScale>
        <cfvo type="min"/>
        <cfvo type="max"/>
        <color rgb="FFFFEF9C"/>
        <color rgb="FF63BE7B"/>
      </colorScale>
    </cfRule>
  </conditionalFormatting>
  <conditionalFormatting sqref="M393:M409">
    <cfRule type="colorScale" priority="517">
      <colorScale>
        <cfvo type="min"/>
        <cfvo type="max"/>
        <color rgb="FFFF7128"/>
        <color rgb="FFFFEF9C"/>
      </colorScale>
    </cfRule>
  </conditionalFormatting>
  <conditionalFormatting sqref="Q393:Q409">
    <cfRule type="dataBar" priority="518">
      <dataBar>
        <cfvo type="min"/>
        <cfvo type="max"/>
        <color rgb="FFFF555A"/>
      </dataBar>
    </cfRule>
  </conditionalFormatting>
  <conditionalFormatting sqref="E393:E409">
    <cfRule type="dataBar" priority="519">
      <dataBar>
        <cfvo type="min"/>
        <cfvo type="max"/>
        <color rgb="FFFF555A"/>
      </dataBar>
    </cfRule>
  </conditionalFormatting>
  <conditionalFormatting sqref="F393:F409">
    <cfRule type="top10" dxfId="301" priority="520" rank="1"/>
  </conditionalFormatting>
  <conditionalFormatting sqref="P393:P408">
    <cfRule type="top10" dxfId="300" priority="521" rank="1"/>
  </conditionalFormatting>
  <conditionalFormatting sqref="G393:G409 O393:O408 P409">
    <cfRule type="cellIs" dxfId="299" priority="522" operator="equal">
      <formula>$G$135</formula>
    </cfRule>
  </conditionalFormatting>
  <conditionalFormatting sqref="O393:O408 P409">
    <cfRule type="cellIs" dxfId="298" priority="523" operator="equal">
      <formula>$J$135</formula>
    </cfRule>
  </conditionalFormatting>
  <conditionalFormatting sqref="G393:G409 O393:O408 P409">
    <cfRule type="cellIs" dxfId="297" priority="524" operator="equal">
      <formula>#REF!</formula>
    </cfRule>
  </conditionalFormatting>
  <conditionalFormatting sqref="G393:G409">
    <cfRule type="top10" dxfId="296" priority="525" rank="1"/>
    <cfRule type="cellIs" dxfId="295" priority="526" operator="equal">
      <formula>$G$133</formula>
    </cfRule>
  </conditionalFormatting>
  <conditionalFormatting sqref="O393:O408 P409">
    <cfRule type="top10" dxfId="294" priority="527" rank="1"/>
    <cfRule type="cellIs" dxfId="293" priority="528" operator="equal">
      <formula>$G$133</formula>
    </cfRule>
  </conditionalFormatting>
  <conditionalFormatting sqref="C393:C408">
    <cfRule type="containsText" dxfId="292" priority="510" operator="containsText" text="Short Buildup">
      <formula>NOT(ISERROR(SEARCH("Short Buildup",C393)))</formula>
    </cfRule>
    <cfRule type="containsText" dxfId="291" priority="511" operator="containsText" text="Long Liquidation">
      <formula>NOT(ISERROR(SEARCH("Long Liquidation",C393)))</formula>
    </cfRule>
    <cfRule type="containsText" dxfId="290" priority="512" operator="containsText" text="Short covering">
      <formula>NOT(ISERROR(SEARCH("Short covering",C393)))</formula>
    </cfRule>
    <cfRule type="containsText" dxfId="289" priority="513" operator="containsText" text="Long Buildup">
      <formula>NOT(ISERROR(SEARCH("Long Buildup",C393)))</formula>
    </cfRule>
  </conditionalFormatting>
  <conditionalFormatting sqref="H393:H409">
    <cfRule type="colorScale" priority="505">
      <colorScale>
        <cfvo type="min"/>
        <cfvo type="percentile" val="20"/>
        <cfvo type="max"/>
        <color rgb="FF92D050"/>
        <color theme="5" tint="0.79998168889431442"/>
        <color rgb="FFFF0000"/>
      </colorScale>
    </cfRule>
    <cfRule type="colorScale" priority="506">
      <colorScale>
        <cfvo type="min"/>
        <cfvo type="max"/>
        <color rgb="FFFF0000"/>
        <color rgb="FF92D050"/>
      </colorScale>
    </cfRule>
    <cfRule type="colorScale" priority="507">
      <colorScale>
        <cfvo type="min"/>
        <cfvo type="percentile" val="50"/>
        <cfvo type="max"/>
        <color rgb="FF5A8AC6"/>
        <color rgb="FFFCFCFF"/>
        <color rgb="FFF8696B"/>
      </colorScale>
    </cfRule>
    <cfRule type="colorScale" priority="508">
      <colorScale>
        <cfvo type="formula" val="&quot;&gt;20&quot;"/>
        <cfvo type="formula" val="35"/>
        <color rgb="FFF8696B"/>
        <color rgb="FFFCFCFF"/>
      </colorScale>
    </cfRule>
    <cfRule type="colorScale" priority="509">
      <colorScale>
        <cfvo type="min"/>
        <cfvo type="max"/>
        <color rgb="FFFFEF9C"/>
        <color rgb="FF63BE7B"/>
      </colorScale>
    </cfRule>
  </conditionalFormatting>
  <conditionalFormatting sqref="N393:N409">
    <cfRule type="colorScale" priority="500">
      <colorScale>
        <cfvo type="min"/>
        <cfvo type="percentile" val="20"/>
        <cfvo type="max"/>
        <color rgb="FF92D050"/>
        <color theme="5" tint="0.79998168889431442"/>
        <color rgb="FFFF0000"/>
      </colorScale>
    </cfRule>
    <cfRule type="colorScale" priority="501">
      <colorScale>
        <cfvo type="min"/>
        <cfvo type="max"/>
        <color rgb="FFFF0000"/>
        <color rgb="FF92D050"/>
      </colorScale>
    </cfRule>
    <cfRule type="colorScale" priority="502">
      <colorScale>
        <cfvo type="min"/>
        <cfvo type="percentile" val="50"/>
        <cfvo type="max"/>
        <color rgb="FF5A8AC6"/>
        <color rgb="FFFCFCFF"/>
        <color rgb="FFF8696B"/>
      </colorScale>
    </cfRule>
    <cfRule type="colorScale" priority="503">
      <colorScale>
        <cfvo type="formula" val="&quot;&gt;20&quot;"/>
        <cfvo type="formula" val="35"/>
        <color rgb="FFF8696B"/>
        <color rgb="FFFCFCFF"/>
      </colorScale>
    </cfRule>
    <cfRule type="colorScale" priority="504">
      <colorScale>
        <cfvo type="min"/>
        <cfvo type="max"/>
        <color rgb="FFFFEF9C"/>
        <color rgb="FF63BE7B"/>
      </colorScale>
    </cfRule>
  </conditionalFormatting>
  <conditionalFormatting sqref="S393:S409">
    <cfRule type="containsText" dxfId="288" priority="496" operator="containsText" text="Short Buildup">
      <formula>NOT(ISERROR(SEARCH("Short Buildup",S393)))</formula>
    </cfRule>
    <cfRule type="containsText" dxfId="287" priority="497" operator="containsText" text="Long Liquidation">
      <formula>NOT(ISERROR(SEARCH("Long Liquidation",S393)))</formula>
    </cfRule>
    <cfRule type="containsText" dxfId="286" priority="498" operator="containsText" text="Short covering">
      <formula>NOT(ISERROR(SEARCH("Short covering",S393)))</formula>
    </cfRule>
    <cfRule type="containsText" dxfId="285" priority="499" operator="containsText" text="Long Buildup">
      <formula>NOT(ISERROR(SEARCH("Long Buildup",S393)))</formula>
    </cfRule>
  </conditionalFormatting>
  <conditionalFormatting sqref="R410:R426 D410:D425 C426">
    <cfRule type="containsText" dxfId="284" priority="482" operator="containsText" text="DOWN">
      <formula>NOT(ISERROR(SEARCH("DOWN",C410)))</formula>
    </cfRule>
  </conditionalFormatting>
  <conditionalFormatting sqref="R410:R426 D410:D425 C426">
    <cfRule type="containsText" dxfId="283" priority="481" operator="containsText" text="UP">
      <formula>NOT(ISERROR(SEARCH("UP",C410)))</formula>
    </cfRule>
  </conditionalFormatting>
  <conditionalFormatting sqref="I410:I426">
    <cfRule type="colorScale" priority="483">
      <colorScale>
        <cfvo type="min"/>
        <cfvo type="max"/>
        <color rgb="FFFFEF9C"/>
        <color rgb="FF63BE7B"/>
      </colorScale>
    </cfRule>
  </conditionalFormatting>
  <conditionalFormatting sqref="M410:M426">
    <cfRule type="colorScale" priority="484">
      <colorScale>
        <cfvo type="min"/>
        <cfvo type="max"/>
        <color rgb="FFFF7128"/>
        <color rgb="FFFFEF9C"/>
      </colorScale>
    </cfRule>
  </conditionalFormatting>
  <conditionalFormatting sqref="Q410:Q426">
    <cfRule type="dataBar" priority="485">
      <dataBar>
        <cfvo type="min"/>
        <cfvo type="max"/>
        <color rgb="FFFF555A"/>
      </dataBar>
    </cfRule>
  </conditionalFormatting>
  <conditionalFormatting sqref="E410:E426">
    <cfRule type="dataBar" priority="486">
      <dataBar>
        <cfvo type="min"/>
        <cfvo type="max"/>
        <color rgb="FFFF555A"/>
      </dataBar>
    </cfRule>
  </conditionalFormatting>
  <conditionalFormatting sqref="F410:F426">
    <cfRule type="top10" dxfId="282" priority="487" rank="1"/>
  </conditionalFormatting>
  <conditionalFormatting sqref="P410:P425">
    <cfRule type="top10" dxfId="281" priority="488" rank="1"/>
  </conditionalFormatting>
  <conditionalFormatting sqref="G410:G426 O410:O425 P426">
    <cfRule type="cellIs" dxfId="280" priority="489" operator="equal">
      <formula>$G$135</formula>
    </cfRule>
  </conditionalFormatting>
  <conditionalFormatting sqref="O410:O425 P426">
    <cfRule type="cellIs" dxfId="279" priority="490" operator="equal">
      <formula>$J$135</formula>
    </cfRule>
  </conditionalFormatting>
  <conditionalFormatting sqref="G410:G426 O410:O425 P426">
    <cfRule type="cellIs" dxfId="278" priority="491" operator="equal">
      <formula>#REF!</formula>
    </cfRule>
  </conditionalFormatting>
  <conditionalFormatting sqref="G410:G426">
    <cfRule type="top10" dxfId="277" priority="492" rank="1"/>
    <cfRule type="cellIs" dxfId="276" priority="493" operator="equal">
      <formula>$G$133</formula>
    </cfRule>
  </conditionalFormatting>
  <conditionalFormatting sqref="O410:O425 P426">
    <cfRule type="top10" dxfId="275" priority="494" rank="1"/>
    <cfRule type="cellIs" dxfId="274" priority="495" operator="equal">
      <formula>$G$133</formula>
    </cfRule>
  </conditionalFormatting>
  <conditionalFormatting sqref="C410:C425">
    <cfRule type="containsText" dxfId="273" priority="477" operator="containsText" text="Short Buildup">
      <formula>NOT(ISERROR(SEARCH("Short Buildup",C410)))</formula>
    </cfRule>
    <cfRule type="containsText" dxfId="272" priority="478" operator="containsText" text="Long Liquidation">
      <formula>NOT(ISERROR(SEARCH("Long Liquidation",C410)))</formula>
    </cfRule>
    <cfRule type="containsText" dxfId="271" priority="479" operator="containsText" text="Short covering">
      <formula>NOT(ISERROR(SEARCH("Short covering",C410)))</formula>
    </cfRule>
    <cfRule type="containsText" dxfId="270" priority="480" operator="containsText" text="Long Buildup">
      <formula>NOT(ISERROR(SEARCH("Long Buildup",C410)))</formula>
    </cfRule>
  </conditionalFormatting>
  <conditionalFormatting sqref="H410:H426">
    <cfRule type="colorScale" priority="472">
      <colorScale>
        <cfvo type="min"/>
        <cfvo type="percentile" val="20"/>
        <cfvo type="max"/>
        <color rgb="FF92D050"/>
        <color theme="5" tint="0.79998168889431442"/>
        <color rgb="FFFF0000"/>
      </colorScale>
    </cfRule>
    <cfRule type="colorScale" priority="473">
      <colorScale>
        <cfvo type="min"/>
        <cfvo type="max"/>
        <color rgb="FFFF0000"/>
        <color rgb="FF92D050"/>
      </colorScale>
    </cfRule>
    <cfRule type="colorScale" priority="474">
      <colorScale>
        <cfvo type="min"/>
        <cfvo type="percentile" val="50"/>
        <cfvo type="max"/>
        <color rgb="FF5A8AC6"/>
        <color rgb="FFFCFCFF"/>
        <color rgb="FFF8696B"/>
      </colorScale>
    </cfRule>
    <cfRule type="colorScale" priority="475">
      <colorScale>
        <cfvo type="formula" val="&quot;&gt;20&quot;"/>
        <cfvo type="formula" val="35"/>
        <color rgb="FFF8696B"/>
        <color rgb="FFFCFCFF"/>
      </colorScale>
    </cfRule>
    <cfRule type="colorScale" priority="476">
      <colorScale>
        <cfvo type="min"/>
        <cfvo type="max"/>
        <color rgb="FFFFEF9C"/>
        <color rgb="FF63BE7B"/>
      </colorScale>
    </cfRule>
  </conditionalFormatting>
  <conditionalFormatting sqref="N410:N426">
    <cfRule type="colorScale" priority="467">
      <colorScale>
        <cfvo type="min"/>
        <cfvo type="percentile" val="20"/>
        <cfvo type="max"/>
        <color rgb="FF92D050"/>
        <color theme="5" tint="0.79998168889431442"/>
        <color rgb="FFFF0000"/>
      </colorScale>
    </cfRule>
    <cfRule type="colorScale" priority="468">
      <colorScale>
        <cfvo type="min"/>
        <cfvo type="max"/>
        <color rgb="FFFF0000"/>
        <color rgb="FF92D050"/>
      </colorScale>
    </cfRule>
    <cfRule type="colorScale" priority="469">
      <colorScale>
        <cfvo type="min"/>
        <cfvo type="percentile" val="50"/>
        <cfvo type="max"/>
        <color rgb="FF5A8AC6"/>
        <color rgb="FFFCFCFF"/>
        <color rgb="FFF8696B"/>
      </colorScale>
    </cfRule>
    <cfRule type="colorScale" priority="470">
      <colorScale>
        <cfvo type="formula" val="&quot;&gt;20&quot;"/>
        <cfvo type="formula" val="35"/>
        <color rgb="FFF8696B"/>
        <color rgb="FFFCFCFF"/>
      </colorScale>
    </cfRule>
    <cfRule type="colorScale" priority="471">
      <colorScale>
        <cfvo type="min"/>
        <cfvo type="max"/>
        <color rgb="FFFFEF9C"/>
        <color rgb="FF63BE7B"/>
      </colorScale>
    </cfRule>
  </conditionalFormatting>
  <conditionalFormatting sqref="S410:S426">
    <cfRule type="containsText" dxfId="269" priority="463" operator="containsText" text="Short Buildup">
      <formula>NOT(ISERROR(SEARCH("Short Buildup",S410)))</formula>
    </cfRule>
    <cfRule type="containsText" dxfId="268" priority="464" operator="containsText" text="Long Liquidation">
      <formula>NOT(ISERROR(SEARCH("Long Liquidation",S410)))</formula>
    </cfRule>
    <cfRule type="containsText" dxfId="267" priority="465" operator="containsText" text="Short covering">
      <formula>NOT(ISERROR(SEARCH("Short covering",S410)))</formula>
    </cfRule>
    <cfRule type="containsText" dxfId="266" priority="466" operator="containsText" text="Long Buildup">
      <formula>NOT(ISERROR(SEARCH("Long Buildup",S410)))</formula>
    </cfRule>
  </conditionalFormatting>
  <conditionalFormatting sqref="R427:R443 D427:D442 C443">
    <cfRule type="containsText" dxfId="265" priority="449" operator="containsText" text="DOWN">
      <formula>NOT(ISERROR(SEARCH("DOWN",C427)))</formula>
    </cfRule>
  </conditionalFormatting>
  <conditionalFormatting sqref="R427:R443 D427:D442 C443">
    <cfRule type="containsText" dxfId="264" priority="448" operator="containsText" text="UP">
      <formula>NOT(ISERROR(SEARCH("UP",C427)))</formula>
    </cfRule>
  </conditionalFormatting>
  <conditionalFormatting sqref="I427:I443">
    <cfRule type="colorScale" priority="450">
      <colorScale>
        <cfvo type="min"/>
        <cfvo type="max"/>
        <color rgb="FFFFEF9C"/>
        <color rgb="FF63BE7B"/>
      </colorScale>
    </cfRule>
  </conditionalFormatting>
  <conditionalFormatting sqref="M427:M443">
    <cfRule type="colorScale" priority="451">
      <colorScale>
        <cfvo type="min"/>
        <cfvo type="max"/>
        <color rgb="FFFF7128"/>
        <color rgb="FFFFEF9C"/>
      </colorScale>
    </cfRule>
  </conditionalFormatting>
  <conditionalFormatting sqref="Q427:Q443">
    <cfRule type="dataBar" priority="452">
      <dataBar>
        <cfvo type="min"/>
        <cfvo type="max"/>
        <color rgb="FFFF555A"/>
      </dataBar>
    </cfRule>
  </conditionalFormatting>
  <conditionalFormatting sqref="E427:E443">
    <cfRule type="dataBar" priority="453">
      <dataBar>
        <cfvo type="min"/>
        <cfvo type="max"/>
        <color rgb="FFFF555A"/>
      </dataBar>
    </cfRule>
  </conditionalFormatting>
  <conditionalFormatting sqref="F427:F443">
    <cfRule type="top10" dxfId="263" priority="454" rank="1"/>
  </conditionalFormatting>
  <conditionalFormatting sqref="P427:P442">
    <cfRule type="top10" dxfId="262" priority="455" rank="1"/>
  </conditionalFormatting>
  <conditionalFormatting sqref="G427:G443 O427:O442 P443">
    <cfRule type="cellIs" dxfId="261" priority="456" operator="equal">
      <formula>$G$135</formula>
    </cfRule>
  </conditionalFormatting>
  <conditionalFormatting sqref="O427:O442 P443">
    <cfRule type="cellIs" dxfId="260" priority="457" operator="equal">
      <formula>$J$135</formula>
    </cfRule>
  </conditionalFormatting>
  <conditionalFormatting sqref="G427:G443 O427:O442 P443">
    <cfRule type="cellIs" dxfId="259" priority="458" operator="equal">
      <formula>#REF!</formula>
    </cfRule>
  </conditionalFormatting>
  <conditionalFormatting sqref="G427:G443">
    <cfRule type="top10" dxfId="258" priority="459" rank="1"/>
    <cfRule type="cellIs" dxfId="257" priority="460" operator="equal">
      <formula>$G$133</formula>
    </cfRule>
  </conditionalFormatting>
  <conditionalFormatting sqref="O427:O442 P443">
    <cfRule type="top10" dxfId="256" priority="461" rank="1"/>
    <cfRule type="cellIs" dxfId="255" priority="462" operator="equal">
      <formula>$G$133</formula>
    </cfRule>
  </conditionalFormatting>
  <conditionalFormatting sqref="C427:C442">
    <cfRule type="containsText" dxfId="254" priority="444" operator="containsText" text="Short Buildup">
      <formula>NOT(ISERROR(SEARCH("Short Buildup",C427)))</formula>
    </cfRule>
    <cfRule type="containsText" dxfId="253" priority="445" operator="containsText" text="Long Liquidation">
      <formula>NOT(ISERROR(SEARCH("Long Liquidation",C427)))</formula>
    </cfRule>
    <cfRule type="containsText" dxfId="252" priority="446" operator="containsText" text="Short covering">
      <formula>NOT(ISERROR(SEARCH("Short covering",C427)))</formula>
    </cfRule>
    <cfRule type="containsText" dxfId="251" priority="447" operator="containsText" text="Long Buildup">
      <formula>NOT(ISERROR(SEARCH("Long Buildup",C427)))</formula>
    </cfRule>
  </conditionalFormatting>
  <conditionalFormatting sqref="H427:H443">
    <cfRule type="colorScale" priority="439">
      <colorScale>
        <cfvo type="min"/>
        <cfvo type="percentile" val="20"/>
        <cfvo type="max"/>
        <color rgb="FF92D050"/>
        <color theme="5" tint="0.79998168889431442"/>
        <color rgb="FFFF0000"/>
      </colorScale>
    </cfRule>
    <cfRule type="colorScale" priority="440">
      <colorScale>
        <cfvo type="min"/>
        <cfvo type="max"/>
        <color rgb="FFFF0000"/>
        <color rgb="FF92D050"/>
      </colorScale>
    </cfRule>
    <cfRule type="colorScale" priority="441">
      <colorScale>
        <cfvo type="min"/>
        <cfvo type="percentile" val="50"/>
        <cfvo type="max"/>
        <color rgb="FF5A8AC6"/>
        <color rgb="FFFCFCFF"/>
        <color rgb="FFF8696B"/>
      </colorScale>
    </cfRule>
    <cfRule type="colorScale" priority="442">
      <colorScale>
        <cfvo type="formula" val="&quot;&gt;20&quot;"/>
        <cfvo type="formula" val="35"/>
        <color rgb="FFF8696B"/>
        <color rgb="FFFCFCFF"/>
      </colorScale>
    </cfRule>
    <cfRule type="colorScale" priority="443">
      <colorScale>
        <cfvo type="min"/>
        <cfvo type="max"/>
        <color rgb="FFFFEF9C"/>
        <color rgb="FF63BE7B"/>
      </colorScale>
    </cfRule>
  </conditionalFormatting>
  <conditionalFormatting sqref="N427:N443">
    <cfRule type="colorScale" priority="434">
      <colorScale>
        <cfvo type="min"/>
        <cfvo type="percentile" val="20"/>
        <cfvo type="max"/>
        <color rgb="FF92D050"/>
        <color theme="5" tint="0.79998168889431442"/>
        <color rgb="FFFF0000"/>
      </colorScale>
    </cfRule>
    <cfRule type="colorScale" priority="435">
      <colorScale>
        <cfvo type="min"/>
        <cfvo type="max"/>
        <color rgb="FFFF0000"/>
        <color rgb="FF92D050"/>
      </colorScale>
    </cfRule>
    <cfRule type="colorScale" priority="436">
      <colorScale>
        <cfvo type="min"/>
        <cfvo type="percentile" val="50"/>
        <cfvo type="max"/>
        <color rgb="FF5A8AC6"/>
        <color rgb="FFFCFCFF"/>
        <color rgb="FFF8696B"/>
      </colorScale>
    </cfRule>
    <cfRule type="colorScale" priority="437">
      <colorScale>
        <cfvo type="formula" val="&quot;&gt;20&quot;"/>
        <cfvo type="formula" val="35"/>
        <color rgb="FFF8696B"/>
        <color rgb="FFFCFCFF"/>
      </colorScale>
    </cfRule>
    <cfRule type="colorScale" priority="438">
      <colorScale>
        <cfvo type="min"/>
        <cfvo type="max"/>
        <color rgb="FFFFEF9C"/>
        <color rgb="FF63BE7B"/>
      </colorScale>
    </cfRule>
  </conditionalFormatting>
  <conditionalFormatting sqref="S427:S443">
    <cfRule type="containsText" dxfId="250" priority="430" operator="containsText" text="Short Buildup">
      <formula>NOT(ISERROR(SEARCH("Short Buildup",S427)))</formula>
    </cfRule>
    <cfRule type="containsText" dxfId="249" priority="431" operator="containsText" text="Long Liquidation">
      <formula>NOT(ISERROR(SEARCH("Long Liquidation",S427)))</formula>
    </cfRule>
    <cfRule type="containsText" dxfId="248" priority="432" operator="containsText" text="Short covering">
      <formula>NOT(ISERROR(SEARCH("Short covering",S427)))</formula>
    </cfRule>
    <cfRule type="containsText" dxfId="247" priority="433" operator="containsText" text="Long Buildup">
      <formula>NOT(ISERROR(SEARCH("Long Buildup",S427)))</formula>
    </cfRule>
  </conditionalFormatting>
  <conditionalFormatting sqref="R444:R460 D444:D459 C460">
    <cfRule type="containsText" dxfId="246" priority="416" operator="containsText" text="DOWN">
      <formula>NOT(ISERROR(SEARCH("DOWN",C444)))</formula>
    </cfRule>
  </conditionalFormatting>
  <conditionalFormatting sqref="R444:R460 D444:D459 C460">
    <cfRule type="containsText" dxfId="245" priority="415" operator="containsText" text="UP">
      <formula>NOT(ISERROR(SEARCH("UP",C444)))</formula>
    </cfRule>
  </conditionalFormatting>
  <conditionalFormatting sqref="I444:I460">
    <cfRule type="colorScale" priority="417">
      <colorScale>
        <cfvo type="min"/>
        <cfvo type="max"/>
        <color rgb="FFFFEF9C"/>
        <color rgb="FF63BE7B"/>
      </colorScale>
    </cfRule>
  </conditionalFormatting>
  <conditionalFormatting sqref="M444:M460">
    <cfRule type="colorScale" priority="418">
      <colorScale>
        <cfvo type="min"/>
        <cfvo type="max"/>
        <color rgb="FFFF7128"/>
        <color rgb="FFFFEF9C"/>
      </colorScale>
    </cfRule>
  </conditionalFormatting>
  <conditionalFormatting sqref="Q444:Q460">
    <cfRule type="dataBar" priority="419">
      <dataBar>
        <cfvo type="min"/>
        <cfvo type="max"/>
        <color rgb="FFFF555A"/>
      </dataBar>
    </cfRule>
  </conditionalFormatting>
  <conditionalFormatting sqref="E444:E460">
    <cfRule type="dataBar" priority="420">
      <dataBar>
        <cfvo type="min"/>
        <cfvo type="max"/>
        <color rgb="FFFF555A"/>
      </dataBar>
    </cfRule>
  </conditionalFormatting>
  <conditionalFormatting sqref="F444:F460">
    <cfRule type="top10" dxfId="244" priority="421" rank="1"/>
  </conditionalFormatting>
  <conditionalFormatting sqref="P444:P459">
    <cfRule type="top10" dxfId="243" priority="422" rank="1"/>
  </conditionalFormatting>
  <conditionalFormatting sqref="G444:G460 O444:O459 P460">
    <cfRule type="cellIs" dxfId="242" priority="423" operator="equal">
      <formula>$G$135</formula>
    </cfRule>
  </conditionalFormatting>
  <conditionalFormatting sqref="O444:O459 P460">
    <cfRule type="cellIs" dxfId="241" priority="424" operator="equal">
      <formula>$J$135</formula>
    </cfRule>
  </conditionalFormatting>
  <conditionalFormatting sqref="G444:G460 O444:O459 P460">
    <cfRule type="cellIs" dxfId="240" priority="425" operator="equal">
      <formula>#REF!</formula>
    </cfRule>
  </conditionalFormatting>
  <conditionalFormatting sqref="G444:G460">
    <cfRule type="top10" dxfId="239" priority="426" rank="1"/>
    <cfRule type="cellIs" dxfId="238" priority="427" operator="equal">
      <formula>$G$133</formula>
    </cfRule>
  </conditionalFormatting>
  <conditionalFormatting sqref="O444:O459 P460">
    <cfRule type="top10" dxfId="237" priority="428" rank="1"/>
    <cfRule type="cellIs" dxfId="236" priority="429" operator="equal">
      <formula>$G$133</formula>
    </cfRule>
  </conditionalFormatting>
  <conditionalFormatting sqref="C444:C459">
    <cfRule type="containsText" dxfId="235" priority="411" operator="containsText" text="Short Buildup">
      <formula>NOT(ISERROR(SEARCH("Short Buildup",C444)))</formula>
    </cfRule>
    <cfRule type="containsText" dxfId="234" priority="412" operator="containsText" text="Long Liquidation">
      <formula>NOT(ISERROR(SEARCH("Long Liquidation",C444)))</formula>
    </cfRule>
    <cfRule type="containsText" dxfId="233" priority="413" operator="containsText" text="Short covering">
      <formula>NOT(ISERROR(SEARCH("Short covering",C444)))</formula>
    </cfRule>
    <cfRule type="containsText" dxfId="232" priority="414" operator="containsText" text="Long Buildup">
      <formula>NOT(ISERROR(SEARCH("Long Buildup",C444)))</formula>
    </cfRule>
  </conditionalFormatting>
  <conditionalFormatting sqref="H444:H460">
    <cfRule type="colorScale" priority="406">
      <colorScale>
        <cfvo type="min"/>
        <cfvo type="percentile" val="20"/>
        <cfvo type="max"/>
        <color rgb="FF92D050"/>
        <color theme="5" tint="0.79998168889431442"/>
        <color rgb="FFFF0000"/>
      </colorScale>
    </cfRule>
    <cfRule type="colorScale" priority="407">
      <colorScale>
        <cfvo type="min"/>
        <cfvo type="max"/>
        <color rgb="FFFF0000"/>
        <color rgb="FF92D050"/>
      </colorScale>
    </cfRule>
    <cfRule type="colorScale" priority="408">
      <colorScale>
        <cfvo type="min"/>
        <cfvo type="percentile" val="50"/>
        <cfvo type="max"/>
        <color rgb="FF5A8AC6"/>
        <color rgb="FFFCFCFF"/>
        <color rgb="FFF8696B"/>
      </colorScale>
    </cfRule>
    <cfRule type="colorScale" priority="409">
      <colorScale>
        <cfvo type="formula" val="&quot;&gt;20&quot;"/>
        <cfvo type="formula" val="35"/>
        <color rgb="FFF8696B"/>
        <color rgb="FFFCFCFF"/>
      </colorScale>
    </cfRule>
    <cfRule type="colorScale" priority="410">
      <colorScale>
        <cfvo type="min"/>
        <cfvo type="max"/>
        <color rgb="FFFFEF9C"/>
        <color rgb="FF63BE7B"/>
      </colorScale>
    </cfRule>
  </conditionalFormatting>
  <conditionalFormatting sqref="N444:N460">
    <cfRule type="colorScale" priority="401">
      <colorScale>
        <cfvo type="min"/>
        <cfvo type="percentile" val="20"/>
        <cfvo type="max"/>
        <color rgb="FF92D050"/>
        <color theme="5" tint="0.79998168889431442"/>
        <color rgb="FFFF0000"/>
      </colorScale>
    </cfRule>
    <cfRule type="colorScale" priority="402">
      <colorScale>
        <cfvo type="min"/>
        <cfvo type="max"/>
        <color rgb="FFFF0000"/>
        <color rgb="FF92D050"/>
      </colorScale>
    </cfRule>
    <cfRule type="colorScale" priority="403">
      <colorScale>
        <cfvo type="min"/>
        <cfvo type="percentile" val="50"/>
        <cfvo type="max"/>
        <color rgb="FF5A8AC6"/>
        <color rgb="FFFCFCFF"/>
        <color rgb="FFF8696B"/>
      </colorScale>
    </cfRule>
    <cfRule type="colorScale" priority="404">
      <colorScale>
        <cfvo type="formula" val="&quot;&gt;20&quot;"/>
        <cfvo type="formula" val="35"/>
        <color rgb="FFF8696B"/>
        <color rgb="FFFCFCFF"/>
      </colorScale>
    </cfRule>
    <cfRule type="colorScale" priority="405">
      <colorScale>
        <cfvo type="min"/>
        <cfvo type="max"/>
        <color rgb="FFFFEF9C"/>
        <color rgb="FF63BE7B"/>
      </colorScale>
    </cfRule>
  </conditionalFormatting>
  <conditionalFormatting sqref="S444:S460">
    <cfRule type="containsText" dxfId="231" priority="397" operator="containsText" text="Short Buildup">
      <formula>NOT(ISERROR(SEARCH("Short Buildup",S444)))</formula>
    </cfRule>
    <cfRule type="containsText" dxfId="230" priority="398" operator="containsText" text="Long Liquidation">
      <formula>NOT(ISERROR(SEARCH("Long Liquidation",S444)))</formula>
    </cfRule>
    <cfRule type="containsText" dxfId="229" priority="399" operator="containsText" text="Short covering">
      <formula>NOT(ISERROR(SEARCH("Short covering",S444)))</formula>
    </cfRule>
    <cfRule type="containsText" dxfId="228" priority="400" operator="containsText" text="Long Buildup">
      <formula>NOT(ISERROR(SEARCH("Long Buildup",S444)))</formula>
    </cfRule>
  </conditionalFormatting>
  <conditionalFormatting sqref="R461:R477 D461:D476 C477">
    <cfRule type="containsText" dxfId="227" priority="383" operator="containsText" text="DOWN">
      <formula>NOT(ISERROR(SEARCH("DOWN",C461)))</formula>
    </cfRule>
  </conditionalFormatting>
  <conditionalFormatting sqref="R461:R477 D461:D476 C477">
    <cfRule type="containsText" dxfId="226" priority="382" operator="containsText" text="UP">
      <formula>NOT(ISERROR(SEARCH("UP",C461)))</formula>
    </cfRule>
  </conditionalFormatting>
  <conditionalFormatting sqref="I461:I477">
    <cfRule type="colorScale" priority="384">
      <colorScale>
        <cfvo type="min"/>
        <cfvo type="max"/>
        <color rgb="FFFFEF9C"/>
        <color rgb="FF63BE7B"/>
      </colorScale>
    </cfRule>
  </conditionalFormatting>
  <conditionalFormatting sqref="M461:M477">
    <cfRule type="colorScale" priority="385">
      <colorScale>
        <cfvo type="min"/>
        <cfvo type="max"/>
        <color rgb="FFFF7128"/>
        <color rgb="FFFFEF9C"/>
      </colorScale>
    </cfRule>
  </conditionalFormatting>
  <conditionalFormatting sqref="Q461:Q477">
    <cfRule type="dataBar" priority="386">
      <dataBar>
        <cfvo type="min"/>
        <cfvo type="max"/>
        <color rgb="FFFF555A"/>
      </dataBar>
    </cfRule>
  </conditionalFormatting>
  <conditionalFormatting sqref="E461:E477">
    <cfRule type="dataBar" priority="387">
      <dataBar>
        <cfvo type="min"/>
        <cfvo type="max"/>
        <color rgb="FFFF555A"/>
      </dataBar>
    </cfRule>
  </conditionalFormatting>
  <conditionalFormatting sqref="F461:F477">
    <cfRule type="top10" dxfId="225" priority="388" rank="1"/>
  </conditionalFormatting>
  <conditionalFormatting sqref="P461:P476">
    <cfRule type="top10" dxfId="224" priority="389" rank="1"/>
  </conditionalFormatting>
  <conditionalFormatting sqref="G461:G477 O461:O476 P477">
    <cfRule type="cellIs" dxfId="223" priority="390" operator="equal">
      <formula>$G$135</formula>
    </cfRule>
  </conditionalFormatting>
  <conditionalFormatting sqref="O461:O476 P477">
    <cfRule type="cellIs" dxfId="222" priority="391" operator="equal">
      <formula>$J$135</formula>
    </cfRule>
  </conditionalFormatting>
  <conditionalFormatting sqref="G461:G477 O461:O476 P477">
    <cfRule type="cellIs" dxfId="221" priority="392" operator="equal">
      <formula>#REF!</formula>
    </cfRule>
  </conditionalFormatting>
  <conditionalFormatting sqref="G461:G477">
    <cfRule type="top10" dxfId="220" priority="393" rank="1"/>
    <cfRule type="cellIs" dxfId="219" priority="394" operator="equal">
      <formula>$G$133</formula>
    </cfRule>
  </conditionalFormatting>
  <conditionalFormatting sqref="O461:O476 P477">
    <cfRule type="top10" dxfId="218" priority="395" rank="1"/>
    <cfRule type="cellIs" dxfId="217" priority="396" operator="equal">
      <formula>$G$133</formula>
    </cfRule>
  </conditionalFormatting>
  <conditionalFormatting sqref="C461:C476">
    <cfRule type="containsText" dxfId="216" priority="378" operator="containsText" text="Short Buildup">
      <formula>NOT(ISERROR(SEARCH("Short Buildup",C461)))</formula>
    </cfRule>
    <cfRule type="containsText" dxfId="215" priority="379" operator="containsText" text="Long Liquidation">
      <formula>NOT(ISERROR(SEARCH("Long Liquidation",C461)))</formula>
    </cfRule>
    <cfRule type="containsText" dxfId="214" priority="380" operator="containsText" text="Short covering">
      <formula>NOT(ISERROR(SEARCH("Short covering",C461)))</formula>
    </cfRule>
    <cfRule type="containsText" dxfId="213" priority="381" operator="containsText" text="Long Buildup">
      <formula>NOT(ISERROR(SEARCH("Long Buildup",C461)))</formula>
    </cfRule>
  </conditionalFormatting>
  <conditionalFormatting sqref="H461:H477">
    <cfRule type="colorScale" priority="373">
      <colorScale>
        <cfvo type="min"/>
        <cfvo type="percentile" val="20"/>
        <cfvo type="max"/>
        <color rgb="FF92D050"/>
        <color theme="5" tint="0.79998168889431442"/>
        <color rgb="FFFF0000"/>
      </colorScale>
    </cfRule>
    <cfRule type="colorScale" priority="374">
      <colorScale>
        <cfvo type="min"/>
        <cfvo type="max"/>
        <color rgb="FFFF0000"/>
        <color rgb="FF92D050"/>
      </colorScale>
    </cfRule>
    <cfRule type="colorScale" priority="375">
      <colorScale>
        <cfvo type="min"/>
        <cfvo type="percentile" val="50"/>
        <cfvo type="max"/>
        <color rgb="FF5A8AC6"/>
        <color rgb="FFFCFCFF"/>
        <color rgb="FFF8696B"/>
      </colorScale>
    </cfRule>
    <cfRule type="colorScale" priority="376">
      <colorScale>
        <cfvo type="formula" val="&quot;&gt;20&quot;"/>
        <cfvo type="formula" val="35"/>
        <color rgb="FFF8696B"/>
        <color rgb="FFFCFCFF"/>
      </colorScale>
    </cfRule>
    <cfRule type="colorScale" priority="377">
      <colorScale>
        <cfvo type="min"/>
        <cfvo type="max"/>
        <color rgb="FFFFEF9C"/>
        <color rgb="FF63BE7B"/>
      </colorScale>
    </cfRule>
  </conditionalFormatting>
  <conditionalFormatting sqref="N461:N477">
    <cfRule type="colorScale" priority="368">
      <colorScale>
        <cfvo type="min"/>
        <cfvo type="percentile" val="20"/>
        <cfvo type="max"/>
        <color rgb="FF92D050"/>
        <color theme="5" tint="0.79998168889431442"/>
        <color rgb="FFFF0000"/>
      </colorScale>
    </cfRule>
    <cfRule type="colorScale" priority="369">
      <colorScale>
        <cfvo type="min"/>
        <cfvo type="max"/>
        <color rgb="FFFF0000"/>
        <color rgb="FF92D050"/>
      </colorScale>
    </cfRule>
    <cfRule type="colorScale" priority="370">
      <colorScale>
        <cfvo type="min"/>
        <cfvo type="percentile" val="50"/>
        <cfvo type="max"/>
        <color rgb="FF5A8AC6"/>
        <color rgb="FFFCFCFF"/>
        <color rgb="FFF8696B"/>
      </colorScale>
    </cfRule>
    <cfRule type="colorScale" priority="371">
      <colorScale>
        <cfvo type="formula" val="&quot;&gt;20&quot;"/>
        <cfvo type="formula" val="35"/>
        <color rgb="FFF8696B"/>
        <color rgb="FFFCFCFF"/>
      </colorScale>
    </cfRule>
    <cfRule type="colorScale" priority="372">
      <colorScale>
        <cfvo type="min"/>
        <cfvo type="max"/>
        <color rgb="FFFFEF9C"/>
        <color rgb="FF63BE7B"/>
      </colorScale>
    </cfRule>
  </conditionalFormatting>
  <conditionalFormatting sqref="S461:S477">
    <cfRule type="containsText" dxfId="212" priority="364" operator="containsText" text="Short Buildup">
      <formula>NOT(ISERROR(SEARCH("Short Buildup",S461)))</formula>
    </cfRule>
    <cfRule type="containsText" dxfId="211" priority="365" operator="containsText" text="Long Liquidation">
      <formula>NOT(ISERROR(SEARCH("Long Liquidation",S461)))</formula>
    </cfRule>
    <cfRule type="containsText" dxfId="210" priority="366" operator="containsText" text="Short covering">
      <formula>NOT(ISERROR(SEARCH("Short covering",S461)))</formula>
    </cfRule>
    <cfRule type="containsText" dxfId="209" priority="367" operator="containsText" text="Long Buildup">
      <formula>NOT(ISERROR(SEARCH("Long Buildup",S461)))</formula>
    </cfRule>
  </conditionalFormatting>
  <conditionalFormatting sqref="R478:R494 D478:D493 C494">
    <cfRule type="containsText" dxfId="208" priority="350" operator="containsText" text="DOWN">
      <formula>NOT(ISERROR(SEARCH("DOWN",C478)))</formula>
    </cfRule>
  </conditionalFormatting>
  <conditionalFormatting sqref="R478:R494 D478:D493 C494">
    <cfRule type="containsText" dxfId="207" priority="349" operator="containsText" text="UP">
      <formula>NOT(ISERROR(SEARCH("UP",C478)))</formula>
    </cfRule>
  </conditionalFormatting>
  <conditionalFormatting sqref="I478:I494">
    <cfRule type="colorScale" priority="351">
      <colorScale>
        <cfvo type="min"/>
        <cfvo type="max"/>
        <color rgb="FFFFEF9C"/>
        <color rgb="FF63BE7B"/>
      </colorScale>
    </cfRule>
  </conditionalFormatting>
  <conditionalFormatting sqref="M478:M494">
    <cfRule type="colorScale" priority="352">
      <colorScale>
        <cfvo type="min"/>
        <cfvo type="max"/>
        <color rgb="FFFF7128"/>
        <color rgb="FFFFEF9C"/>
      </colorScale>
    </cfRule>
  </conditionalFormatting>
  <conditionalFormatting sqref="Q478:Q494">
    <cfRule type="dataBar" priority="353">
      <dataBar>
        <cfvo type="min"/>
        <cfvo type="max"/>
        <color rgb="FFFF555A"/>
      </dataBar>
    </cfRule>
  </conditionalFormatting>
  <conditionalFormatting sqref="E478:E494">
    <cfRule type="dataBar" priority="354">
      <dataBar>
        <cfvo type="min"/>
        <cfvo type="max"/>
        <color rgb="FFFF555A"/>
      </dataBar>
    </cfRule>
  </conditionalFormatting>
  <conditionalFormatting sqref="F478:F494">
    <cfRule type="top10" dxfId="206" priority="355" rank="1"/>
  </conditionalFormatting>
  <conditionalFormatting sqref="P478:P493">
    <cfRule type="top10" dxfId="205" priority="356" rank="1"/>
  </conditionalFormatting>
  <conditionalFormatting sqref="G478:G494 O478:O493 P494">
    <cfRule type="cellIs" dxfId="204" priority="357" operator="equal">
      <formula>$G$135</formula>
    </cfRule>
  </conditionalFormatting>
  <conditionalFormatting sqref="O478:O493 P494">
    <cfRule type="cellIs" dxfId="203" priority="358" operator="equal">
      <formula>$J$135</formula>
    </cfRule>
  </conditionalFormatting>
  <conditionalFormatting sqref="G478:G494 O478:O493 P494">
    <cfRule type="cellIs" dxfId="202" priority="359" operator="equal">
      <formula>#REF!</formula>
    </cfRule>
  </conditionalFormatting>
  <conditionalFormatting sqref="G478:G494">
    <cfRule type="top10" dxfId="201" priority="360" rank="1"/>
    <cfRule type="cellIs" dxfId="200" priority="361" operator="equal">
      <formula>$G$133</formula>
    </cfRule>
  </conditionalFormatting>
  <conditionalFormatting sqref="O478:O493 P494">
    <cfRule type="top10" dxfId="199" priority="362" rank="1"/>
    <cfRule type="cellIs" dxfId="198" priority="363" operator="equal">
      <formula>$G$133</formula>
    </cfRule>
  </conditionalFormatting>
  <conditionalFormatting sqref="C478:C493">
    <cfRule type="containsText" dxfId="197" priority="345" operator="containsText" text="Short Buildup">
      <formula>NOT(ISERROR(SEARCH("Short Buildup",C478)))</formula>
    </cfRule>
    <cfRule type="containsText" dxfId="196" priority="346" operator="containsText" text="Long Liquidation">
      <formula>NOT(ISERROR(SEARCH("Long Liquidation",C478)))</formula>
    </cfRule>
    <cfRule type="containsText" dxfId="195" priority="347" operator="containsText" text="Short covering">
      <formula>NOT(ISERROR(SEARCH("Short covering",C478)))</formula>
    </cfRule>
    <cfRule type="containsText" dxfId="194" priority="348" operator="containsText" text="Long Buildup">
      <formula>NOT(ISERROR(SEARCH("Long Buildup",C478)))</formula>
    </cfRule>
  </conditionalFormatting>
  <conditionalFormatting sqref="H478:H494">
    <cfRule type="colorScale" priority="340">
      <colorScale>
        <cfvo type="min"/>
        <cfvo type="percentile" val="20"/>
        <cfvo type="max"/>
        <color rgb="FF92D050"/>
        <color theme="5" tint="0.79998168889431442"/>
        <color rgb="FFFF0000"/>
      </colorScale>
    </cfRule>
    <cfRule type="colorScale" priority="341">
      <colorScale>
        <cfvo type="min"/>
        <cfvo type="max"/>
        <color rgb="FFFF0000"/>
        <color rgb="FF92D050"/>
      </colorScale>
    </cfRule>
    <cfRule type="colorScale" priority="342">
      <colorScale>
        <cfvo type="min"/>
        <cfvo type="percentile" val="50"/>
        <cfvo type="max"/>
        <color rgb="FF5A8AC6"/>
        <color rgb="FFFCFCFF"/>
        <color rgb="FFF8696B"/>
      </colorScale>
    </cfRule>
    <cfRule type="colorScale" priority="343">
      <colorScale>
        <cfvo type="formula" val="&quot;&gt;20&quot;"/>
        <cfvo type="formula" val="35"/>
        <color rgb="FFF8696B"/>
        <color rgb="FFFCFCFF"/>
      </colorScale>
    </cfRule>
    <cfRule type="colorScale" priority="344">
      <colorScale>
        <cfvo type="min"/>
        <cfvo type="max"/>
        <color rgb="FFFFEF9C"/>
        <color rgb="FF63BE7B"/>
      </colorScale>
    </cfRule>
  </conditionalFormatting>
  <conditionalFormatting sqref="N478:N494">
    <cfRule type="colorScale" priority="335">
      <colorScale>
        <cfvo type="min"/>
        <cfvo type="percentile" val="20"/>
        <cfvo type="max"/>
        <color rgb="FF92D050"/>
        <color theme="5" tint="0.79998168889431442"/>
        <color rgb="FFFF0000"/>
      </colorScale>
    </cfRule>
    <cfRule type="colorScale" priority="336">
      <colorScale>
        <cfvo type="min"/>
        <cfvo type="max"/>
        <color rgb="FFFF0000"/>
        <color rgb="FF92D050"/>
      </colorScale>
    </cfRule>
    <cfRule type="colorScale" priority="337">
      <colorScale>
        <cfvo type="min"/>
        <cfvo type="percentile" val="50"/>
        <cfvo type="max"/>
        <color rgb="FF5A8AC6"/>
        <color rgb="FFFCFCFF"/>
        <color rgb="FFF8696B"/>
      </colorScale>
    </cfRule>
    <cfRule type="colorScale" priority="338">
      <colorScale>
        <cfvo type="formula" val="&quot;&gt;20&quot;"/>
        <cfvo type="formula" val="35"/>
        <color rgb="FFF8696B"/>
        <color rgb="FFFCFCFF"/>
      </colorScale>
    </cfRule>
    <cfRule type="colorScale" priority="339">
      <colorScale>
        <cfvo type="min"/>
        <cfvo type="max"/>
        <color rgb="FFFFEF9C"/>
        <color rgb="FF63BE7B"/>
      </colorScale>
    </cfRule>
  </conditionalFormatting>
  <conditionalFormatting sqref="S478:S494">
    <cfRule type="containsText" dxfId="193" priority="331" operator="containsText" text="Short Buildup">
      <formula>NOT(ISERROR(SEARCH("Short Buildup",S478)))</formula>
    </cfRule>
    <cfRule type="containsText" dxfId="192" priority="332" operator="containsText" text="Long Liquidation">
      <formula>NOT(ISERROR(SEARCH("Long Liquidation",S478)))</formula>
    </cfRule>
    <cfRule type="containsText" dxfId="191" priority="333" operator="containsText" text="Short covering">
      <formula>NOT(ISERROR(SEARCH("Short covering",S478)))</formula>
    </cfRule>
    <cfRule type="containsText" dxfId="190" priority="334" operator="containsText" text="Long Buildup">
      <formula>NOT(ISERROR(SEARCH("Long Buildup",S478)))</formula>
    </cfRule>
  </conditionalFormatting>
  <conditionalFormatting sqref="R495:R511 D495:D510 C511">
    <cfRule type="containsText" dxfId="189" priority="317" operator="containsText" text="DOWN">
      <formula>NOT(ISERROR(SEARCH("DOWN",C495)))</formula>
    </cfRule>
  </conditionalFormatting>
  <conditionalFormatting sqref="R495:R511 D495:D510 C511">
    <cfRule type="containsText" dxfId="188" priority="316" operator="containsText" text="UP">
      <formula>NOT(ISERROR(SEARCH("UP",C495)))</formula>
    </cfRule>
  </conditionalFormatting>
  <conditionalFormatting sqref="I495:I511">
    <cfRule type="colorScale" priority="318">
      <colorScale>
        <cfvo type="min"/>
        <cfvo type="max"/>
        <color rgb="FFFFEF9C"/>
        <color rgb="FF63BE7B"/>
      </colorScale>
    </cfRule>
  </conditionalFormatting>
  <conditionalFormatting sqref="M495:M511">
    <cfRule type="colorScale" priority="319">
      <colorScale>
        <cfvo type="min"/>
        <cfvo type="max"/>
        <color rgb="FFFF7128"/>
        <color rgb="FFFFEF9C"/>
      </colorScale>
    </cfRule>
  </conditionalFormatting>
  <conditionalFormatting sqref="Q495:Q511">
    <cfRule type="dataBar" priority="320">
      <dataBar>
        <cfvo type="min"/>
        <cfvo type="max"/>
        <color rgb="FFFF555A"/>
      </dataBar>
    </cfRule>
  </conditionalFormatting>
  <conditionalFormatting sqref="E495:E511">
    <cfRule type="dataBar" priority="321">
      <dataBar>
        <cfvo type="min"/>
        <cfvo type="max"/>
        <color rgb="FFFF555A"/>
      </dataBar>
    </cfRule>
  </conditionalFormatting>
  <conditionalFormatting sqref="F495:F511">
    <cfRule type="top10" dxfId="187" priority="322" rank="1"/>
  </conditionalFormatting>
  <conditionalFormatting sqref="P495:P510">
    <cfRule type="top10" dxfId="186" priority="323" rank="1"/>
  </conditionalFormatting>
  <conditionalFormatting sqref="G495:G511 O495:O510 P511">
    <cfRule type="cellIs" dxfId="185" priority="324" operator="equal">
      <formula>$G$135</formula>
    </cfRule>
  </conditionalFormatting>
  <conditionalFormatting sqref="O495:O510 P511">
    <cfRule type="cellIs" dxfId="184" priority="325" operator="equal">
      <formula>$J$135</formula>
    </cfRule>
  </conditionalFormatting>
  <conditionalFormatting sqref="G495:G511 O495:O510 P511">
    <cfRule type="cellIs" dxfId="183" priority="326" operator="equal">
      <formula>#REF!</formula>
    </cfRule>
  </conditionalFormatting>
  <conditionalFormatting sqref="G495:G511">
    <cfRule type="top10" dxfId="182" priority="327" rank="1"/>
    <cfRule type="cellIs" dxfId="181" priority="328" operator="equal">
      <formula>$G$133</formula>
    </cfRule>
  </conditionalFormatting>
  <conditionalFormatting sqref="O495:O510 P511">
    <cfRule type="top10" dxfId="180" priority="329" rank="1"/>
    <cfRule type="cellIs" dxfId="179" priority="330" operator="equal">
      <formula>$G$133</formula>
    </cfRule>
  </conditionalFormatting>
  <conditionalFormatting sqref="C495:C510">
    <cfRule type="containsText" dxfId="178" priority="312" operator="containsText" text="Short Buildup">
      <formula>NOT(ISERROR(SEARCH("Short Buildup",C495)))</formula>
    </cfRule>
    <cfRule type="containsText" dxfId="177" priority="313" operator="containsText" text="Long Liquidation">
      <formula>NOT(ISERROR(SEARCH("Long Liquidation",C495)))</formula>
    </cfRule>
    <cfRule type="containsText" dxfId="176" priority="314" operator="containsText" text="Short covering">
      <formula>NOT(ISERROR(SEARCH("Short covering",C495)))</formula>
    </cfRule>
    <cfRule type="containsText" dxfId="175" priority="315" operator="containsText" text="Long Buildup">
      <formula>NOT(ISERROR(SEARCH("Long Buildup",C495)))</formula>
    </cfRule>
  </conditionalFormatting>
  <conditionalFormatting sqref="H495:H511">
    <cfRule type="colorScale" priority="307">
      <colorScale>
        <cfvo type="min"/>
        <cfvo type="percentile" val="20"/>
        <cfvo type="max"/>
        <color rgb="FF92D050"/>
        <color theme="5" tint="0.79998168889431442"/>
        <color rgb="FFFF0000"/>
      </colorScale>
    </cfRule>
    <cfRule type="colorScale" priority="308">
      <colorScale>
        <cfvo type="min"/>
        <cfvo type="max"/>
        <color rgb="FFFF0000"/>
        <color rgb="FF92D050"/>
      </colorScale>
    </cfRule>
    <cfRule type="colorScale" priority="309">
      <colorScale>
        <cfvo type="min"/>
        <cfvo type="percentile" val="50"/>
        <cfvo type="max"/>
        <color rgb="FF5A8AC6"/>
        <color rgb="FFFCFCFF"/>
        <color rgb="FFF8696B"/>
      </colorScale>
    </cfRule>
    <cfRule type="colorScale" priority="310">
      <colorScale>
        <cfvo type="formula" val="&quot;&gt;20&quot;"/>
        <cfvo type="formula" val="35"/>
        <color rgb="FFF8696B"/>
        <color rgb="FFFCFCFF"/>
      </colorScale>
    </cfRule>
    <cfRule type="colorScale" priority="311">
      <colorScale>
        <cfvo type="min"/>
        <cfvo type="max"/>
        <color rgb="FFFFEF9C"/>
        <color rgb="FF63BE7B"/>
      </colorScale>
    </cfRule>
  </conditionalFormatting>
  <conditionalFormatting sqref="N495:N511">
    <cfRule type="colorScale" priority="302">
      <colorScale>
        <cfvo type="min"/>
        <cfvo type="percentile" val="20"/>
        <cfvo type="max"/>
        <color rgb="FF92D050"/>
        <color theme="5" tint="0.79998168889431442"/>
        <color rgb="FFFF0000"/>
      </colorScale>
    </cfRule>
    <cfRule type="colorScale" priority="303">
      <colorScale>
        <cfvo type="min"/>
        <cfvo type="max"/>
        <color rgb="FFFF0000"/>
        <color rgb="FF92D050"/>
      </colorScale>
    </cfRule>
    <cfRule type="colorScale" priority="304">
      <colorScale>
        <cfvo type="min"/>
        <cfvo type="percentile" val="50"/>
        <cfvo type="max"/>
        <color rgb="FF5A8AC6"/>
        <color rgb="FFFCFCFF"/>
        <color rgb="FFF8696B"/>
      </colorScale>
    </cfRule>
    <cfRule type="colorScale" priority="305">
      <colorScale>
        <cfvo type="formula" val="&quot;&gt;20&quot;"/>
        <cfvo type="formula" val="35"/>
        <color rgb="FFF8696B"/>
        <color rgb="FFFCFCFF"/>
      </colorScale>
    </cfRule>
    <cfRule type="colorScale" priority="306">
      <colorScale>
        <cfvo type="min"/>
        <cfvo type="max"/>
        <color rgb="FFFFEF9C"/>
        <color rgb="FF63BE7B"/>
      </colorScale>
    </cfRule>
  </conditionalFormatting>
  <conditionalFormatting sqref="S495:S511">
    <cfRule type="containsText" dxfId="174" priority="298" operator="containsText" text="Short Buildup">
      <formula>NOT(ISERROR(SEARCH("Short Buildup",S495)))</formula>
    </cfRule>
    <cfRule type="containsText" dxfId="173" priority="299" operator="containsText" text="Long Liquidation">
      <formula>NOT(ISERROR(SEARCH("Long Liquidation",S495)))</formula>
    </cfRule>
    <cfRule type="containsText" dxfId="172" priority="300" operator="containsText" text="Short covering">
      <formula>NOT(ISERROR(SEARCH("Short covering",S495)))</formula>
    </cfRule>
    <cfRule type="containsText" dxfId="171" priority="301" operator="containsText" text="Long Buildup">
      <formula>NOT(ISERROR(SEARCH("Long Buildup",S495)))</formula>
    </cfRule>
  </conditionalFormatting>
  <conditionalFormatting sqref="R512:R528 D512:D527 C528">
    <cfRule type="containsText" dxfId="170" priority="284" operator="containsText" text="DOWN">
      <formula>NOT(ISERROR(SEARCH("DOWN",C512)))</formula>
    </cfRule>
  </conditionalFormatting>
  <conditionalFormatting sqref="R512:R528 D512:D527 C528">
    <cfRule type="containsText" dxfId="169" priority="283" operator="containsText" text="UP">
      <formula>NOT(ISERROR(SEARCH("UP",C512)))</formula>
    </cfRule>
  </conditionalFormatting>
  <conditionalFormatting sqref="I512:I528">
    <cfRule type="colorScale" priority="285">
      <colorScale>
        <cfvo type="min"/>
        <cfvo type="max"/>
        <color rgb="FFFFEF9C"/>
        <color rgb="FF63BE7B"/>
      </colorScale>
    </cfRule>
  </conditionalFormatting>
  <conditionalFormatting sqref="M512:M528">
    <cfRule type="colorScale" priority="286">
      <colorScale>
        <cfvo type="min"/>
        <cfvo type="max"/>
        <color rgb="FFFF7128"/>
        <color rgb="FFFFEF9C"/>
      </colorScale>
    </cfRule>
  </conditionalFormatting>
  <conditionalFormatting sqref="Q512:Q528">
    <cfRule type="dataBar" priority="287">
      <dataBar>
        <cfvo type="min"/>
        <cfvo type="max"/>
        <color rgb="FFFF555A"/>
      </dataBar>
    </cfRule>
  </conditionalFormatting>
  <conditionalFormatting sqref="E512:E528">
    <cfRule type="dataBar" priority="288">
      <dataBar>
        <cfvo type="min"/>
        <cfvo type="max"/>
        <color rgb="FFFF555A"/>
      </dataBar>
    </cfRule>
  </conditionalFormatting>
  <conditionalFormatting sqref="F512:F528">
    <cfRule type="top10" dxfId="168" priority="289" rank="1"/>
  </conditionalFormatting>
  <conditionalFormatting sqref="P512:P527">
    <cfRule type="top10" dxfId="167" priority="290" rank="1"/>
  </conditionalFormatting>
  <conditionalFormatting sqref="G512:G528 O512:O527 P528">
    <cfRule type="cellIs" dxfId="166" priority="291" operator="equal">
      <formula>$G$135</formula>
    </cfRule>
  </conditionalFormatting>
  <conditionalFormatting sqref="O512:O527 P528">
    <cfRule type="cellIs" dxfId="165" priority="292" operator="equal">
      <formula>$J$135</formula>
    </cfRule>
  </conditionalFormatting>
  <conditionalFormatting sqref="G512:G528 O512:O527 P528">
    <cfRule type="cellIs" dxfId="164" priority="293" operator="equal">
      <formula>#REF!</formula>
    </cfRule>
  </conditionalFormatting>
  <conditionalFormatting sqref="G512:G528">
    <cfRule type="top10" dxfId="163" priority="294" rank="1"/>
    <cfRule type="cellIs" dxfId="162" priority="295" operator="equal">
      <formula>$G$133</formula>
    </cfRule>
  </conditionalFormatting>
  <conditionalFormatting sqref="O512:O527 P528">
    <cfRule type="top10" dxfId="161" priority="296" rank="1"/>
    <cfRule type="cellIs" dxfId="160" priority="297" operator="equal">
      <formula>$G$133</formula>
    </cfRule>
  </conditionalFormatting>
  <conditionalFormatting sqref="C512:C527">
    <cfRule type="containsText" dxfId="159" priority="279" operator="containsText" text="Short Buildup">
      <formula>NOT(ISERROR(SEARCH("Short Buildup",C512)))</formula>
    </cfRule>
    <cfRule type="containsText" dxfId="158" priority="280" operator="containsText" text="Long Liquidation">
      <formula>NOT(ISERROR(SEARCH("Long Liquidation",C512)))</formula>
    </cfRule>
    <cfRule type="containsText" dxfId="157" priority="281" operator="containsText" text="Short covering">
      <formula>NOT(ISERROR(SEARCH("Short covering",C512)))</formula>
    </cfRule>
    <cfRule type="containsText" dxfId="156" priority="282" operator="containsText" text="Long Buildup">
      <formula>NOT(ISERROR(SEARCH("Long Buildup",C512)))</formula>
    </cfRule>
  </conditionalFormatting>
  <conditionalFormatting sqref="H512:H528">
    <cfRule type="colorScale" priority="274">
      <colorScale>
        <cfvo type="min"/>
        <cfvo type="percentile" val="20"/>
        <cfvo type="max"/>
        <color rgb="FF92D050"/>
        <color theme="5" tint="0.79998168889431442"/>
        <color rgb="FFFF0000"/>
      </colorScale>
    </cfRule>
    <cfRule type="colorScale" priority="275">
      <colorScale>
        <cfvo type="min"/>
        <cfvo type="max"/>
        <color rgb="FFFF0000"/>
        <color rgb="FF92D050"/>
      </colorScale>
    </cfRule>
    <cfRule type="colorScale" priority="276">
      <colorScale>
        <cfvo type="min"/>
        <cfvo type="percentile" val="50"/>
        <cfvo type="max"/>
        <color rgb="FF5A8AC6"/>
        <color rgb="FFFCFCFF"/>
        <color rgb="FFF8696B"/>
      </colorScale>
    </cfRule>
    <cfRule type="colorScale" priority="277">
      <colorScale>
        <cfvo type="formula" val="&quot;&gt;20&quot;"/>
        <cfvo type="formula" val="35"/>
        <color rgb="FFF8696B"/>
        <color rgb="FFFCFCFF"/>
      </colorScale>
    </cfRule>
    <cfRule type="colorScale" priority="278">
      <colorScale>
        <cfvo type="min"/>
        <cfvo type="max"/>
        <color rgb="FFFFEF9C"/>
        <color rgb="FF63BE7B"/>
      </colorScale>
    </cfRule>
  </conditionalFormatting>
  <conditionalFormatting sqref="N512:N528">
    <cfRule type="colorScale" priority="269">
      <colorScale>
        <cfvo type="min"/>
        <cfvo type="percentile" val="20"/>
        <cfvo type="max"/>
        <color rgb="FF92D050"/>
        <color theme="5" tint="0.79998168889431442"/>
        <color rgb="FFFF0000"/>
      </colorScale>
    </cfRule>
    <cfRule type="colorScale" priority="270">
      <colorScale>
        <cfvo type="min"/>
        <cfvo type="max"/>
        <color rgb="FFFF0000"/>
        <color rgb="FF92D050"/>
      </colorScale>
    </cfRule>
    <cfRule type="colorScale" priority="271">
      <colorScale>
        <cfvo type="min"/>
        <cfvo type="percentile" val="50"/>
        <cfvo type="max"/>
        <color rgb="FF5A8AC6"/>
        <color rgb="FFFCFCFF"/>
        <color rgb="FFF8696B"/>
      </colorScale>
    </cfRule>
    <cfRule type="colorScale" priority="272">
      <colorScale>
        <cfvo type="formula" val="&quot;&gt;20&quot;"/>
        <cfvo type="formula" val="35"/>
        <color rgb="FFF8696B"/>
        <color rgb="FFFCFCFF"/>
      </colorScale>
    </cfRule>
    <cfRule type="colorScale" priority="273">
      <colorScale>
        <cfvo type="min"/>
        <cfvo type="max"/>
        <color rgb="FFFFEF9C"/>
        <color rgb="FF63BE7B"/>
      </colorScale>
    </cfRule>
  </conditionalFormatting>
  <conditionalFormatting sqref="S512:S528">
    <cfRule type="containsText" dxfId="155" priority="265" operator="containsText" text="Short Buildup">
      <formula>NOT(ISERROR(SEARCH("Short Buildup",S512)))</formula>
    </cfRule>
    <cfRule type="containsText" dxfId="154" priority="266" operator="containsText" text="Long Liquidation">
      <formula>NOT(ISERROR(SEARCH("Long Liquidation",S512)))</formula>
    </cfRule>
    <cfRule type="containsText" dxfId="153" priority="267" operator="containsText" text="Short covering">
      <formula>NOT(ISERROR(SEARCH("Short covering",S512)))</formula>
    </cfRule>
    <cfRule type="containsText" dxfId="152" priority="268" operator="containsText" text="Long Buildup">
      <formula>NOT(ISERROR(SEARCH("Long Buildup",S512)))</formula>
    </cfRule>
  </conditionalFormatting>
  <conditionalFormatting sqref="R529:R545 D529:D544 C545">
    <cfRule type="containsText" dxfId="151" priority="251" operator="containsText" text="DOWN">
      <formula>NOT(ISERROR(SEARCH("DOWN",C529)))</formula>
    </cfRule>
  </conditionalFormatting>
  <conditionalFormatting sqref="R529:R545 D529:D544 C545">
    <cfRule type="containsText" dxfId="150" priority="250" operator="containsText" text="UP">
      <formula>NOT(ISERROR(SEARCH("UP",C529)))</formula>
    </cfRule>
  </conditionalFormatting>
  <conditionalFormatting sqref="I529:I545">
    <cfRule type="colorScale" priority="252">
      <colorScale>
        <cfvo type="min"/>
        <cfvo type="max"/>
        <color rgb="FFFFEF9C"/>
        <color rgb="FF63BE7B"/>
      </colorScale>
    </cfRule>
  </conditionalFormatting>
  <conditionalFormatting sqref="M529:M545">
    <cfRule type="colorScale" priority="253">
      <colorScale>
        <cfvo type="min"/>
        <cfvo type="max"/>
        <color rgb="FFFF7128"/>
        <color rgb="FFFFEF9C"/>
      </colorScale>
    </cfRule>
  </conditionalFormatting>
  <conditionalFormatting sqref="Q529:Q545">
    <cfRule type="dataBar" priority="254">
      <dataBar>
        <cfvo type="min"/>
        <cfvo type="max"/>
        <color rgb="FFFF555A"/>
      </dataBar>
    </cfRule>
  </conditionalFormatting>
  <conditionalFormatting sqref="E529:E545">
    <cfRule type="dataBar" priority="255">
      <dataBar>
        <cfvo type="min"/>
        <cfvo type="max"/>
        <color rgb="FFFF555A"/>
      </dataBar>
    </cfRule>
  </conditionalFormatting>
  <conditionalFormatting sqref="F529:F545">
    <cfRule type="top10" dxfId="149" priority="256" rank="1"/>
  </conditionalFormatting>
  <conditionalFormatting sqref="P529:P544">
    <cfRule type="top10" dxfId="148" priority="257" rank="1"/>
  </conditionalFormatting>
  <conditionalFormatting sqref="G529:G545 O529:O544 P545">
    <cfRule type="cellIs" dxfId="147" priority="258" operator="equal">
      <formula>$G$135</formula>
    </cfRule>
  </conditionalFormatting>
  <conditionalFormatting sqref="O529:O544 P545">
    <cfRule type="cellIs" dxfId="146" priority="259" operator="equal">
      <formula>$J$135</formula>
    </cfRule>
  </conditionalFormatting>
  <conditionalFormatting sqref="G529:G545 O529:O544 P545">
    <cfRule type="cellIs" dxfId="145" priority="260" operator="equal">
      <formula>#REF!</formula>
    </cfRule>
  </conditionalFormatting>
  <conditionalFormatting sqref="G529:G545">
    <cfRule type="top10" dxfId="144" priority="261" rank="1"/>
    <cfRule type="cellIs" dxfId="143" priority="262" operator="equal">
      <formula>$G$133</formula>
    </cfRule>
  </conditionalFormatting>
  <conditionalFormatting sqref="O529:O544 P545">
    <cfRule type="top10" dxfId="142" priority="263" rank="1"/>
    <cfRule type="cellIs" dxfId="141" priority="264" operator="equal">
      <formula>$G$133</formula>
    </cfRule>
  </conditionalFormatting>
  <conditionalFormatting sqref="C529:C544">
    <cfRule type="containsText" dxfId="140" priority="246" operator="containsText" text="Short Buildup">
      <formula>NOT(ISERROR(SEARCH("Short Buildup",C529)))</formula>
    </cfRule>
    <cfRule type="containsText" dxfId="139" priority="247" operator="containsText" text="Long Liquidation">
      <formula>NOT(ISERROR(SEARCH("Long Liquidation",C529)))</formula>
    </cfRule>
    <cfRule type="containsText" dxfId="138" priority="248" operator="containsText" text="Short covering">
      <formula>NOT(ISERROR(SEARCH("Short covering",C529)))</formula>
    </cfRule>
    <cfRule type="containsText" dxfId="137" priority="249" operator="containsText" text="Long Buildup">
      <formula>NOT(ISERROR(SEARCH("Long Buildup",C529)))</formula>
    </cfRule>
  </conditionalFormatting>
  <conditionalFormatting sqref="H529:H545">
    <cfRule type="colorScale" priority="241">
      <colorScale>
        <cfvo type="min"/>
        <cfvo type="percentile" val="20"/>
        <cfvo type="max"/>
        <color rgb="FF92D050"/>
        <color theme="5" tint="0.79998168889431442"/>
        <color rgb="FFFF0000"/>
      </colorScale>
    </cfRule>
    <cfRule type="colorScale" priority="242">
      <colorScale>
        <cfvo type="min"/>
        <cfvo type="max"/>
        <color rgb="FFFF0000"/>
        <color rgb="FF92D050"/>
      </colorScale>
    </cfRule>
    <cfRule type="colorScale" priority="243">
      <colorScale>
        <cfvo type="min"/>
        <cfvo type="percentile" val="50"/>
        <cfvo type="max"/>
        <color rgb="FF5A8AC6"/>
        <color rgb="FFFCFCFF"/>
        <color rgb="FFF8696B"/>
      </colorScale>
    </cfRule>
    <cfRule type="colorScale" priority="244">
      <colorScale>
        <cfvo type="formula" val="&quot;&gt;20&quot;"/>
        <cfvo type="formula" val="35"/>
        <color rgb="FFF8696B"/>
        <color rgb="FFFCFCFF"/>
      </colorScale>
    </cfRule>
    <cfRule type="colorScale" priority="245">
      <colorScale>
        <cfvo type="min"/>
        <cfvo type="max"/>
        <color rgb="FFFFEF9C"/>
        <color rgb="FF63BE7B"/>
      </colorScale>
    </cfRule>
  </conditionalFormatting>
  <conditionalFormatting sqref="N529:N545">
    <cfRule type="colorScale" priority="236">
      <colorScale>
        <cfvo type="min"/>
        <cfvo type="percentile" val="20"/>
        <cfvo type="max"/>
        <color rgb="FF92D050"/>
        <color theme="5" tint="0.79998168889431442"/>
        <color rgb="FFFF0000"/>
      </colorScale>
    </cfRule>
    <cfRule type="colorScale" priority="237">
      <colorScale>
        <cfvo type="min"/>
        <cfvo type="max"/>
        <color rgb="FFFF0000"/>
        <color rgb="FF92D050"/>
      </colorScale>
    </cfRule>
    <cfRule type="colorScale" priority="238">
      <colorScale>
        <cfvo type="min"/>
        <cfvo type="percentile" val="50"/>
        <cfvo type="max"/>
        <color rgb="FF5A8AC6"/>
        <color rgb="FFFCFCFF"/>
        <color rgb="FFF8696B"/>
      </colorScale>
    </cfRule>
    <cfRule type="colorScale" priority="239">
      <colorScale>
        <cfvo type="formula" val="&quot;&gt;20&quot;"/>
        <cfvo type="formula" val="35"/>
        <color rgb="FFF8696B"/>
        <color rgb="FFFCFCFF"/>
      </colorScale>
    </cfRule>
    <cfRule type="colorScale" priority="240">
      <colorScale>
        <cfvo type="min"/>
        <cfvo type="max"/>
        <color rgb="FFFFEF9C"/>
        <color rgb="FF63BE7B"/>
      </colorScale>
    </cfRule>
  </conditionalFormatting>
  <conditionalFormatting sqref="S529:S545">
    <cfRule type="containsText" dxfId="136" priority="232" operator="containsText" text="Short Buildup">
      <formula>NOT(ISERROR(SEARCH("Short Buildup",S529)))</formula>
    </cfRule>
    <cfRule type="containsText" dxfId="135" priority="233" operator="containsText" text="Long Liquidation">
      <formula>NOT(ISERROR(SEARCH("Long Liquidation",S529)))</formula>
    </cfRule>
    <cfRule type="containsText" dxfId="134" priority="234" operator="containsText" text="Short covering">
      <formula>NOT(ISERROR(SEARCH("Short covering",S529)))</formula>
    </cfRule>
    <cfRule type="containsText" dxfId="133" priority="235" operator="containsText" text="Long Buildup">
      <formula>NOT(ISERROR(SEARCH("Long Buildup",S529)))</formula>
    </cfRule>
  </conditionalFormatting>
  <conditionalFormatting sqref="R546:R562 D546:D561 C562">
    <cfRule type="containsText" dxfId="132" priority="218" operator="containsText" text="DOWN">
      <formula>NOT(ISERROR(SEARCH("DOWN",C546)))</formula>
    </cfRule>
  </conditionalFormatting>
  <conditionalFormatting sqref="R546:R562 D546:D561 C562">
    <cfRule type="containsText" dxfId="131" priority="217" operator="containsText" text="UP">
      <formula>NOT(ISERROR(SEARCH("UP",C546)))</formula>
    </cfRule>
  </conditionalFormatting>
  <conditionalFormatting sqref="I546:I562">
    <cfRule type="colorScale" priority="219">
      <colorScale>
        <cfvo type="min"/>
        <cfvo type="max"/>
        <color rgb="FFFFEF9C"/>
        <color rgb="FF63BE7B"/>
      </colorScale>
    </cfRule>
  </conditionalFormatting>
  <conditionalFormatting sqref="M546:M562">
    <cfRule type="colorScale" priority="220">
      <colorScale>
        <cfvo type="min"/>
        <cfvo type="max"/>
        <color rgb="FFFF7128"/>
        <color rgb="FFFFEF9C"/>
      </colorScale>
    </cfRule>
  </conditionalFormatting>
  <conditionalFormatting sqref="Q546:Q562">
    <cfRule type="dataBar" priority="221">
      <dataBar>
        <cfvo type="min"/>
        <cfvo type="max"/>
        <color rgb="FFFF555A"/>
      </dataBar>
    </cfRule>
  </conditionalFormatting>
  <conditionalFormatting sqref="E546:E562">
    <cfRule type="dataBar" priority="222">
      <dataBar>
        <cfvo type="min"/>
        <cfvo type="max"/>
        <color rgb="FFFF555A"/>
      </dataBar>
    </cfRule>
  </conditionalFormatting>
  <conditionalFormatting sqref="F546:F562">
    <cfRule type="top10" dxfId="130" priority="223" rank="1"/>
  </conditionalFormatting>
  <conditionalFormatting sqref="P546:P561">
    <cfRule type="top10" dxfId="129" priority="224" rank="1"/>
  </conditionalFormatting>
  <conditionalFormatting sqref="G546:G562 O546:O561 P562">
    <cfRule type="cellIs" dxfId="128" priority="225" operator="equal">
      <formula>$G$135</formula>
    </cfRule>
  </conditionalFormatting>
  <conditionalFormatting sqref="O546:O561 P562">
    <cfRule type="cellIs" dxfId="127" priority="226" operator="equal">
      <formula>$J$135</formula>
    </cfRule>
  </conditionalFormatting>
  <conditionalFormatting sqref="G546:G562 O546:O561 P562">
    <cfRule type="cellIs" dxfId="126" priority="227" operator="equal">
      <formula>#REF!</formula>
    </cfRule>
  </conditionalFormatting>
  <conditionalFormatting sqref="G546:G562">
    <cfRule type="top10" dxfId="125" priority="228" rank="1"/>
    <cfRule type="cellIs" dxfId="124" priority="229" operator="equal">
      <formula>$G$133</formula>
    </cfRule>
  </conditionalFormatting>
  <conditionalFormatting sqref="O546:O561 P562">
    <cfRule type="top10" dxfId="123" priority="230" rank="1"/>
    <cfRule type="cellIs" dxfId="122" priority="231" operator="equal">
      <formula>$G$133</formula>
    </cfRule>
  </conditionalFormatting>
  <conditionalFormatting sqref="C546:C561">
    <cfRule type="containsText" dxfId="121" priority="213" operator="containsText" text="Short Buildup">
      <formula>NOT(ISERROR(SEARCH("Short Buildup",C546)))</formula>
    </cfRule>
    <cfRule type="containsText" dxfId="120" priority="214" operator="containsText" text="Long Liquidation">
      <formula>NOT(ISERROR(SEARCH("Long Liquidation",C546)))</formula>
    </cfRule>
    <cfRule type="containsText" dxfId="119" priority="215" operator="containsText" text="Short covering">
      <formula>NOT(ISERROR(SEARCH("Short covering",C546)))</formula>
    </cfRule>
    <cfRule type="containsText" dxfId="118" priority="216" operator="containsText" text="Long Buildup">
      <formula>NOT(ISERROR(SEARCH("Long Buildup",C546)))</formula>
    </cfRule>
  </conditionalFormatting>
  <conditionalFormatting sqref="H546:H562">
    <cfRule type="colorScale" priority="208">
      <colorScale>
        <cfvo type="min"/>
        <cfvo type="percentile" val="20"/>
        <cfvo type="max"/>
        <color rgb="FF92D050"/>
        <color theme="5" tint="0.79998168889431442"/>
        <color rgb="FFFF0000"/>
      </colorScale>
    </cfRule>
    <cfRule type="colorScale" priority="209">
      <colorScale>
        <cfvo type="min"/>
        <cfvo type="max"/>
        <color rgb="FFFF0000"/>
        <color rgb="FF92D050"/>
      </colorScale>
    </cfRule>
    <cfRule type="colorScale" priority="210">
      <colorScale>
        <cfvo type="min"/>
        <cfvo type="percentile" val="50"/>
        <cfvo type="max"/>
        <color rgb="FF5A8AC6"/>
        <color rgb="FFFCFCFF"/>
        <color rgb="FFF8696B"/>
      </colorScale>
    </cfRule>
    <cfRule type="colorScale" priority="211">
      <colorScale>
        <cfvo type="formula" val="&quot;&gt;20&quot;"/>
        <cfvo type="formula" val="35"/>
        <color rgb="FFF8696B"/>
        <color rgb="FFFCFCFF"/>
      </colorScale>
    </cfRule>
    <cfRule type="colorScale" priority="212">
      <colorScale>
        <cfvo type="min"/>
        <cfvo type="max"/>
        <color rgb="FFFFEF9C"/>
        <color rgb="FF63BE7B"/>
      </colorScale>
    </cfRule>
  </conditionalFormatting>
  <conditionalFormatting sqref="N546:N562">
    <cfRule type="colorScale" priority="203">
      <colorScale>
        <cfvo type="min"/>
        <cfvo type="percentile" val="20"/>
        <cfvo type="max"/>
        <color rgb="FF92D050"/>
        <color theme="5" tint="0.79998168889431442"/>
        <color rgb="FFFF0000"/>
      </colorScale>
    </cfRule>
    <cfRule type="colorScale" priority="204">
      <colorScale>
        <cfvo type="min"/>
        <cfvo type="max"/>
        <color rgb="FFFF0000"/>
        <color rgb="FF92D050"/>
      </colorScale>
    </cfRule>
    <cfRule type="colorScale" priority="205">
      <colorScale>
        <cfvo type="min"/>
        <cfvo type="percentile" val="50"/>
        <cfvo type="max"/>
        <color rgb="FF5A8AC6"/>
        <color rgb="FFFCFCFF"/>
        <color rgb="FFF8696B"/>
      </colorScale>
    </cfRule>
    <cfRule type="colorScale" priority="206">
      <colorScale>
        <cfvo type="formula" val="&quot;&gt;20&quot;"/>
        <cfvo type="formula" val="35"/>
        <color rgb="FFF8696B"/>
        <color rgb="FFFCFCFF"/>
      </colorScale>
    </cfRule>
    <cfRule type="colorScale" priority="207">
      <colorScale>
        <cfvo type="min"/>
        <cfvo type="max"/>
        <color rgb="FFFFEF9C"/>
        <color rgb="FF63BE7B"/>
      </colorScale>
    </cfRule>
  </conditionalFormatting>
  <conditionalFormatting sqref="S546:S562">
    <cfRule type="containsText" dxfId="117" priority="199" operator="containsText" text="Short Buildup">
      <formula>NOT(ISERROR(SEARCH("Short Buildup",S546)))</formula>
    </cfRule>
    <cfRule type="containsText" dxfId="116" priority="200" operator="containsText" text="Long Liquidation">
      <formula>NOT(ISERROR(SEARCH("Long Liquidation",S546)))</formula>
    </cfRule>
    <cfRule type="containsText" dxfId="115" priority="201" operator="containsText" text="Short covering">
      <formula>NOT(ISERROR(SEARCH("Short covering",S546)))</formula>
    </cfRule>
    <cfRule type="containsText" dxfId="114" priority="202" operator="containsText" text="Long Buildup">
      <formula>NOT(ISERROR(SEARCH("Long Buildup",S546)))</formula>
    </cfRule>
  </conditionalFormatting>
  <conditionalFormatting sqref="R563:R579 D563:D578 C579">
    <cfRule type="containsText" dxfId="113" priority="185" operator="containsText" text="DOWN">
      <formula>NOT(ISERROR(SEARCH("DOWN",C563)))</formula>
    </cfRule>
  </conditionalFormatting>
  <conditionalFormatting sqref="R563:R579 D563:D578 C579">
    <cfRule type="containsText" dxfId="112" priority="184" operator="containsText" text="UP">
      <formula>NOT(ISERROR(SEARCH("UP",C563)))</formula>
    </cfRule>
  </conditionalFormatting>
  <conditionalFormatting sqref="I563:I579">
    <cfRule type="colorScale" priority="186">
      <colorScale>
        <cfvo type="min"/>
        <cfvo type="max"/>
        <color rgb="FFFFEF9C"/>
        <color rgb="FF63BE7B"/>
      </colorScale>
    </cfRule>
  </conditionalFormatting>
  <conditionalFormatting sqref="M563:M579">
    <cfRule type="colorScale" priority="187">
      <colorScale>
        <cfvo type="min"/>
        <cfvo type="max"/>
        <color rgb="FFFF7128"/>
        <color rgb="FFFFEF9C"/>
      </colorScale>
    </cfRule>
  </conditionalFormatting>
  <conditionalFormatting sqref="Q563:Q579">
    <cfRule type="dataBar" priority="188">
      <dataBar>
        <cfvo type="min"/>
        <cfvo type="max"/>
        <color rgb="FFFF555A"/>
      </dataBar>
    </cfRule>
  </conditionalFormatting>
  <conditionalFormatting sqref="E563:E579">
    <cfRule type="dataBar" priority="189">
      <dataBar>
        <cfvo type="min"/>
        <cfvo type="max"/>
        <color rgb="FFFF555A"/>
      </dataBar>
    </cfRule>
  </conditionalFormatting>
  <conditionalFormatting sqref="F563:F579">
    <cfRule type="top10" dxfId="111" priority="190" rank="1"/>
  </conditionalFormatting>
  <conditionalFormatting sqref="P563:P578">
    <cfRule type="top10" dxfId="110" priority="191" rank="1"/>
  </conditionalFormatting>
  <conditionalFormatting sqref="G563:G579 O563:O578 P579">
    <cfRule type="cellIs" dxfId="109" priority="192" operator="equal">
      <formula>$G$135</formula>
    </cfRule>
  </conditionalFormatting>
  <conditionalFormatting sqref="O563:O578 P579">
    <cfRule type="cellIs" dxfId="108" priority="193" operator="equal">
      <formula>$J$135</formula>
    </cfRule>
  </conditionalFormatting>
  <conditionalFormatting sqref="G563:G579 O563:O578 P579">
    <cfRule type="cellIs" dxfId="107" priority="194" operator="equal">
      <formula>#REF!</formula>
    </cfRule>
  </conditionalFormatting>
  <conditionalFormatting sqref="G563:G579">
    <cfRule type="top10" dxfId="106" priority="195" rank="1"/>
    <cfRule type="cellIs" dxfId="105" priority="196" operator="equal">
      <formula>$G$133</formula>
    </cfRule>
  </conditionalFormatting>
  <conditionalFormatting sqref="O563:O578 P579">
    <cfRule type="top10" dxfId="104" priority="197" rank="1"/>
    <cfRule type="cellIs" dxfId="103" priority="198" operator="equal">
      <formula>$G$133</formula>
    </cfRule>
  </conditionalFormatting>
  <conditionalFormatting sqref="C563:C578">
    <cfRule type="containsText" dxfId="102" priority="180" operator="containsText" text="Short Buildup">
      <formula>NOT(ISERROR(SEARCH("Short Buildup",C563)))</formula>
    </cfRule>
    <cfRule type="containsText" dxfId="101" priority="181" operator="containsText" text="Long Liquidation">
      <formula>NOT(ISERROR(SEARCH("Long Liquidation",C563)))</formula>
    </cfRule>
    <cfRule type="containsText" dxfId="100" priority="182" operator="containsText" text="Short covering">
      <formula>NOT(ISERROR(SEARCH("Short covering",C563)))</formula>
    </cfRule>
    <cfRule type="containsText" dxfId="99" priority="183" operator="containsText" text="Long Buildup">
      <formula>NOT(ISERROR(SEARCH("Long Buildup",C563)))</formula>
    </cfRule>
  </conditionalFormatting>
  <conditionalFormatting sqref="H563:H579">
    <cfRule type="colorScale" priority="175">
      <colorScale>
        <cfvo type="min"/>
        <cfvo type="percentile" val="20"/>
        <cfvo type="max"/>
        <color rgb="FF92D050"/>
        <color theme="5" tint="0.79998168889431442"/>
        <color rgb="FFFF0000"/>
      </colorScale>
    </cfRule>
    <cfRule type="colorScale" priority="176">
      <colorScale>
        <cfvo type="min"/>
        <cfvo type="max"/>
        <color rgb="FFFF0000"/>
        <color rgb="FF92D050"/>
      </colorScale>
    </cfRule>
    <cfRule type="colorScale" priority="177">
      <colorScale>
        <cfvo type="min"/>
        <cfvo type="percentile" val="50"/>
        <cfvo type="max"/>
        <color rgb="FF5A8AC6"/>
        <color rgb="FFFCFCFF"/>
        <color rgb="FFF8696B"/>
      </colorScale>
    </cfRule>
    <cfRule type="colorScale" priority="178">
      <colorScale>
        <cfvo type="formula" val="&quot;&gt;20&quot;"/>
        <cfvo type="formula" val="35"/>
        <color rgb="FFF8696B"/>
        <color rgb="FFFCFCFF"/>
      </colorScale>
    </cfRule>
    <cfRule type="colorScale" priority="179">
      <colorScale>
        <cfvo type="min"/>
        <cfvo type="max"/>
        <color rgb="FFFFEF9C"/>
        <color rgb="FF63BE7B"/>
      </colorScale>
    </cfRule>
  </conditionalFormatting>
  <conditionalFormatting sqref="N563:N579">
    <cfRule type="colorScale" priority="170">
      <colorScale>
        <cfvo type="min"/>
        <cfvo type="percentile" val="20"/>
        <cfvo type="max"/>
        <color rgb="FF92D050"/>
        <color theme="5" tint="0.79998168889431442"/>
        <color rgb="FFFF0000"/>
      </colorScale>
    </cfRule>
    <cfRule type="colorScale" priority="171">
      <colorScale>
        <cfvo type="min"/>
        <cfvo type="max"/>
        <color rgb="FFFF0000"/>
        <color rgb="FF92D050"/>
      </colorScale>
    </cfRule>
    <cfRule type="colorScale" priority="172">
      <colorScale>
        <cfvo type="min"/>
        <cfvo type="percentile" val="50"/>
        <cfvo type="max"/>
        <color rgb="FF5A8AC6"/>
        <color rgb="FFFCFCFF"/>
        <color rgb="FFF8696B"/>
      </colorScale>
    </cfRule>
    <cfRule type="colorScale" priority="173">
      <colorScale>
        <cfvo type="formula" val="&quot;&gt;20&quot;"/>
        <cfvo type="formula" val="35"/>
        <color rgb="FFF8696B"/>
        <color rgb="FFFCFCFF"/>
      </colorScale>
    </cfRule>
    <cfRule type="colorScale" priority="174">
      <colorScale>
        <cfvo type="min"/>
        <cfvo type="max"/>
        <color rgb="FFFFEF9C"/>
        <color rgb="FF63BE7B"/>
      </colorScale>
    </cfRule>
  </conditionalFormatting>
  <conditionalFormatting sqref="S563:S579">
    <cfRule type="containsText" dxfId="98" priority="166" operator="containsText" text="Short Buildup">
      <formula>NOT(ISERROR(SEARCH("Short Buildup",S563)))</formula>
    </cfRule>
    <cfRule type="containsText" dxfId="97" priority="167" operator="containsText" text="Long Liquidation">
      <formula>NOT(ISERROR(SEARCH("Long Liquidation",S563)))</formula>
    </cfRule>
    <cfRule type="containsText" dxfId="96" priority="168" operator="containsText" text="Short covering">
      <formula>NOT(ISERROR(SEARCH("Short covering",S563)))</formula>
    </cfRule>
    <cfRule type="containsText" dxfId="95" priority="169" operator="containsText" text="Long Buildup">
      <formula>NOT(ISERROR(SEARCH("Long Buildup",S563)))</formula>
    </cfRule>
  </conditionalFormatting>
  <conditionalFormatting sqref="R580:R596 D580:D595 C596">
    <cfRule type="containsText" dxfId="94" priority="152" operator="containsText" text="DOWN">
      <formula>NOT(ISERROR(SEARCH("DOWN",C580)))</formula>
    </cfRule>
  </conditionalFormatting>
  <conditionalFormatting sqref="R580:R596 D580:D595 C596">
    <cfRule type="containsText" dxfId="93" priority="151" operator="containsText" text="UP">
      <formula>NOT(ISERROR(SEARCH("UP",C580)))</formula>
    </cfRule>
  </conditionalFormatting>
  <conditionalFormatting sqref="I580:I596">
    <cfRule type="colorScale" priority="153">
      <colorScale>
        <cfvo type="min"/>
        <cfvo type="max"/>
        <color rgb="FFFFEF9C"/>
        <color rgb="FF63BE7B"/>
      </colorScale>
    </cfRule>
  </conditionalFormatting>
  <conditionalFormatting sqref="M580:M596">
    <cfRule type="colorScale" priority="154">
      <colorScale>
        <cfvo type="min"/>
        <cfvo type="max"/>
        <color rgb="FFFF7128"/>
        <color rgb="FFFFEF9C"/>
      </colorScale>
    </cfRule>
  </conditionalFormatting>
  <conditionalFormatting sqref="Q580:Q596">
    <cfRule type="dataBar" priority="155">
      <dataBar>
        <cfvo type="min"/>
        <cfvo type="max"/>
        <color rgb="FFFF555A"/>
      </dataBar>
    </cfRule>
  </conditionalFormatting>
  <conditionalFormatting sqref="E580:E596">
    <cfRule type="dataBar" priority="156">
      <dataBar>
        <cfvo type="min"/>
        <cfvo type="max"/>
        <color rgb="FFFF555A"/>
      </dataBar>
    </cfRule>
  </conditionalFormatting>
  <conditionalFormatting sqref="F580:F596">
    <cfRule type="top10" dxfId="92" priority="157" rank="1"/>
  </conditionalFormatting>
  <conditionalFormatting sqref="P580:P595">
    <cfRule type="top10" dxfId="91" priority="158" rank="1"/>
  </conditionalFormatting>
  <conditionalFormatting sqref="G580:G596 O580:O595 P596">
    <cfRule type="cellIs" dxfId="90" priority="159" operator="equal">
      <formula>$G$135</formula>
    </cfRule>
  </conditionalFormatting>
  <conditionalFormatting sqref="O580:O595 P596">
    <cfRule type="cellIs" dxfId="89" priority="160" operator="equal">
      <formula>$J$135</formula>
    </cfRule>
  </conditionalFormatting>
  <conditionalFormatting sqref="G580:G596 O580:O595 P596">
    <cfRule type="cellIs" dxfId="88" priority="161" operator="equal">
      <formula>#REF!</formula>
    </cfRule>
  </conditionalFormatting>
  <conditionalFormatting sqref="G580:G596">
    <cfRule type="top10" dxfId="87" priority="162" rank="1"/>
    <cfRule type="cellIs" dxfId="86" priority="163" operator="equal">
      <formula>$G$133</formula>
    </cfRule>
  </conditionalFormatting>
  <conditionalFormatting sqref="O580:O595 P596">
    <cfRule type="top10" dxfId="85" priority="164" rank="1"/>
    <cfRule type="cellIs" dxfId="84" priority="165" operator="equal">
      <formula>$G$133</formula>
    </cfRule>
  </conditionalFormatting>
  <conditionalFormatting sqref="C580:C595">
    <cfRule type="containsText" dxfId="83" priority="147" operator="containsText" text="Short Buildup">
      <formula>NOT(ISERROR(SEARCH("Short Buildup",C580)))</formula>
    </cfRule>
    <cfRule type="containsText" dxfId="82" priority="148" operator="containsText" text="Long Liquidation">
      <formula>NOT(ISERROR(SEARCH("Long Liquidation",C580)))</formula>
    </cfRule>
    <cfRule type="containsText" dxfId="81" priority="149" operator="containsText" text="Short covering">
      <formula>NOT(ISERROR(SEARCH("Short covering",C580)))</formula>
    </cfRule>
    <cfRule type="containsText" dxfId="80" priority="150" operator="containsText" text="Long Buildup">
      <formula>NOT(ISERROR(SEARCH("Long Buildup",C580)))</formula>
    </cfRule>
  </conditionalFormatting>
  <conditionalFormatting sqref="H580:H596">
    <cfRule type="colorScale" priority="142">
      <colorScale>
        <cfvo type="min"/>
        <cfvo type="percentile" val="20"/>
        <cfvo type="max"/>
        <color rgb="FF92D050"/>
        <color theme="5" tint="0.79998168889431442"/>
        <color rgb="FFFF0000"/>
      </colorScale>
    </cfRule>
    <cfRule type="colorScale" priority="143">
      <colorScale>
        <cfvo type="min"/>
        <cfvo type="max"/>
        <color rgb="FFFF0000"/>
        <color rgb="FF92D050"/>
      </colorScale>
    </cfRule>
    <cfRule type="colorScale" priority="144">
      <colorScale>
        <cfvo type="min"/>
        <cfvo type="percentile" val="50"/>
        <cfvo type="max"/>
        <color rgb="FF5A8AC6"/>
        <color rgb="FFFCFCFF"/>
        <color rgb="FFF8696B"/>
      </colorScale>
    </cfRule>
    <cfRule type="colorScale" priority="145">
      <colorScale>
        <cfvo type="formula" val="&quot;&gt;20&quot;"/>
        <cfvo type="formula" val="35"/>
        <color rgb="FFF8696B"/>
        <color rgb="FFFCFCFF"/>
      </colorScale>
    </cfRule>
    <cfRule type="colorScale" priority="146">
      <colorScale>
        <cfvo type="min"/>
        <cfvo type="max"/>
        <color rgb="FFFFEF9C"/>
        <color rgb="FF63BE7B"/>
      </colorScale>
    </cfRule>
  </conditionalFormatting>
  <conditionalFormatting sqref="N580:N596">
    <cfRule type="colorScale" priority="137">
      <colorScale>
        <cfvo type="min"/>
        <cfvo type="percentile" val="20"/>
        <cfvo type="max"/>
        <color rgb="FF92D050"/>
        <color theme="5" tint="0.79998168889431442"/>
        <color rgb="FFFF0000"/>
      </colorScale>
    </cfRule>
    <cfRule type="colorScale" priority="138">
      <colorScale>
        <cfvo type="min"/>
        <cfvo type="max"/>
        <color rgb="FFFF0000"/>
        <color rgb="FF92D050"/>
      </colorScale>
    </cfRule>
    <cfRule type="colorScale" priority="139">
      <colorScale>
        <cfvo type="min"/>
        <cfvo type="percentile" val="50"/>
        <cfvo type="max"/>
        <color rgb="FF5A8AC6"/>
        <color rgb="FFFCFCFF"/>
        <color rgb="FFF8696B"/>
      </colorScale>
    </cfRule>
    <cfRule type="colorScale" priority="140">
      <colorScale>
        <cfvo type="formula" val="&quot;&gt;20&quot;"/>
        <cfvo type="formula" val="35"/>
        <color rgb="FFF8696B"/>
        <color rgb="FFFCFCFF"/>
      </colorScale>
    </cfRule>
    <cfRule type="colorScale" priority="141">
      <colorScale>
        <cfvo type="min"/>
        <cfvo type="max"/>
        <color rgb="FFFFEF9C"/>
        <color rgb="FF63BE7B"/>
      </colorScale>
    </cfRule>
  </conditionalFormatting>
  <conditionalFormatting sqref="S580:S596">
    <cfRule type="containsText" dxfId="79" priority="133" operator="containsText" text="Short Buildup">
      <formula>NOT(ISERROR(SEARCH("Short Buildup",S580)))</formula>
    </cfRule>
    <cfRule type="containsText" dxfId="78" priority="134" operator="containsText" text="Long Liquidation">
      <formula>NOT(ISERROR(SEARCH("Long Liquidation",S580)))</formula>
    </cfRule>
    <cfRule type="containsText" dxfId="77" priority="135" operator="containsText" text="Short covering">
      <formula>NOT(ISERROR(SEARCH("Short covering",S580)))</formula>
    </cfRule>
    <cfRule type="containsText" dxfId="76" priority="136" operator="containsText" text="Long Buildup">
      <formula>NOT(ISERROR(SEARCH("Long Buildup",S580)))</formula>
    </cfRule>
  </conditionalFormatting>
  <conditionalFormatting sqref="R597:R613 D597:D612 C613">
    <cfRule type="containsText" dxfId="75" priority="119" operator="containsText" text="DOWN">
      <formula>NOT(ISERROR(SEARCH("DOWN",C597)))</formula>
    </cfRule>
  </conditionalFormatting>
  <conditionalFormatting sqref="R597:R613 D597:D612 C613">
    <cfRule type="containsText" dxfId="74" priority="118" operator="containsText" text="UP">
      <formula>NOT(ISERROR(SEARCH("UP",C597)))</formula>
    </cfRule>
  </conditionalFormatting>
  <conditionalFormatting sqref="I597:I613">
    <cfRule type="colorScale" priority="120">
      <colorScale>
        <cfvo type="min"/>
        <cfvo type="max"/>
        <color rgb="FFFFEF9C"/>
        <color rgb="FF63BE7B"/>
      </colorScale>
    </cfRule>
  </conditionalFormatting>
  <conditionalFormatting sqref="M597:M613">
    <cfRule type="colorScale" priority="121">
      <colorScale>
        <cfvo type="min"/>
        <cfvo type="max"/>
        <color rgb="FFFF7128"/>
        <color rgb="FFFFEF9C"/>
      </colorScale>
    </cfRule>
  </conditionalFormatting>
  <conditionalFormatting sqref="Q597:Q613">
    <cfRule type="dataBar" priority="122">
      <dataBar>
        <cfvo type="min"/>
        <cfvo type="max"/>
        <color rgb="FFFF555A"/>
      </dataBar>
    </cfRule>
  </conditionalFormatting>
  <conditionalFormatting sqref="E597:E613">
    <cfRule type="dataBar" priority="123">
      <dataBar>
        <cfvo type="min"/>
        <cfvo type="max"/>
        <color rgb="FFFF555A"/>
      </dataBar>
    </cfRule>
  </conditionalFormatting>
  <conditionalFormatting sqref="F597:F613">
    <cfRule type="top10" dxfId="73" priority="124" rank="1"/>
  </conditionalFormatting>
  <conditionalFormatting sqref="P597:P612">
    <cfRule type="top10" dxfId="72" priority="125" rank="1"/>
  </conditionalFormatting>
  <conditionalFormatting sqref="G597:G613 O597:O612 P613">
    <cfRule type="cellIs" dxfId="71" priority="126" operator="equal">
      <formula>$G$135</formula>
    </cfRule>
  </conditionalFormatting>
  <conditionalFormatting sqref="O597:O612 P613">
    <cfRule type="cellIs" dxfId="70" priority="127" operator="equal">
      <formula>$J$135</formula>
    </cfRule>
  </conditionalFormatting>
  <conditionalFormatting sqref="G597:G613 O597:O612 P613">
    <cfRule type="cellIs" dxfId="69" priority="128" operator="equal">
      <formula>#REF!</formula>
    </cfRule>
  </conditionalFormatting>
  <conditionalFormatting sqref="G597:G613">
    <cfRule type="top10" dxfId="68" priority="129" rank="1"/>
    <cfRule type="cellIs" dxfId="67" priority="130" operator="equal">
      <formula>$G$133</formula>
    </cfRule>
  </conditionalFormatting>
  <conditionalFormatting sqref="O597:O612 P613">
    <cfRule type="top10" dxfId="66" priority="131" rank="1"/>
    <cfRule type="cellIs" dxfId="65" priority="132" operator="equal">
      <formula>$G$133</formula>
    </cfRule>
  </conditionalFormatting>
  <conditionalFormatting sqref="C597:C612">
    <cfRule type="containsText" dxfId="64" priority="114" operator="containsText" text="Short Buildup">
      <formula>NOT(ISERROR(SEARCH("Short Buildup",C597)))</formula>
    </cfRule>
    <cfRule type="containsText" dxfId="63" priority="115" operator="containsText" text="Long Liquidation">
      <formula>NOT(ISERROR(SEARCH("Long Liquidation",C597)))</formula>
    </cfRule>
    <cfRule type="containsText" dxfId="62" priority="116" operator="containsText" text="Short covering">
      <formula>NOT(ISERROR(SEARCH("Short covering",C597)))</formula>
    </cfRule>
    <cfRule type="containsText" dxfId="61" priority="117" operator="containsText" text="Long Buildup">
      <formula>NOT(ISERROR(SEARCH("Long Buildup",C597)))</formula>
    </cfRule>
  </conditionalFormatting>
  <conditionalFormatting sqref="H597:H613">
    <cfRule type="colorScale" priority="109">
      <colorScale>
        <cfvo type="min"/>
        <cfvo type="percentile" val="20"/>
        <cfvo type="max"/>
        <color rgb="FF92D050"/>
        <color theme="5" tint="0.79998168889431442"/>
        <color rgb="FFFF0000"/>
      </colorScale>
    </cfRule>
    <cfRule type="colorScale" priority="110">
      <colorScale>
        <cfvo type="min"/>
        <cfvo type="max"/>
        <color rgb="FFFF0000"/>
        <color rgb="FF92D050"/>
      </colorScale>
    </cfRule>
    <cfRule type="colorScale" priority="111">
      <colorScale>
        <cfvo type="min"/>
        <cfvo type="percentile" val="50"/>
        <cfvo type="max"/>
        <color rgb="FF5A8AC6"/>
        <color rgb="FFFCFCFF"/>
        <color rgb="FFF8696B"/>
      </colorScale>
    </cfRule>
    <cfRule type="colorScale" priority="112">
      <colorScale>
        <cfvo type="formula" val="&quot;&gt;20&quot;"/>
        <cfvo type="formula" val="35"/>
        <color rgb="FFF8696B"/>
        <color rgb="FFFCFCFF"/>
      </colorScale>
    </cfRule>
    <cfRule type="colorScale" priority="113">
      <colorScale>
        <cfvo type="min"/>
        <cfvo type="max"/>
        <color rgb="FFFFEF9C"/>
        <color rgb="FF63BE7B"/>
      </colorScale>
    </cfRule>
  </conditionalFormatting>
  <conditionalFormatting sqref="N597:N613">
    <cfRule type="colorScale" priority="104">
      <colorScale>
        <cfvo type="min"/>
        <cfvo type="percentile" val="20"/>
        <cfvo type="max"/>
        <color rgb="FF92D050"/>
        <color theme="5" tint="0.79998168889431442"/>
        <color rgb="FFFF0000"/>
      </colorScale>
    </cfRule>
    <cfRule type="colorScale" priority="105">
      <colorScale>
        <cfvo type="min"/>
        <cfvo type="max"/>
        <color rgb="FFFF0000"/>
        <color rgb="FF92D050"/>
      </colorScale>
    </cfRule>
    <cfRule type="colorScale" priority="106">
      <colorScale>
        <cfvo type="min"/>
        <cfvo type="percentile" val="50"/>
        <cfvo type="max"/>
        <color rgb="FF5A8AC6"/>
        <color rgb="FFFCFCFF"/>
        <color rgb="FFF8696B"/>
      </colorScale>
    </cfRule>
    <cfRule type="colorScale" priority="107">
      <colorScale>
        <cfvo type="formula" val="&quot;&gt;20&quot;"/>
        <cfvo type="formula" val="35"/>
        <color rgb="FFF8696B"/>
        <color rgb="FFFCFCFF"/>
      </colorScale>
    </cfRule>
    <cfRule type="colorScale" priority="108">
      <colorScale>
        <cfvo type="min"/>
        <cfvo type="max"/>
        <color rgb="FFFFEF9C"/>
        <color rgb="FF63BE7B"/>
      </colorScale>
    </cfRule>
  </conditionalFormatting>
  <conditionalFormatting sqref="S597:S613">
    <cfRule type="containsText" dxfId="60" priority="100" operator="containsText" text="Short Buildup">
      <formula>NOT(ISERROR(SEARCH("Short Buildup",S597)))</formula>
    </cfRule>
    <cfRule type="containsText" dxfId="59" priority="101" operator="containsText" text="Long Liquidation">
      <formula>NOT(ISERROR(SEARCH("Long Liquidation",S597)))</formula>
    </cfRule>
    <cfRule type="containsText" dxfId="58" priority="102" operator="containsText" text="Short covering">
      <formula>NOT(ISERROR(SEARCH("Short covering",S597)))</formula>
    </cfRule>
    <cfRule type="containsText" dxfId="57" priority="103" operator="containsText" text="Long Buildup">
      <formula>NOT(ISERROR(SEARCH("Long Buildup",S597)))</formula>
    </cfRule>
  </conditionalFormatting>
  <conditionalFormatting sqref="R614:R630 D614:D629 C630">
    <cfRule type="containsText" dxfId="56" priority="86" operator="containsText" text="DOWN">
      <formula>NOT(ISERROR(SEARCH("DOWN",C614)))</formula>
    </cfRule>
  </conditionalFormatting>
  <conditionalFormatting sqref="R614:R630 D614:D629 C630">
    <cfRule type="containsText" dxfId="55" priority="85" operator="containsText" text="UP">
      <formula>NOT(ISERROR(SEARCH("UP",C614)))</formula>
    </cfRule>
  </conditionalFormatting>
  <conditionalFormatting sqref="I614:I630">
    <cfRule type="colorScale" priority="87">
      <colorScale>
        <cfvo type="min"/>
        <cfvo type="max"/>
        <color rgb="FFFFEF9C"/>
        <color rgb="FF63BE7B"/>
      </colorScale>
    </cfRule>
  </conditionalFormatting>
  <conditionalFormatting sqref="M614:M630">
    <cfRule type="colorScale" priority="88">
      <colorScale>
        <cfvo type="min"/>
        <cfvo type="max"/>
        <color rgb="FFFF7128"/>
        <color rgb="FFFFEF9C"/>
      </colorScale>
    </cfRule>
  </conditionalFormatting>
  <conditionalFormatting sqref="Q614:Q630">
    <cfRule type="dataBar" priority="89">
      <dataBar>
        <cfvo type="min"/>
        <cfvo type="max"/>
        <color rgb="FFFF555A"/>
      </dataBar>
    </cfRule>
  </conditionalFormatting>
  <conditionalFormatting sqref="E614:E630">
    <cfRule type="dataBar" priority="90">
      <dataBar>
        <cfvo type="min"/>
        <cfvo type="max"/>
        <color rgb="FFFF555A"/>
      </dataBar>
    </cfRule>
  </conditionalFormatting>
  <conditionalFormatting sqref="F614:F630">
    <cfRule type="top10" dxfId="54" priority="91" rank="1"/>
  </conditionalFormatting>
  <conditionalFormatting sqref="P614:P629">
    <cfRule type="top10" dxfId="53" priority="92" rank="1"/>
  </conditionalFormatting>
  <conditionalFormatting sqref="G614:G630 O614:O629 P630">
    <cfRule type="cellIs" dxfId="52" priority="93" operator="equal">
      <formula>$G$135</formula>
    </cfRule>
  </conditionalFormatting>
  <conditionalFormatting sqref="O614:O629 P630">
    <cfRule type="cellIs" dxfId="51" priority="94" operator="equal">
      <formula>$J$135</formula>
    </cfRule>
  </conditionalFormatting>
  <conditionalFormatting sqref="G614:G630 O614:O629 P630">
    <cfRule type="cellIs" dxfId="50" priority="95" operator="equal">
      <formula>#REF!</formula>
    </cfRule>
  </conditionalFormatting>
  <conditionalFormatting sqref="G614:G630">
    <cfRule type="top10" dxfId="49" priority="96" rank="1"/>
    <cfRule type="cellIs" dxfId="48" priority="97" operator="equal">
      <formula>$G$133</formula>
    </cfRule>
  </conditionalFormatting>
  <conditionalFormatting sqref="O614:O629 P630">
    <cfRule type="top10" dxfId="47" priority="98" rank="1"/>
    <cfRule type="cellIs" dxfId="46" priority="99" operator="equal">
      <formula>$G$133</formula>
    </cfRule>
  </conditionalFormatting>
  <conditionalFormatting sqref="C614:C629">
    <cfRule type="containsText" dxfId="45" priority="81" operator="containsText" text="Short Buildup">
      <formula>NOT(ISERROR(SEARCH("Short Buildup",C614)))</formula>
    </cfRule>
    <cfRule type="containsText" dxfId="44" priority="82" operator="containsText" text="Long Liquidation">
      <formula>NOT(ISERROR(SEARCH("Long Liquidation",C614)))</formula>
    </cfRule>
    <cfRule type="containsText" dxfId="43" priority="83" operator="containsText" text="Short covering">
      <formula>NOT(ISERROR(SEARCH("Short covering",C614)))</formula>
    </cfRule>
    <cfRule type="containsText" dxfId="42" priority="84" operator="containsText" text="Long Buildup">
      <formula>NOT(ISERROR(SEARCH("Long Buildup",C614)))</formula>
    </cfRule>
  </conditionalFormatting>
  <conditionalFormatting sqref="H614:H630">
    <cfRule type="colorScale" priority="76">
      <colorScale>
        <cfvo type="min"/>
        <cfvo type="percentile" val="20"/>
        <cfvo type="max"/>
        <color rgb="FF92D050"/>
        <color theme="5" tint="0.79998168889431442"/>
        <color rgb="FFFF0000"/>
      </colorScale>
    </cfRule>
    <cfRule type="colorScale" priority="77">
      <colorScale>
        <cfvo type="min"/>
        <cfvo type="max"/>
        <color rgb="FFFF0000"/>
        <color rgb="FF92D050"/>
      </colorScale>
    </cfRule>
    <cfRule type="colorScale" priority="78">
      <colorScale>
        <cfvo type="min"/>
        <cfvo type="percentile" val="50"/>
        <cfvo type="max"/>
        <color rgb="FF5A8AC6"/>
        <color rgb="FFFCFCFF"/>
        <color rgb="FFF8696B"/>
      </colorScale>
    </cfRule>
    <cfRule type="colorScale" priority="79">
      <colorScale>
        <cfvo type="formula" val="&quot;&gt;20&quot;"/>
        <cfvo type="formula" val="35"/>
        <color rgb="FFF8696B"/>
        <color rgb="FFFCFCFF"/>
      </colorScale>
    </cfRule>
    <cfRule type="colorScale" priority="80">
      <colorScale>
        <cfvo type="min"/>
        <cfvo type="max"/>
        <color rgb="FFFFEF9C"/>
        <color rgb="FF63BE7B"/>
      </colorScale>
    </cfRule>
  </conditionalFormatting>
  <conditionalFormatting sqref="N614:N630">
    <cfRule type="colorScale" priority="71">
      <colorScale>
        <cfvo type="min"/>
        <cfvo type="percentile" val="20"/>
        <cfvo type="max"/>
        <color rgb="FF92D050"/>
        <color theme="5" tint="0.79998168889431442"/>
        <color rgb="FFFF0000"/>
      </colorScale>
    </cfRule>
    <cfRule type="colorScale" priority="72">
      <colorScale>
        <cfvo type="min"/>
        <cfvo type="max"/>
        <color rgb="FFFF0000"/>
        <color rgb="FF92D050"/>
      </colorScale>
    </cfRule>
    <cfRule type="colorScale" priority="73">
      <colorScale>
        <cfvo type="min"/>
        <cfvo type="percentile" val="50"/>
        <cfvo type="max"/>
        <color rgb="FF5A8AC6"/>
        <color rgb="FFFCFCFF"/>
        <color rgb="FFF8696B"/>
      </colorScale>
    </cfRule>
    <cfRule type="colorScale" priority="74">
      <colorScale>
        <cfvo type="formula" val="&quot;&gt;20&quot;"/>
        <cfvo type="formula" val="35"/>
        <color rgb="FFF8696B"/>
        <color rgb="FFFCFCFF"/>
      </colorScale>
    </cfRule>
    <cfRule type="colorScale" priority="75">
      <colorScale>
        <cfvo type="min"/>
        <cfvo type="max"/>
        <color rgb="FFFFEF9C"/>
        <color rgb="FF63BE7B"/>
      </colorScale>
    </cfRule>
  </conditionalFormatting>
  <conditionalFormatting sqref="S614:S630">
    <cfRule type="containsText" dxfId="41" priority="67" operator="containsText" text="Short Buildup">
      <formula>NOT(ISERROR(SEARCH("Short Buildup",S614)))</formula>
    </cfRule>
    <cfRule type="containsText" dxfId="40" priority="68" operator="containsText" text="Long Liquidation">
      <formula>NOT(ISERROR(SEARCH("Long Liquidation",S614)))</formula>
    </cfRule>
    <cfRule type="containsText" dxfId="39" priority="69" operator="containsText" text="Short covering">
      <formula>NOT(ISERROR(SEARCH("Short covering",S614)))</formula>
    </cfRule>
    <cfRule type="containsText" dxfId="38" priority="70" operator="containsText" text="Long Buildup">
      <formula>NOT(ISERROR(SEARCH("Long Buildup",S614)))</formula>
    </cfRule>
  </conditionalFormatting>
  <conditionalFormatting sqref="R631:R647 D631:D646 C647">
    <cfRule type="containsText" dxfId="37" priority="53" operator="containsText" text="DOWN">
      <formula>NOT(ISERROR(SEARCH("DOWN",C631)))</formula>
    </cfRule>
  </conditionalFormatting>
  <conditionalFormatting sqref="R631:R647 D631:D646 C647">
    <cfRule type="containsText" dxfId="36" priority="52" operator="containsText" text="UP">
      <formula>NOT(ISERROR(SEARCH("UP",C631)))</formula>
    </cfRule>
  </conditionalFormatting>
  <conditionalFormatting sqref="I631:I647">
    <cfRule type="colorScale" priority="54">
      <colorScale>
        <cfvo type="min"/>
        <cfvo type="max"/>
        <color rgb="FFFFEF9C"/>
        <color rgb="FF63BE7B"/>
      </colorScale>
    </cfRule>
  </conditionalFormatting>
  <conditionalFormatting sqref="M631:M647">
    <cfRule type="colorScale" priority="55">
      <colorScale>
        <cfvo type="min"/>
        <cfvo type="max"/>
        <color rgb="FFFF7128"/>
        <color rgb="FFFFEF9C"/>
      </colorScale>
    </cfRule>
  </conditionalFormatting>
  <conditionalFormatting sqref="Q631:Q647">
    <cfRule type="dataBar" priority="56">
      <dataBar>
        <cfvo type="min"/>
        <cfvo type="max"/>
        <color rgb="FFFF555A"/>
      </dataBar>
    </cfRule>
  </conditionalFormatting>
  <conditionalFormatting sqref="E631:E647">
    <cfRule type="dataBar" priority="57">
      <dataBar>
        <cfvo type="min"/>
        <cfvo type="max"/>
        <color rgb="FFFF555A"/>
      </dataBar>
    </cfRule>
  </conditionalFormatting>
  <conditionalFormatting sqref="F631:F647">
    <cfRule type="top10" dxfId="35" priority="58" rank="1"/>
  </conditionalFormatting>
  <conditionalFormatting sqref="P631:P646">
    <cfRule type="top10" dxfId="34" priority="59" rank="1"/>
  </conditionalFormatting>
  <conditionalFormatting sqref="G631:G647 O631:O646 P647">
    <cfRule type="cellIs" dxfId="33" priority="60" operator="equal">
      <formula>$G$135</formula>
    </cfRule>
  </conditionalFormatting>
  <conditionalFormatting sqref="O631:O646 P647">
    <cfRule type="cellIs" dxfId="32" priority="61" operator="equal">
      <formula>$J$135</formula>
    </cfRule>
  </conditionalFormatting>
  <conditionalFormatting sqref="G631:G647 O631:O646 P647">
    <cfRule type="cellIs" dxfId="31" priority="62" operator="equal">
      <formula>#REF!</formula>
    </cfRule>
  </conditionalFormatting>
  <conditionalFormatting sqref="G631:G647">
    <cfRule type="top10" dxfId="30" priority="63" rank="1"/>
    <cfRule type="cellIs" dxfId="29" priority="64" operator="equal">
      <formula>$G$133</formula>
    </cfRule>
  </conditionalFormatting>
  <conditionalFormatting sqref="O631:O646 P647">
    <cfRule type="top10" dxfId="28" priority="65" rank="1"/>
    <cfRule type="cellIs" dxfId="27" priority="66" operator="equal">
      <formula>$G$133</formula>
    </cfRule>
  </conditionalFormatting>
  <conditionalFormatting sqref="C631:C646">
    <cfRule type="containsText" dxfId="26" priority="48" operator="containsText" text="Short Buildup">
      <formula>NOT(ISERROR(SEARCH("Short Buildup",C631)))</formula>
    </cfRule>
    <cfRule type="containsText" dxfId="25" priority="49" operator="containsText" text="Long Liquidation">
      <formula>NOT(ISERROR(SEARCH("Long Liquidation",C631)))</formula>
    </cfRule>
    <cfRule type="containsText" dxfId="24" priority="50" operator="containsText" text="Short covering">
      <formula>NOT(ISERROR(SEARCH("Short covering",C631)))</formula>
    </cfRule>
    <cfRule type="containsText" dxfId="23" priority="51" operator="containsText" text="Long Buildup">
      <formula>NOT(ISERROR(SEARCH("Long Buildup",C631)))</formula>
    </cfRule>
  </conditionalFormatting>
  <conditionalFormatting sqref="H631:H647">
    <cfRule type="colorScale" priority="43">
      <colorScale>
        <cfvo type="min"/>
        <cfvo type="percentile" val="20"/>
        <cfvo type="max"/>
        <color rgb="FF92D050"/>
        <color theme="5" tint="0.79998168889431442"/>
        <color rgb="FFFF0000"/>
      </colorScale>
    </cfRule>
    <cfRule type="colorScale" priority="44">
      <colorScale>
        <cfvo type="min"/>
        <cfvo type="max"/>
        <color rgb="FFFF0000"/>
        <color rgb="FF92D050"/>
      </colorScale>
    </cfRule>
    <cfRule type="colorScale" priority="45">
      <colorScale>
        <cfvo type="min"/>
        <cfvo type="percentile" val="50"/>
        <cfvo type="max"/>
        <color rgb="FF5A8AC6"/>
        <color rgb="FFFCFCFF"/>
        <color rgb="FFF8696B"/>
      </colorScale>
    </cfRule>
    <cfRule type="colorScale" priority="46">
      <colorScale>
        <cfvo type="formula" val="&quot;&gt;20&quot;"/>
        <cfvo type="formula" val="35"/>
        <color rgb="FFF8696B"/>
        <color rgb="FFFCFCFF"/>
      </colorScale>
    </cfRule>
    <cfRule type="colorScale" priority="47">
      <colorScale>
        <cfvo type="min"/>
        <cfvo type="max"/>
        <color rgb="FFFFEF9C"/>
        <color rgb="FF63BE7B"/>
      </colorScale>
    </cfRule>
  </conditionalFormatting>
  <conditionalFormatting sqref="N631:N647">
    <cfRule type="colorScale" priority="38">
      <colorScale>
        <cfvo type="min"/>
        <cfvo type="percentile" val="20"/>
        <cfvo type="max"/>
        <color rgb="FF92D050"/>
        <color theme="5" tint="0.79998168889431442"/>
        <color rgb="FFFF0000"/>
      </colorScale>
    </cfRule>
    <cfRule type="colorScale" priority="39">
      <colorScale>
        <cfvo type="min"/>
        <cfvo type="max"/>
        <color rgb="FFFF0000"/>
        <color rgb="FF92D050"/>
      </colorScale>
    </cfRule>
    <cfRule type="colorScale" priority="40">
      <colorScale>
        <cfvo type="min"/>
        <cfvo type="percentile" val="50"/>
        <cfvo type="max"/>
        <color rgb="FF5A8AC6"/>
        <color rgb="FFFCFCFF"/>
        <color rgb="FFF8696B"/>
      </colorScale>
    </cfRule>
    <cfRule type="colorScale" priority="41">
      <colorScale>
        <cfvo type="formula" val="&quot;&gt;20&quot;"/>
        <cfvo type="formula" val="35"/>
        <color rgb="FFF8696B"/>
        <color rgb="FFFCFCFF"/>
      </colorScale>
    </cfRule>
    <cfRule type="colorScale" priority="42">
      <colorScale>
        <cfvo type="min"/>
        <cfvo type="max"/>
        <color rgb="FFFFEF9C"/>
        <color rgb="FF63BE7B"/>
      </colorScale>
    </cfRule>
  </conditionalFormatting>
  <conditionalFormatting sqref="S631:S647">
    <cfRule type="containsText" dxfId="22" priority="34" operator="containsText" text="Short Buildup">
      <formula>NOT(ISERROR(SEARCH("Short Buildup",S631)))</formula>
    </cfRule>
    <cfRule type="containsText" dxfId="21" priority="35" operator="containsText" text="Long Liquidation">
      <formula>NOT(ISERROR(SEARCH("Long Liquidation",S631)))</formula>
    </cfRule>
    <cfRule type="containsText" dxfId="20" priority="36" operator="containsText" text="Short covering">
      <formula>NOT(ISERROR(SEARCH("Short covering",S631)))</formula>
    </cfRule>
    <cfRule type="containsText" dxfId="19" priority="37" operator="containsText" text="Long Buildup">
      <formula>NOT(ISERROR(SEARCH("Long Buildup",S631)))</formula>
    </cfRule>
  </conditionalFormatting>
  <conditionalFormatting sqref="R648:R664 D648:D663 C664">
    <cfRule type="containsText" dxfId="18" priority="20" operator="containsText" text="DOWN">
      <formula>NOT(ISERROR(SEARCH("DOWN",C648)))</formula>
    </cfRule>
  </conditionalFormatting>
  <conditionalFormatting sqref="R648:R664 D648:D663 C664">
    <cfRule type="containsText" dxfId="17" priority="19" operator="containsText" text="UP">
      <formula>NOT(ISERROR(SEARCH("UP",C648)))</formula>
    </cfRule>
  </conditionalFormatting>
  <conditionalFormatting sqref="I648:I664">
    <cfRule type="colorScale" priority="21">
      <colorScale>
        <cfvo type="min"/>
        <cfvo type="max"/>
        <color rgb="FFFFEF9C"/>
        <color rgb="FF63BE7B"/>
      </colorScale>
    </cfRule>
  </conditionalFormatting>
  <conditionalFormatting sqref="M648:M664">
    <cfRule type="colorScale" priority="22">
      <colorScale>
        <cfvo type="min"/>
        <cfvo type="max"/>
        <color rgb="FFFF7128"/>
        <color rgb="FFFFEF9C"/>
      </colorScale>
    </cfRule>
  </conditionalFormatting>
  <conditionalFormatting sqref="Q648:Q664">
    <cfRule type="dataBar" priority="23">
      <dataBar>
        <cfvo type="min"/>
        <cfvo type="max"/>
        <color rgb="FFFF555A"/>
      </dataBar>
    </cfRule>
  </conditionalFormatting>
  <conditionalFormatting sqref="E648:E664">
    <cfRule type="dataBar" priority="24">
      <dataBar>
        <cfvo type="min"/>
        <cfvo type="max"/>
        <color rgb="FFFF555A"/>
      </dataBar>
    </cfRule>
  </conditionalFormatting>
  <conditionalFormatting sqref="F648:F664">
    <cfRule type="top10" dxfId="16" priority="25" rank="1"/>
  </conditionalFormatting>
  <conditionalFormatting sqref="P648:P663">
    <cfRule type="top10" dxfId="15" priority="26" rank="1"/>
  </conditionalFormatting>
  <conditionalFormatting sqref="G648:G664 O648:O663 P664">
    <cfRule type="cellIs" dxfId="14" priority="27" operator="equal">
      <formula>$G$135</formula>
    </cfRule>
  </conditionalFormatting>
  <conditionalFormatting sqref="O648:O663 P664">
    <cfRule type="cellIs" dxfId="13" priority="28" operator="equal">
      <formula>$J$135</formula>
    </cfRule>
  </conditionalFormatting>
  <conditionalFormatting sqref="G648:G664 O648:O663 P664">
    <cfRule type="cellIs" dxfId="12" priority="29" operator="equal">
      <formula>#REF!</formula>
    </cfRule>
  </conditionalFormatting>
  <conditionalFormatting sqref="G648:G664">
    <cfRule type="top10" dxfId="11" priority="30" rank="1"/>
    <cfRule type="cellIs" dxfId="10" priority="31" operator="equal">
      <formula>$G$133</formula>
    </cfRule>
  </conditionalFormatting>
  <conditionalFormatting sqref="O648:O663 P664">
    <cfRule type="top10" dxfId="9" priority="32" rank="1"/>
    <cfRule type="cellIs" dxfId="8" priority="33" operator="equal">
      <formula>$G$133</formula>
    </cfRule>
  </conditionalFormatting>
  <conditionalFormatting sqref="C648:C663">
    <cfRule type="containsText" dxfId="7" priority="15" operator="containsText" text="Short Buildup">
      <formula>NOT(ISERROR(SEARCH("Short Buildup",C648)))</formula>
    </cfRule>
    <cfRule type="containsText" dxfId="6" priority="16" operator="containsText" text="Long Liquidation">
      <formula>NOT(ISERROR(SEARCH("Long Liquidation",C648)))</formula>
    </cfRule>
    <cfRule type="containsText" dxfId="5" priority="17" operator="containsText" text="Short covering">
      <formula>NOT(ISERROR(SEARCH("Short covering",C648)))</formula>
    </cfRule>
    <cfRule type="containsText" dxfId="4" priority="18" operator="containsText" text="Long Buildup">
      <formula>NOT(ISERROR(SEARCH("Long Buildup",C648)))</formula>
    </cfRule>
  </conditionalFormatting>
  <conditionalFormatting sqref="H648:H664">
    <cfRule type="colorScale" priority="10">
      <colorScale>
        <cfvo type="min"/>
        <cfvo type="percentile" val="20"/>
        <cfvo type="max"/>
        <color rgb="FF92D050"/>
        <color theme="5" tint="0.79998168889431442"/>
        <color rgb="FFFF0000"/>
      </colorScale>
    </cfRule>
    <cfRule type="colorScale" priority="11">
      <colorScale>
        <cfvo type="min"/>
        <cfvo type="max"/>
        <color rgb="FFFF0000"/>
        <color rgb="FF92D050"/>
      </colorScale>
    </cfRule>
    <cfRule type="colorScale" priority="12">
      <colorScale>
        <cfvo type="min"/>
        <cfvo type="percentile" val="50"/>
        <cfvo type="max"/>
        <color rgb="FF5A8AC6"/>
        <color rgb="FFFCFCFF"/>
        <color rgb="FFF8696B"/>
      </colorScale>
    </cfRule>
    <cfRule type="colorScale" priority="13">
      <colorScale>
        <cfvo type="formula" val="&quot;&gt;20&quot;"/>
        <cfvo type="formula" val="35"/>
        <color rgb="FFF8696B"/>
        <color rgb="FFFCFCFF"/>
      </colorScale>
    </cfRule>
    <cfRule type="colorScale" priority="14">
      <colorScale>
        <cfvo type="min"/>
        <cfvo type="max"/>
        <color rgb="FFFFEF9C"/>
        <color rgb="FF63BE7B"/>
      </colorScale>
    </cfRule>
  </conditionalFormatting>
  <conditionalFormatting sqref="N648:N664">
    <cfRule type="colorScale" priority="5">
      <colorScale>
        <cfvo type="min"/>
        <cfvo type="percentile" val="20"/>
        <cfvo type="max"/>
        <color rgb="FF92D050"/>
        <color theme="5" tint="0.79998168889431442"/>
        <color rgb="FFFF0000"/>
      </colorScale>
    </cfRule>
    <cfRule type="colorScale" priority="6">
      <colorScale>
        <cfvo type="min"/>
        <cfvo type="max"/>
        <color rgb="FFFF0000"/>
        <color rgb="FF92D050"/>
      </colorScale>
    </cfRule>
    <cfRule type="colorScale" priority="7">
      <colorScale>
        <cfvo type="min"/>
        <cfvo type="percentile" val="50"/>
        <cfvo type="max"/>
        <color rgb="FF5A8AC6"/>
        <color rgb="FFFCFCFF"/>
        <color rgb="FFF8696B"/>
      </colorScale>
    </cfRule>
    <cfRule type="colorScale" priority="8">
      <colorScale>
        <cfvo type="formula" val="&quot;&gt;20&quot;"/>
        <cfvo type="formula" val="35"/>
        <color rgb="FFF8696B"/>
        <color rgb="FFFCFCFF"/>
      </colorScale>
    </cfRule>
    <cfRule type="colorScale" priority="9">
      <colorScale>
        <cfvo type="min"/>
        <cfvo type="max"/>
        <color rgb="FFFFEF9C"/>
        <color rgb="FF63BE7B"/>
      </colorScale>
    </cfRule>
  </conditionalFormatting>
  <conditionalFormatting sqref="S648:S664">
    <cfRule type="containsText" dxfId="3" priority="1" operator="containsText" text="Short Buildup">
      <formula>NOT(ISERROR(SEARCH("Short Buildup",S648)))</formula>
    </cfRule>
    <cfRule type="containsText" dxfId="2" priority="2" operator="containsText" text="Long Liquidation">
      <formula>NOT(ISERROR(SEARCH("Long Liquidation",S648)))</formula>
    </cfRule>
    <cfRule type="containsText" dxfId="1" priority="3" operator="containsText" text="Short covering">
      <formula>NOT(ISERROR(SEARCH("Short covering",S648)))</formula>
    </cfRule>
    <cfRule type="containsText" dxfId="0" priority="4" operator="containsText" text="Long Buildup">
      <formula>NOT(ISERROR(SEARCH("Long Buildup",S648)))</formula>
    </cfRule>
  </conditionalFormatting>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tart_Bank_OI">
                <anchor moveWithCells="1" sizeWithCells="1">
                  <from>
                    <xdr:col>0</xdr:col>
                    <xdr:colOff>0</xdr:colOff>
                    <xdr:row>0</xdr:row>
                    <xdr:rowOff>0</xdr:rowOff>
                  </from>
                  <to>
                    <xdr:col>1</xdr:col>
                    <xdr:colOff>38100</xdr:colOff>
                    <xdr:row>0</xdr:row>
                    <xdr:rowOff>238125</xdr:rowOff>
                  </to>
                </anchor>
              </controlPr>
            </control>
          </mc:Choice>
        </mc:AlternateContent>
        <mc:AlternateContent xmlns:mc="http://schemas.openxmlformats.org/markup-compatibility/2006">
          <mc:Choice Requires="x14">
            <control shapeId="7170" r:id="rId5" name="Button 2">
              <controlPr defaultSize="0" print="0" autoFill="0" autoPict="0" macro="[0]!Reset_Clear_Bank_OI">
                <anchor moveWithCells="1" sizeWithCells="1">
                  <from>
                    <xdr:col>0</xdr:col>
                    <xdr:colOff>47625</xdr:colOff>
                    <xdr:row>0</xdr:row>
                    <xdr:rowOff>257175</xdr:rowOff>
                  </from>
                  <to>
                    <xdr:col>1</xdr:col>
                    <xdr:colOff>9525</xdr:colOff>
                    <xdr:row>0</xdr:row>
                    <xdr:rowOff>495300</xdr:rowOff>
                  </to>
                </anchor>
              </controlPr>
            </control>
          </mc:Choice>
        </mc:AlternateContent>
        <mc:AlternateContent xmlns:mc="http://schemas.openxmlformats.org/markup-compatibility/2006">
          <mc:Choice Requires="x14">
            <control shapeId="7171" r:id="rId6" name="Button 3">
              <controlPr defaultSize="0" print="0" autoFill="0" autoPict="0" macro="[0]!Copy_Bank_OI">
                <anchor moveWithCells="1" sizeWithCells="1">
                  <from>
                    <xdr:col>1</xdr:col>
                    <xdr:colOff>9525</xdr:colOff>
                    <xdr:row>0</xdr:row>
                    <xdr:rowOff>400050</xdr:rowOff>
                  </from>
                  <to>
                    <xdr:col>2</xdr:col>
                    <xdr:colOff>19050</xdr:colOff>
                    <xdr:row>0</xdr:row>
                    <xdr:rowOff>581025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19"/>
  <sheetViews>
    <sheetView topLeftCell="A4" workbookViewId="0">
      <selection activeCell="C33" sqref="C33"/>
    </sheetView>
  </sheetViews>
  <sheetFormatPr defaultRowHeight="15" x14ac:dyDescent="0.25"/>
  <cols>
    <col min="1" max="1" width="13.140625" bestFit="1" customWidth="1"/>
    <col min="2" max="2" width="7.140625" bestFit="1" customWidth="1"/>
  </cols>
  <sheetData>
    <row r="1" spans="1:2" x14ac:dyDescent="0.25">
      <c r="A1" s="42" t="s">
        <v>18</v>
      </c>
      <c r="B1" t="s">
        <v>68</v>
      </c>
    </row>
    <row r="3" spans="1:2" x14ac:dyDescent="0.25">
      <c r="A3" s="42" t="s">
        <v>60</v>
      </c>
      <c r="B3" t="s">
        <v>57</v>
      </c>
    </row>
    <row r="4" spans="1:2" x14ac:dyDescent="0.25">
      <c r="A4" s="43" t="s">
        <v>75</v>
      </c>
      <c r="B4" s="23">
        <v>0.85058208178344274</v>
      </c>
    </row>
    <row r="5" spans="1:2" x14ac:dyDescent="0.25">
      <c r="A5" s="43" t="s">
        <v>78</v>
      </c>
      <c r="B5" s="23">
        <v>0.85064246625782447</v>
      </c>
    </row>
    <row r="6" spans="1:2" x14ac:dyDescent="0.25">
      <c r="A6" s="43" t="s">
        <v>79</v>
      </c>
      <c r="B6" s="23">
        <v>0.86581178101530654</v>
      </c>
    </row>
    <row r="7" spans="1:2" x14ac:dyDescent="0.25">
      <c r="A7" s="43" t="s">
        <v>80</v>
      </c>
      <c r="B7" s="23">
        <v>0.86687978442482039</v>
      </c>
    </row>
    <row r="8" spans="1:2" x14ac:dyDescent="0.25">
      <c r="A8" s="43" t="s">
        <v>81</v>
      </c>
      <c r="B8" s="23">
        <v>0.86650754601539792</v>
      </c>
    </row>
    <row r="9" spans="1:2" x14ac:dyDescent="0.25">
      <c r="A9" s="43" t="s">
        <v>82</v>
      </c>
      <c r="B9" s="23">
        <v>0.86832785548676394</v>
      </c>
    </row>
    <row r="10" spans="1:2" x14ac:dyDescent="0.25">
      <c r="A10" s="43" t="s">
        <v>83</v>
      </c>
      <c r="B10" s="23">
        <v>0.86249877163117861</v>
      </c>
    </row>
    <row r="11" spans="1:2" x14ac:dyDescent="0.25">
      <c r="A11" s="43" t="s">
        <v>84</v>
      </c>
      <c r="B11" s="23">
        <v>0.85990588041163829</v>
      </c>
    </row>
    <row r="12" spans="1:2" x14ac:dyDescent="0.25">
      <c r="A12" s="43" t="s">
        <v>85</v>
      </c>
      <c r="B12" s="23">
        <v>0.84151928387232877</v>
      </c>
    </row>
    <row r="13" spans="1:2" x14ac:dyDescent="0.25">
      <c r="A13" s="43" t="s">
        <v>86</v>
      </c>
      <c r="B13" s="23">
        <v>0.83738113393031566</v>
      </c>
    </row>
    <row r="14" spans="1:2" x14ac:dyDescent="0.25">
      <c r="A14" s="43" t="s">
        <v>87</v>
      </c>
      <c r="B14" s="23">
        <v>0.83667617257000093</v>
      </c>
    </row>
    <row r="15" spans="1:2" x14ac:dyDescent="0.25">
      <c r="A15" s="43" t="s">
        <v>88</v>
      </c>
      <c r="B15" s="23">
        <v>0.83668248179787763</v>
      </c>
    </row>
    <row r="16" spans="1:2" x14ac:dyDescent="0.25">
      <c r="A16" s="43" t="s">
        <v>89</v>
      </c>
      <c r="B16" s="23">
        <v>0.83496534203180384</v>
      </c>
    </row>
    <row r="17" spans="1:2" x14ac:dyDescent="0.25">
      <c r="A17" s="43" t="s">
        <v>91</v>
      </c>
      <c r="B17" s="23">
        <v>0.83480357360634672</v>
      </c>
    </row>
    <row r="18" spans="1:2" x14ac:dyDescent="0.25">
      <c r="A18" s="43" t="s">
        <v>58</v>
      </c>
      <c r="B18" s="23"/>
    </row>
    <row r="19" spans="1:2" x14ac:dyDescent="0.25">
      <c r="A19" s="43" t="s">
        <v>59</v>
      </c>
      <c r="B19" s="23">
        <v>0.84589515574628193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9"/>
  <sheetViews>
    <sheetView workbookViewId="0">
      <selection activeCell="C26" sqref="C26"/>
    </sheetView>
  </sheetViews>
  <sheetFormatPr defaultRowHeight="15" x14ac:dyDescent="0.25"/>
  <cols>
    <col min="1" max="1" width="13.140625" bestFit="1" customWidth="1"/>
    <col min="2" max="2" width="16.28515625" bestFit="1" customWidth="1"/>
    <col min="3" max="3" width="12" bestFit="1" customWidth="1"/>
    <col min="4" max="4" width="21.42578125" customWidth="1"/>
    <col min="5" max="5" width="13.28515625" bestFit="1" customWidth="1"/>
    <col min="6" max="6" width="16.28515625" bestFit="1" customWidth="1"/>
    <col min="7" max="7" width="12" bestFit="1" customWidth="1"/>
    <col min="8" max="8" width="16.28515625" customWidth="1"/>
    <col min="9" max="9" width="12" customWidth="1"/>
    <col min="10" max="10" width="16.28515625" bestFit="1" customWidth="1"/>
    <col min="11" max="11" width="12" bestFit="1" customWidth="1"/>
    <col min="12" max="12" width="16.28515625" bestFit="1" customWidth="1"/>
    <col min="13" max="13" width="12" customWidth="1"/>
    <col min="14" max="14" width="16.28515625" customWidth="1"/>
    <col min="15" max="15" width="12" customWidth="1"/>
    <col min="16" max="16" width="16.28515625" bestFit="1" customWidth="1"/>
    <col min="17" max="17" width="12" bestFit="1" customWidth="1"/>
    <col min="18" max="18" width="16.28515625" bestFit="1" customWidth="1"/>
    <col min="19" max="19" width="8.28515625" bestFit="1" customWidth="1"/>
    <col min="20" max="20" width="16.28515625" customWidth="1"/>
    <col min="21" max="21" width="12" customWidth="1"/>
    <col min="22" max="22" width="16.28515625" bestFit="1" customWidth="1"/>
    <col min="23" max="23" width="12" bestFit="1" customWidth="1"/>
    <col min="24" max="24" width="16.28515625" bestFit="1" customWidth="1"/>
    <col min="25" max="25" width="12" customWidth="1"/>
    <col min="26" max="26" width="16.28515625" customWidth="1"/>
    <col min="27" max="27" width="12" customWidth="1"/>
    <col min="28" max="28" width="16.28515625" bestFit="1" customWidth="1"/>
    <col min="29" max="29" width="8.28515625" bestFit="1" customWidth="1"/>
    <col min="30" max="30" width="16.28515625" bestFit="1" customWidth="1"/>
    <col min="31" max="31" width="12" customWidth="1"/>
    <col min="32" max="32" width="16.28515625" customWidth="1"/>
    <col min="33" max="33" width="12" customWidth="1"/>
    <col min="34" max="34" width="16.28515625" bestFit="1" customWidth="1"/>
    <col min="35" max="35" width="11" bestFit="1" customWidth="1"/>
    <col min="36" max="36" width="16.28515625" bestFit="1" customWidth="1"/>
    <col min="37" max="37" width="8.28515625" bestFit="1" customWidth="1"/>
    <col min="38" max="38" width="16.28515625" customWidth="1"/>
    <col min="39" max="39" width="8.28515625" bestFit="1" customWidth="1"/>
    <col min="40" max="40" width="16.28515625" bestFit="1" customWidth="1"/>
    <col min="41" max="41" width="8.28515625" bestFit="1" customWidth="1"/>
    <col min="42" max="42" width="16.28515625" bestFit="1" customWidth="1"/>
    <col min="43" max="43" width="12" bestFit="1" customWidth="1"/>
    <col min="44" max="44" width="16.28515625" customWidth="1"/>
    <col min="45" max="45" width="12" bestFit="1" customWidth="1"/>
    <col min="46" max="46" width="16.28515625" bestFit="1" customWidth="1"/>
    <col min="47" max="47" width="9" bestFit="1" customWidth="1"/>
    <col min="48" max="48" width="16.28515625" bestFit="1" customWidth="1"/>
    <col min="49" max="49" width="8.28515625" bestFit="1" customWidth="1"/>
    <col min="50" max="50" width="21.42578125" bestFit="1" customWidth="1"/>
    <col min="51" max="51" width="13.28515625" bestFit="1" customWidth="1"/>
    <col min="52" max="52" width="11" customWidth="1"/>
    <col min="53" max="53" width="16.28515625" customWidth="1"/>
    <col min="54" max="54" width="12" customWidth="1"/>
    <col min="55" max="55" width="8.28515625" customWidth="1"/>
    <col min="56" max="56" width="16.28515625" customWidth="1"/>
    <col min="57" max="57" width="12" bestFit="1" customWidth="1"/>
    <col min="58" max="58" width="8.28515625" customWidth="1"/>
    <col min="59" max="59" width="16.28515625" customWidth="1"/>
    <col min="60" max="60" width="12" customWidth="1"/>
    <col min="61" max="61" width="8.28515625" customWidth="1"/>
    <col min="62" max="62" width="16.28515625" customWidth="1"/>
    <col min="63" max="63" width="12" customWidth="1"/>
    <col min="64" max="64" width="8.28515625" customWidth="1"/>
    <col min="65" max="65" width="16.28515625" customWidth="1"/>
    <col min="66" max="67" width="12" customWidth="1"/>
    <col min="68" max="68" width="16.28515625" customWidth="1"/>
    <col min="69" max="70" width="12" customWidth="1"/>
    <col min="71" max="71" width="16.28515625" customWidth="1"/>
    <col min="72" max="72" width="12" customWidth="1"/>
    <col min="73" max="73" width="9" customWidth="1"/>
    <col min="74" max="74" width="21.42578125" bestFit="1" customWidth="1"/>
    <col min="75" max="75" width="17" bestFit="1" customWidth="1"/>
    <col min="76" max="76" width="13.28515625" customWidth="1"/>
    <col min="77" max="77" width="16.28515625" customWidth="1"/>
    <col min="78" max="78" width="12" customWidth="1"/>
    <col min="79" max="79" width="8.28515625" customWidth="1"/>
    <col min="80" max="80" width="16.28515625" bestFit="1" customWidth="1"/>
    <col min="81" max="81" width="12" bestFit="1" customWidth="1"/>
    <col min="82" max="82" width="8.28515625" bestFit="1" customWidth="1"/>
    <col min="83" max="83" width="16.28515625" bestFit="1" customWidth="1"/>
    <col min="84" max="84" width="12" bestFit="1" customWidth="1"/>
    <col min="85" max="85" width="8.28515625" bestFit="1" customWidth="1"/>
    <col min="86" max="86" width="16.28515625" bestFit="1" customWidth="1"/>
    <col min="87" max="87" width="12" bestFit="1" customWidth="1"/>
    <col min="88" max="88" width="8.28515625" bestFit="1" customWidth="1"/>
    <col min="89" max="89" width="16.28515625" bestFit="1" customWidth="1"/>
    <col min="90" max="90" width="12" bestFit="1" customWidth="1"/>
    <col min="91" max="91" width="8.28515625" bestFit="1" customWidth="1"/>
    <col min="92" max="92" width="16.28515625" bestFit="1" customWidth="1"/>
    <col min="93" max="93" width="12" bestFit="1" customWidth="1"/>
    <col min="94" max="94" width="8.28515625" bestFit="1" customWidth="1"/>
    <col min="95" max="95" width="16.28515625" bestFit="1" customWidth="1"/>
    <col min="96" max="96" width="12" bestFit="1" customWidth="1"/>
    <col min="97" max="97" width="8.28515625" bestFit="1" customWidth="1"/>
    <col min="98" max="98" width="16.28515625" bestFit="1" customWidth="1"/>
    <col min="99" max="99" width="12" bestFit="1" customWidth="1"/>
    <col min="100" max="100" width="8.28515625" bestFit="1" customWidth="1"/>
    <col min="101" max="101" width="16.28515625" bestFit="1" customWidth="1"/>
    <col min="102" max="102" width="12" bestFit="1" customWidth="1"/>
    <col min="103" max="103" width="8.28515625" bestFit="1" customWidth="1"/>
    <col min="104" max="104" width="16.28515625" bestFit="1" customWidth="1"/>
    <col min="105" max="105" width="12" bestFit="1" customWidth="1"/>
    <col min="106" max="106" width="8.28515625" bestFit="1" customWidth="1"/>
    <col min="107" max="107" width="16.28515625" bestFit="1" customWidth="1"/>
    <col min="108" max="108" width="12" bestFit="1" customWidth="1"/>
    <col min="109" max="109" width="8.28515625" bestFit="1" customWidth="1"/>
    <col min="110" max="110" width="16.28515625" bestFit="1" customWidth="1"/>
    <col min="111" max="111" width="12" bestFit="1" customWidth="1"/>
    <col min="112" max="112" width="8.28515625" bestFit="1" customWidth="1"/>
    <col min="113" max="113" width="16.28515625" bestFit="1" customWidth="1"/>
    <col min="114" max="114" width="12" bestFit="1" customWidth="1"/>
    <col min="115" max="115" width="8.28515625" bestFit="1" customWidth="1"/>
    <col min="116" max="116" width="21.42578125" bestFit="1" customWidth="1"/>
    <col min="117" max="117" width="17" bestFit="1" customWidth="1"/>
    <col min="118" max="118" width="13.28515625" bestFit="1" customWidth="1"/>
  </cols>
  <sheetData>
    <row r="1" spans="1:3" x14ac:dyDescent="0.25">
      <c r="A1" s="42" t="s">
        <v>18</v>
      </c>
      <c r="B1" t="s">
        <v>68</v>
      </c>
    </row>
    <row r="3" spans="1:3" x14ac:dyDescent="0.25">
      <c r="A3" s="42" t="s">
        <v>60</v>
      </c>
      <c r="B3" t="s">
        <v>63</v>
      </c>
      <c r="C3" t="s">
        <v>62</v>
      </c>
    </row>
    <row r="4" spans="1:3" x14ac:dyDescent="0.25">
      <c r="A4" s="43" t="s">
        <v>75</v>
      </c>
      <c r="B4" s="44">
        <v>91072.5</v>
      </c>
      <c r="C4" s="44">
        <v>328.67187499999994</v>
      </c>
    </row>
    <row r="5" spans="1:3" x14ac:dyDescent="0.25">
      <c r="A5" s="43" t="s">
        <v>78</v>
      </c>
      <c r="B5" s="44">
        <v>91022.5</v>
      </c>
      <c r="C5" s="44">
        <v>328.30625000000009</v>
      </c>
    </row>
    <row r="6" spans="1:3" x14ac:dyDescent="0.25">
      <c r="A6" s="43" t="s">
        <v>79</v>
      </c>
      <c r="B6" s="44">
        <v>90360</v>
      </c>
      <c r="C6" s="44">
        <v>318.90000000000009</v>
      </c>
    </row>
    <row r="7" spans="1:3" x14ac:dyDescent="0.25">
      <c r="A7" s="43" t="s">
        <v>80</v>
      </c>
      <c r="B7" s="44">
        <v>90593.75</v>
      </c>
      <c r="C7" s="44">
        <v>314.28125</v>
      </c>
    </row>
    <row r="8" spans="1:3" x14ac:dyDescent="0.25">
      <c r="A8" s="43" t="s">
        <v>81</v>
      </c>
      <c r="B8" s="44">
        <v>89487.5</v>
      </c>
      <c r="C8" s="44">
        <v>317.97500000000002</v>
      </c>
    </row>
    <row r="9" spans="1:3" x14ac:dyDescent="0.25">
      <c r="A9" s="43" t="s">
        <v>82</v>
      </c>
      <c r="B9" s="44">
        <v>89717.5</v>
      </c>
      <c r="C9" s="44">
        <v>327.72187500000001</v>
      </c>
    </row>
    <row r="10" spans="1:3" x14ac:dyDescent="0.25">
      <c r="A10" s="43" t="s">
        <v>83</v>
      </c>
      <c r="B10" s="44">
        <v>91551.25</v>
      </c>
      <c r="C10" s="44">
        <v>302.45</v>
      </c>
    </row>
    <row r="11" spans="1:3" x14ac:dyDescent="0.25">
      <c r="A11" s="43" t="s">
        <v>84</v>
      </c>
      <c r="B11" s="44">
        <v>91141.25</v>
      </c>
      <c r="C11" s="44">
        <v>303.45937500000008</v>
      </c>
    </row>
    <row r="12" spans="1:3" x14ac:dyDescent="0.25">
      <c r="A12" s="43" t="s">
        <v>85</v>
      </c>
      <c r="B12" s="44">
        <v>94223.75</v>
      </c>
      <c r="C12" s="44">
        <v>288.54375000000005</v>
      </c>
    </row>
    <row r="13" spans="1:3" x14ac:dyDescent="0.25">
      <c r="A13" s="43" t="s">
        <v>86</v>
      </c>
      <c r="B13" s="44">
        <v>93945</v>
      </c>
      <c r="C13" s="44">
        <v>290.71249999999998</v>
      </c>
    </row>
    <row r="14" spans="1:3" x14ac:dyDescent="0.25">
      <c r="A14" s="43" t="s">
        <v>87</v>
      </c>
      <c r="B14" s="44">
        <v>93472.5</v>
      </c>
      <c r="C14" s="44">
        <v>294.36562500000002</v>
      </c>
    </row>
    <row r="15" spans="1:3" x14ac:dyDescent="0.25">
      <c r="A15" s="43" t="s">
        <v>88</v>
      </c>
      <c r="B15" s="44">
        <v>93472.5</v>
      </c>
      <c r="C15" s="44">
        <v>299.31562500000001</v>
      </c>
    </row>
    <row r="16" spans="1:3" x14ac:dyDescent="0.25">
      <c r="A16" s="43" t="s">
        <v>89</v>
      </c>
      <c r="B16" s="44">
        <v>95765</v>
      </c>
      <c r="C16" s="44">
        <v>295.32187499999992</v>
      </c>
    </row>
    <row r="17" spans="1:3" x14ac:dyDescent="0.25">
      <c r="A17" s="43" t="s">
        <v>91</v>
      </c>
      <c r="B17" s="44">
        <v>96963.75</v>
      </c>
      <c r="C17" s="44">
        <v>288.90312499999999</v>
      </c>
    </row>
    <row r="18" spans="1:3" x14ac:dyDescent="0.25">
      <c r="A18" s="43" t="s">
        <v>58</v>
      </c>
      <c r="B18" s="44"/>
      <c r="C18" s="44"/>
    </row>
    <row r="19" spans="1:3" x14ac:dyDescent="0.25">
      <c r="A19" s="43" t="s">
        <v>59</v>
      </c>
      <c r="B19" s="44">
        <v>93744.903846153844</v>
      </c>
      <c r="C19" s="44">
        <v>301.18229166666708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19"/>
  <sheetViews>
    <sheetView workbookViewId="0">
      <selection activeCell="D26" sqref="D26"/>
    </sheetView>
  </sheetViews>
  <sheetFormatPr defaultRowHeight="15" x14ac:dyDescent="0.25"/>
  <cols>
    <col min="1" max="1" width="13.140625" bestFit="1" customWidth="1"/>
    <col min="2" max="3" width="12" bestFit="1" customWidth="1"/>
    <col min="4" max="20" width="6" bestFit="1" customWidth="1"/>
    <col min="21" max="21" width="7.28515625" bestFit="1" customWidth="1"/>
    <col min="22" max="24" width="6" bestFit="1" customWidth="1"/>
    <col min="25" max="25" width="4.42578125" bestFit="1" customWidth="1"/>
    <col min="26" max="26" width="11.28515625" bestFit="1" customWidth="1"/>
  </cols>
  <sheetData>
    <row r="1" spans="1:3" x14ac:dyDescent="0.25">
      <c r="A1" s="42" t="s">
        <v>18</v>
      </c>
      <c r="B1" t="s">
        <v>68</v>
      </c>
    </row>
    <row r="3" spans="1:3" x14ac:dyDescent="0.25">
      <c r="A3" s="42" t="s">
        <v>60</v>
      </c>
      <c r="B3" t="s">
        <v>69</v>
      </c>
      <c r="C3" t="s">
        <v>70</v>
      </c>
    </row>
    <row r="4" spans="1:3" x14ac:dyDescent="0.25">
      <c r="A4" s="43" t="s">
        <v>75</v>
      </c>
      <c r="B4" s="44">
        <v>20.837857142857139</v>
      </c>
      <c r="C4" s="44">
        <v>25.2225</v>
      </c>
    </row>
    <row r="5" spans="1:3" x14ac:dyDescent="0.25">
      <c r="A5" s="43" t="s">
        <v>78</v>
      </c>
      <c r="B5" s="44">
        <v>20.837857142857139</v>
      </c>
      <c r="C5" s="44">
        <v>25.222499999999993</v>
      </c>
    </row>
    <row r="6" spans="1:3" x14ac:dyDescent="0.25">
      <c r="A6" s="43" t="s">
        <v>79</v>
      </c>
      <c r="B6" s="44">
        <v>20.837857142857139</v>
      </c>
      <c r="C6" s="44">
        <v>25.222499999999997</v>
      </c>
    </row>
    <row r="7" spans="1:3" x14ac:dyDescent="0.25">
      <c r="A7" s="43" t="s">
        <v>80</v>
      </c>
      <c r="B7" s="44">
        <v>23.300624999999997</v>
      </c>
      <c r="C7" s="44">
        <v>22.35466666666667</v>
      </c>
    </row>
    <row r="8" spans="1:3" x14ac:dyDescent="0.25">
      <c r="A8" s="43" t="s">
        <v>81</v>
      </c>
      <c r="B8" s="44">
        <v>23.300625</v>
      </c>
      <c r="C8" s="44">
        <v>22.35466666666667</v>
      </c>
    </row>
    <row r="9" spans="1:3" x14ac:dyDescent="0.25">
      <c r="A9" s="43" t="s">
        <v>82</v>
      </c>
      <c r="B9" s="44">
        <v>23.300624999999997</v>
      </c>
      <c r="C9" s="44">
        <v>22.35466666666667</v>
      </c>
    </row>
    <row r="10" spans="1:3" x14ac:dyDescent="0.25">
      <c r="A10" s="43" t="s">
        <v>83</v>
      </c>
      <c r="B10" s="44">
        <v>24.071250000000006</v>
      </c>
      <c r="C10" s="44">
        <v>20.995000000000001</v>
      </c>
    </row>
    <row r="11" spans="1:3" x14ac:dyDescent="0.25">
      <c r="A11" s="43" t="s">
        <v>84</v>
      </c>
      <c r="B11" s="44">
        <v>24.071250000000006</v>
      </c>
      <c r="C11" s="44">
        <v>20.995000000000001</v>
      </c>
    </row>
    <row r="12" spans="1:3" x14ac:dyDescent="0.25">
      <c r="A12" s="43" t="s">
        <v>85</v>
      </c>
      <c r="B12" s="44">
        <v>24.071249999999999</v>
      </c>
      <c r="C12" s="44">
        <v>20.995000000000001</v>
      </c>
    </row>
    <row r="13" spans="1:3" x14ac:dyDescent="0.25">
      <c r="A13" s="43" t="s">
        <v>86</v>
      </c>
      <c r="B13" s="44">
        <v>24.071250000000003</v>
      </c>
      <c r="C13" s="44">
        <v>20.994999999999997</v>
      </c>
    </row>
    <row r="14" spans="1:3" x14ac:dyDescent="0.25">
      <c r="A14" s="43" t="s">
        <v>87</v>
      </c>
      <c r="B14" s="44">
        <v>22.788125000000001</v>
      </c>
      <c r="C14" s="44">
        <v>23.028750000000002</v>
      </c>
    </row>
    <row r="15" spans="1:3" x14ac:dyDescent="0.25">
      <c r="A15" s="43" t="s">
        <v>88</v>
      </c>
      <c r="B15" s="44">
        <v>22.788125000000001</v>
      </c>
      <c r="C15" s="44">
        <v>23.028750000000002</v>
      </c>
    </row>
    <row r="16" spans="1:3" x14ac:dyDescent="0.25">
      <c r="A16" s="43" t="s">
        <v>89</v>
      </c>
      <c r="B16" s="44">
        <v>22.788125000000004</v>
      </c>
      <c r="C16" s="44">
        <v>23.028749999999999</v>
      </c>
    </row>
    <row r="17" spans="1:3" x14ac:dyDescent="0.25">
      <c r="A17" s="43" t="s">
        <v>91</v>
      </c>
      <c r="B17" s="44">
        <v>22.520000000000003</v>
      </c>
      <c r="C17" s="44">
        <v>23.048750000000005</v>
      </c>
    </row>
    <row r="18" spans="1:3" x14ac:dyDescent="0.25">
      <c r="A18" s="43" t="s">
        <v>58</v>
      </c>
      <c r="B18" s="44"/>
      <c r="C18" s="44"/>
    </row>
    <row r="19" spans="1:3" x14ac:dyDescent="0.25">
      <c r="A19" s="43" t="s">
        <v>59</v>
      </c>
      <c r="B19" s="44">
        <v>22.784820261437847</v>
      </c>
      <c r="C19" s="44">
        <v>22.837548387096824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19"/>
  <sheetViews>
    <sheetView topLeftCell="A34" workbookViewId="0">
      <selection activeCell="A53" sqref="A53"/>
    </sheetView>
  </sheetViews>
  <sheetFormatPr defaultRowHeight="15" x14ac:dyDescent="0.25"/>
  <cols>
    <col min="1" max="1" width="13.140625" bestFit="1" customWidth="1"/>
    <col min="2" max="2" width="16.28515625" bestFit="1" customWidth="1"/>
    <col min="3" max="3" width="12" bestFit="1" customWidth="1"/>
    <col min="4" max="4" width="21.42578125" customWidth="1"/>
    <col min="5" max="5" width="12.85546875" bestFit="1" customWidth="1"/>
    <col min="6" max="6" width="16.28515625" bestFit="1" customWidth="1"/>
    <col min="7" max="7" width="12" bestFit="1" customWidth="1"/>
    <col min="8" max="8" width="16.28515625" customWidth="1"/>
    <col min="9" max="9" width="12" bestFit="1" customWidth="1"/>
    <col min="10" max="10" width="16.28515625" bestFit="1" customWidth="1"/>
    <col min="11" max="11" width="11" bestFit="1" customWidth="1"/>
    <col min="12" max="12" width="16.28515625" bestFit="1" customWidth="1"/>
    <col min="13" max="13" width="12" bestFit="1" customWidth="1"/>
    <col min="14" max="14" width="16.28515625" customWidth="1"/>
    <col min="15" max="15" width="12" bestFit="1" customWidth="1"/>
    <col min="16" max="16" width="16.28515625" bestFit="1" customWidth="1"/>
    <col min="17" max="17" width="11" bestFit="1" customWidth="1"/>
    <col min="18" max="18" width="16.28515625" bestFit="1" customWidth="1"/>
    <col min="19" max="19" width="12" bestFit="1" customWidth="1"/>
    <col min="20" max="20" width="16.28515625" customWidth="1"/>
    <col min="21" max="21" width="11" bestFit="1" customWidth="1"/>
    <col min="22" max="22" width="16.28515625" bestFit="1" customWidth="1"/>
    <col min="23" max="23" width="12" bestFit="1" customWidth="1"/>
    <col min="24" max="24" width="16.28515625" bestFit="1" customWidth="1"/>
    <col min="25" max="25" width="11" bestFit="1" customWidth="1"/>
    <col min="26" max="26" width="16.28515625" customWidth="1"/>
    <col min="27" max="27" width="12" bestFit="1" customWidth="1"/>
    <col min="28" max="28" width="16.28515625" bestFit="1" customWidth="1"/>
    <col min="29" max="29" width="12" bestFit="1" customWidth="1"/>
    <col min="30" max="30" width="16.28515625" bestFit="1" customWidth="1"/>
    <col min="31" max="31" width="12" bestFit="1" customWidth="1"/>
    <col min="32" max="32" width="16.28515625" customWidth="1"/>
    <col min="33" max="33" width="12" bestFit="1" customWidth="1"/>
    <col min="34" max="34" width="16.28515625" bestFit="1" customWidth="1"/>
    <col min="35" max="35" width="12" bestFit="1" customWidth="1"/>
    <col min="36" max="36" width="16.28515625" bestFit="1" customWidth="1"/>
    <col min="37" max="37" width="11" bestFit="1" customWidth="1"/>
    <col min="38" max="38" width="16.28515625" customWidth="1"/>
    <col min="39" max="39" width="8" bestFit="1" customWidth="1"/>
    <col min="40" max="40" width="16.28515625" bestFit="1" customWidth="1"/>
    <col min="41" max="41" width="8" bestFit="1" customWidth="1"/>
    <col min="42" max="42" width="16.28515625" bestFit="1" customWidth="1"/>
    <col min="43" max="43" width="8" customWidth="1"/>
    <col min="44" max="44" width="16.28515625" customWidth="1"/>
    <col min="45" max="45" width="12" bestFit="1" customWidth="1"/>
    <col min="46" max="46" width="16.28515625" bestFit="1" customWidth="1"/>
    <col min="47" max="47" width="8" bestFit="1" customWidth="1"/>
    <col min="48" max="48" width="16.28515625" bestFit="1" customWidth="1"/>
    <col min="49" max="49" width="8" customWidth="1"/>
    <col min="50" max="50" width="21.42578125" bestFit="1" customWidth="1"/>
    <col min="51" max="51" width="12.85546875" bestFit="1" customWidth="1"/>
    <col min="52" max="52" width="8" customWidth="1"/>
    <col min="53" max="53" width="16.28515625" customWidth="1"/>
    <col min="54" max="54" width="11.28515625" customWidth="1"/>
    <col min="55" max="55" width="8" customWidth="1"/>
    <col min="56" max="56" width="16.28515625" customWidth="1"/>
    <col min="57" max="57" width="11.28515625" customWidth="1"/>
    <col min="58" max="58" width="8" customWidth="1"/>
    <col min="59" max="59" width="16.28515625" customWidth="1"/>
    <col min="60" max="60" width="11.28515625" customWidth="1"/>
    <col min="61" max="61" width="8" customWidth="1"/>
    <col min="62" max="62" width="16.28515625" customWidth="1"/>
    <col min="63" max="63" width="11.28515625" customWidth="1"/>
    <col min="64" max="64" width="8" customWidth="1"/>
    <col min="65" max="65" width="16.28515625" customWidth="1"/>
    <col min="66" max="66" width="11.28515625" customWidth="1"/>
    <col min="67" max="67" width="8" customWidth="1"/>
    <col min="68" max="68" width="16.28515625" customWidth="1"/>
    <col min="69" max="69" width="11.28515625" customWidth="1"/>
    <col min="70" max="70" width="8" customWidth="1"/>
    <col min="71" max="71" width="16.28515625" customWidth="1"/>
    <col min="72" max="72" width="11.28515625" customWidth="1"/>
    <col min="73" max="73" width="8" customWidth="1"/>
    <col min="74" max="74" width="21.42578125" customWidth="1"/>
    <col min="75" max="75" width="16.28515625" customWidth="1"/>
    <col min="76" max="76" width="12.85546875" customWidth="1"/>
    <col min="77" max="77" width="16.28515625" customWidth="1"/>
    <col min="78" max="78" width="11.28515625" customWidth="1"/>
    <col min="79" max="79" width="8" customWidth="1"/>
    <col min="80" max="80" width="16.28515625" bestFit="1" customWidth="1"/>
    <col min="81" max="81" width="11.28515625" bestFit="1" customWidth="1"/>
    <col min="82" max="82" width="8" bestFit="1" customWidth="1"/>
    <col min="83" max="83" width="16.28515625" bestFit="1" customWidth="1"/>
    <col min="84" max="84" width="11.28515625" bestFit="1" customWidth="1"/>
    <col min="85" max="85" width="8" bestFit="1" customWidth="1"/>
    <col min="86" max="86" width="16.28515625" bestFit="1" customWidth="1"/>
    <col min="87" max="87" width="11.28515625" bestFit="1" customWidth="1"/>
    <col min="88" max="88" width="8" bestFit="1" customWidth="1"/>
    <col min="89" max="89" width="16.28515625" bestFit="1" customWidth="1"/>
    <col min="90" max="90" width="11.28515625" bestFit="1" customWidth="1"/>
    <col min="91" max="91" width="8" bestFit="1" customWidth="1"/>
    <col min="92" max="92" width="16.28515625" bestFit="1" customWidth="1"/>
    <col min="93" max="93" width="11.28515625" bestFit="1" customWidth="1"/>
    <col min="94" max="94" width="8" bestFit="1" customWidth="1"/>
    <col min="95" max="95" width="16.28515625" bestFit="1" customWidth="1"/>
    <col min="96" max="96" width="11.28515625" bestFit="1" customWidth="1"/>
    <col min="97" max="97" width="8" bestFit="1" customWidth="1"/>
    <col min="98" max="98" width="16.28515625" bestFit="1" customWidth="1"/>
    <col min="99" max="99" width="11.28515625" bestFit="1" customWidth="1"/>
    <col min="100" max="100" width="8" bestFit="1" customWidth="1"/>
    <col min="101" max="101" width="16.28515625" bestFit="1" customWidth="1"/>
    <col min="102" max="102" width="11.28515625" bestFit="1" customWidth="1"/>
    <col min="103" max="103" width="8" bestFit="1" customWidth="1"/>
    <col min="104" max="104" width="16.28515625" bestFit="1" customWidth="1"/>
    <col min="105" max="105" width="11.28515625" bestFit="1" customWidth="1"/>
    <col min="106" max="106" width="8" bestFit="1" customWidth="1"/>
    <col min="107" max="107" width="16.28515625" bestFit="1" customWidth="1"/>
    <col min="108" max="108" width="11.28515625" bestFit="1" customWidth="1"/>
    <col min="109" max="109" width="8" bestFit="1" customWidth="1"/>
    <col min="110" max="110" width="16.28515625" bestFit="1" customWidth="1"/>
    <col min="111" max="111" width="11.28515625" bestFit="1" customWidth="1"/>
    <col min="112" max="112" width="8" bestFit="1" customWidth="1"/>
    <col min="113" max="113" width="16.28515625" bestFit="1" customWidth="1"/>
    <col min="114" max="114" width="11.28515625" bestFit="1" customWidth="1"/>
    <col min="115" max="115" width="8" bestFit="1" customWidth="1"/>
    <col min="116" max="116" width="21.42578125" bestFit="1" customWidth="1"/>
    <col min="117" max="117" width="16.28515625" bestFit="1" customWidth="1"/>
    <col min="118" max="118" width="12.85546875" bestFit="1" customWidth="1"/>
  </cols>
  <sheetData>
    <row r="1" spans="1:3" x14ac:dyDescent="0.25">
      <c r="A1" s="42" t="s">
        <v>18</v>
      </c>
      <c r="B1" t="s">
        <v>68</v>
      </c>
    </row>
    <row r="3" spans="1:3" x14ac:dyDescent="0.25">
      <c r="A3" s="42" t="s">
        <v>60</v>
      </c>
      <c r="B3" t="s">
        <v>64</v>
      </c>
      <c r="C3" t="s">
        <v>65</v>
      </c>
    </row>
    <row r="4" spans="1:3" x14ac:dyDescent="0.25">
      <c r="A4" s="43" t="s">
        <v>75</v>
      </c>
      <c r="B4" s="44">
        <v>137871.25</v>
      </c>
      <c r="C4" s="44">
        <v>232.33125000000001</v>
      </c>
    </row>
    <row r="5" spans="1:3" x14ac:dyDescent="0.25">
      <c r="A5" s="43" t="s">
        <v>78</v>
      </c>
      <c r="B5" s="44">
        <v>137852.5</v>
      </c>
      <c r="C5" s="44">
        <v>235.09062500000005</v>
      </c>
    </row>
    <row r="6" spans="1:3" x14ac:dyDescent="0.25">
      <c r="A6" s="43" t="s">
        <v>79</v>
      </c>
      <c r="B6" s="44">
        <v>143252.5</v>
      </c>
      <c r="C6" s="44">
        <v>240.88124999999999</v>
      </c>
    </row>
    <row r="7" spans="1:3" x14ac:dyDescent="0.25">
      <c r="A7" s="43" t="s">
        <v>80</v>
      </c>
      <c r="B7" s="44">
        <v>153466.66666666666</v>
      </c>
      <c r="C7" s="44">
        <v>246.91875000000002</v>
      </c>
    </row>
    <row r="8" spans="1:3" x14ac:dyDescent="0.25">
      <c r="A8" s="43" t="s">
        <v>81</v>
      </c>
      <c r="B8" s="44">
        <v>152288</v>
      </c>
      <c r="C8" s="44">
        <v>243.640625</v>
      </c>
    </row>
    <row r="9" spans="1:3" x14ac:dyDescent="0.25">
      <c r="A9" s="43" t="s">
        <v>82</v>
      </c>
      <c r="B9" s="44">
        <v>153262.66666666666</v>
      </c>
      <c r="C9" s="44">
        <v>234.13437499999998</v>
      </c>
    </row>
    <row r="10" spans="1:3" x14ac:dyDescent="0.25">
      <c r="A10" s="43" t="s">
        <v>83</v>
      </c>
      <c r="B10" s="44">
        <v>152509.33333333334</v>
      </c>
      <c r="C10" s="44">
        <v>258.78750000000008</v>
      </c>
    </row>
    <row r="11" spans="1:3" x14ac:dyDescent="0.25">
      <c r="A11" s="43" t="s">
        <v>84</v>
      </c>
      <c r="B11" s="44">
        <v>151042.66666666666</v>
      </c>
      <c r="C11" s="44">
        <v>257.85937500000006</v>
      </c>
    </row>
    <row r="12" spans="1:3" x14ac:dyDescent="0.25">
      <c r="A12" s="43" t="s">
        <v>85</v>
      </c>
      <c r="B12" s="44">
        <v>136953.75</v>
      </c>
      <c r="C12" s="44">
        <v>273.13749999999999</v>
      </c>
    </row>
    <row r="13" spans="1:3" x14ac:dyDescent="0.25">
      <c r="A13" s="43" t="s">
        <v>86</v>
      </c>
      <c r="B13" s="44">
        <v>135077.5</v>
      </c>
      <c r="C13" s="44">
        <v>270.03125</v>
      </c>
    </row>
    <row r="14" spans="1:3" x14ac:dyDescent="0.25">
      <c r="A14" s="43" t="s">
        <v>87</v>
      </c>
      <c r="B14" s="44">
        <v>134402.5</v>
      </c>
      <c r="C14" s="44">
        <v>266.52499999999998</v>
      </c>
    </row>
    <row r="15" spans="1:3" x14ac:dyDescent="0.25">
      <c r="A15" s="43" t="s">
        <v>88</v>
      </c>
      <c r="B15" s="44">
        <v>134405</v>
      </c>
      <c r="C15" s="44">
        <v>261.35624999999999</v>
      </c>
    </row>
    <row r="16" spans="1:3" x14ac:dyDescent="0.25">
      <c r="A16" s="43" t="s">
        <v>89</v>
      </c>
      <c r="B16" s="44">
        <v>135638.75</v>
      </c>
      <c r="C16" s="44">
        <v>265.68124999999992</v>
      </c>
    </row>
    <row r="17" spans="1:3" x14ac:dyDescent="0.25">
      <c r="A17" s="43" t="s">
        <v>91</v>
      </c>
      <c r="B17" s="44">
        <v>145680</v>
      </c>
      <c r="C17" s="44">
        <v>272.53124999999977</v>
      </c>
    </row>
    <row r="18" spans="1:3" x14ac:dyDescent="0.25">
      <c r="A18" s="43" t="s">
        <v>58</v>
      </c>
      <c r="B18" s="44"/>
      <c r="C18" s="44"/>
    </row>
    <row r="19" spans="1:3" x14ac:dyDescent="0.25">
      <c r="A19" s="43" t="s">
        <v>59</v>
      </c>
      <c r="B19" s="44">
        <v>143544.42595673876</v>
      </c>
      <c r="C19" s="44">
        <v>260.16802884615424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0"/>
  <sheetViews>
    <sheetView workbookViewId="0">
      <selection activeCell="I28" sqref="I28"/>
    </sheetView>
  </sheetViews>
  <sheetFormatPr defaultRowHeight="15" x14ac:dyDescent="0.25"/>
  <cols>
    <col min="4" max="4" width="13.7109375" bestFit="1" customWidth="1"/>
  </cols>
  <sheetData>
    <row r="1" spans="1:5" ht="30" x14ac:dyDescent="0.25">
      <c r="B1" s="30" t="s">
        <v>42</v>
      </c>
      <c r="C1" s="30" t="s">
        <v>31</v>
      </c>
      <c r="D1" s="30" t="s">
        <v>35</v>
      </c>
    </row>
    <row r="2" spans="1:5" x14ac:dyDescent="0.25">
      <c r="A2" t="s">
        <v>33</v>
      </c>
      <c r="B2" t="s">
        <v>36</v>
      </c>
      <c r="C2" t="s">
        <v>36</v>
      </c>
      <c r="D2" t="s">
        <v>37</v>
      </c>
    </row>
    <row r="3" spans="1:5" x14ac:dyDescent="0.25">
      <c r="B3" t="s">
        <v>36</v>
      </c>
      <c r="C3" t="s">
        <v>38</v>
      </c>
      <c r="D3" t="s">
        <v>39</v>
      </c>
    </row>
    <row r="4" spans="1:5" x14ac:dyDescent="0.25">
      <c r="B4" t="s">
        <v>38</v>
      </c>
      <c r="C4" t="s">
        <v>38</v>
      </c>
      <c r="D4" t="s">
        <v>40</v>
      </c>
      <c r="E4" t="s">
        <v>55</v>
      </c>
    </row>
    <row r="5" spans="1:5" x14ac:dyDescent="0.25">
      <c r="B5" t="s">
        <v>38</v>
      </c>
      <c r="C5" t="s">
        <v>36</v>
      </c>
      <c r="D5" t="s">
        <v>41</v>
      </c>
    </row>
    <row r="7" spans="1:5" x14ac:dyDescent="0.25">
      <c r="A7" t="s">
        <v>34</v>
      </c>
      <c r="B7" t="s">
        <v>36</v>
      </c>
      <c r="C7" t="s">
        <v>36</v>
      </c>
      <c r="D7" t="s">
        <v>37</v>
      </c>
    </row>
    <row r="8" spans="1:5" x14ac:dyDescent="0.25">
      <c r="B8" t="s">
        <v>36</v>
      </c>
      <c r="C8" t="s">
        <v>38</v>
      </c>
      <c r="D8" t="s">
        <v>39</v>
      </c>
    </row>
    <row r="9" spans="1:5" x14ac:dyDescent="0.25">
      <c r="B9" t="s">
        <v>38</v>
      </c>
      <c r="C9" t="s">
        <v>38</v>
      </c>
      <c r="D9" t="s">
        <v>40</v>
      </c>
    </row>
    <row r="10" spans="1:5" x14ac:dyDescent="0.25">
      <c r="B10" t="s">
        <v>38</v>
      </c>
      <c r="C10" t="s">
        <v>36</v>
      </c>
      <c r="D10" t="s">
        <v>41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Data BankNifty</vt:lpstr>
      <vt:lpstr>MAIN OI BankNifty</vt:lpstr>
      <vt:lpstr>Dashbord</vt:lpstr>
      <vt:lpstr>BankNifty_2</vt:lpstr>
      <vt:lpstr>PCR</vt:lpstr>
      <vt:lpstr>Call_Bank</vt:lpstr>
      <vt:lpstr>IV</vt:lpstr>
      <vt:lpstr>Put_bank</vt:lpstr>
      <vt:lpstr>Sheet1</vt:lpstr>
      <vt:lpstr>'Data BankNifty'!optionKeys.jsp?symbolCode__10006_symbol_NIFTY_symbol_NIFTY_instrument___date___segmentLink_17_symbolCount_2_segmentLink_17</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yogesh</dc:creator>
  <cp:lastModifiedBy>Administrator</cp:lastModifiedBy>
  <dcterms:created xsi:type="dcterms:W3CDTF">2015-02-27T14:47:02Z</dcterms:created>
  <dcterms:modified xsi:type="dcterms:W3CDTF">2020-01-28T09:21:43Z</dcterms:modified>
</cp:coreProperties>
</file>